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3.xml" ContentType="application/vnd.openxmlformats-officedocument.spreadsheetml.pivotTable+xml"/>
  <Override PartName="/xl/pivotTables/pivotTable4.xml" ContentType="application/vnd.openxmlformats-officedocument.spreadsheetml.pivotTable+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pivotCache/pivotCacheRecords3.xml" ContentType="application/vnd.openxmlformats-officedocument.spreadsheetml.pivotCacheRecords+xml"/>
  <Override PartName="/xl/pivotCache/pivotCacheDefinition3.xml" ContentType="application/vnd.openxmlformats-officedocument.spreadsheetml.pivotCacheDefinition+xml"/>
  <Override PartName="/xl/pivotTables/pivotTable5.xml" ContentType="application/vnd.openxmlformats-officedocument.spreadsheetml.pivotTable+xml"/>
  <Override PartName="/xl/pivotTables/pivotTable6.xml" ContentType="application/vnd.openxmlformats-officedocument.spreadsheetml.pivotTable+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worksheets/sheet6.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801" firstSheet="2" activeTab="2" autoFilterDateGrouping="1"/>
  </bookViews>
  <sheets>
    <sheet name="30-07" sheetId="1" state="hidden" r:id="rId1"/>
    <sheet name="Dashboard" sheetId="2" state="visible" r:id="rId2"/>
    <sheet name="Resumo p. Respónsável" sheetId="3" state="visible" r:id="rId3"/>
    <sheet name="D.As" sheetId="4" state="visible" r:id="rId4"/>
    <sheet name="Panorama" sheetId="5" state="hidden" r:id="rId5"/>
    <sheet name="Compilado chamados" sheetId="6" state="visible" r:id="rId6"/>
    <sheet name="Cancelamento de NF" sheetId="7" state="visible" r:id="rId7"/>
    <sheet name="Referencias " sheetId="8" state="hidden" r:id="rId8"/>
    <sheet name="Alçadas" sheetId="9" state="visible" r:id="rId9"/>
    <sheet name="Info. filas N1 e N2" sheetId="10" state="visible" r:id="rId10"/>
  </sheets>
  <definedNames>
    <definedName name="_xlnm._FilterDatabase" localSheetId="0" hidden="1">'30-07'!$B$21:$C$65</definedName>
    <definedName name="_xlnm._FilterDatabase" localSheetId="4" hidden="1">'Panorama'!$B$21:$C$65</definedName>
    <definedName name="_xlnm._FilterDatabase" localSheetId="7" hidden="1">'Referencias '!$B$1:$C$3617</definedName>
  </definedNames>
  <calcPr calcId="191028" fullCalcOnLoad="1"/>
  <pivotCaches>
    <pivotCache cacheId="1" r:id="rId11"/>
    <pivotCache cacheId="0" r:id="rId12"/>
    <pivotCache cacheId="2" r:id="rId13"/>
  </pivotCaches>
</workbook>
</file>

<file path=xl/styles.xml><?xml version="1.0" encoding="utf-8"?>
<styleSheet xmlns="http://schemas.openxmlformats.org/spreadsheetml/2006/main">
  <numFmts count="2">
    <numFmt numFmtId="164" formatCode="_-* #,##0.00_-;\-* #,##0.00_-;_-* &quot;-&quot;??_-;_-@_-"/>
    <numFmt numFmtId="165" formatCode="[$-416]mmm\-yy;@"/>
  </numFmts>
  <fonts count="44">
    <font>
      <name val="Aptos Narrow"/>
      <family val="2"/>
      <color indexed="8"/>
      <sz val="11"/>
      <scheme val="minor"/>
    </font>
    <font>
      <name val="Aptos Narrow"/>
      <family val="2"/>
      <color theme="1"/>
      <sz val="11"/>
      <scheme val="minor"/>
    </font>
    <font>
      <name val="Calibri"/>
      <family val="2"/>
      <b val="1"/>
      <color rgb="FF56585B"/>
      <sz val="12"/>
    </font>
    <font>
      <name val="Calibri"/>
      <family val="2"/>
      <b val="1"/>
      <color theme="0"/>
      <sz val="12"/>
    </font>
    <font>
      <name val="Aptos Narrow"/>
      <family val="2"/>
      <b val="1"/>
      <color indexed="8"/>
      <sz val="11"/>
      <scheme val="minor"/>
    </font>
    <font>
      <name val="Aptos Narrow"/>
      <family val="2"/>
      <color indexed="8"/>
      <sz val="14"/>
      <scheme val="minor"/>
    </font>
    <font>
      <name val="Aptos Narrow"/>
      <family val="2"/>
      <color indexed="8"/>
      <sz val="11"/>
      <scheme val="minor"/>
    </font>
    <font>
      <name val="Aptos Narrow"/>
      <family val="2"/>
      <sz val="8"/>
      <scheme val="minor"/>
    </font>
    <font>
      <name val="Aptos Narrow"/>
      <family val="2"/>
      <b val="1"/>
      <i val="1"/>
      <color indexed="8"/>
      <sz val="14"/>
      <scheme val="minor"/>
    </font>
    <font>
      <name val="Aptos Narrow"/>
      <family val="2"/>
      <sz val="11"/>
      <scheme val="minor"/>
    </font>
    <font>
      <name val="Arial"/>
      <family val="2"/>
      <b val="1"/>
      <color theme="1"/>
      <sz val="10"/>
    </font>
    <font>
      <name val="Arial"/>
      <family val="2"/>
      <color theme="1"/>
      <sz val="10"/>
    </font>
    <font>
      <name val="Aptos Narrow"/>
      <family val="2"/>
      <color theme="0"/>
      <sz val="14"/>
      <scheme val="minor"/>
    </font>
    <font>
      <name val="Arial"/>
      <family val="2"/>
      <b val="1"/>
      <color theme="4" tint="0.7999816888943144"/>
      <sz val="10"/>
    </font>
    <font>
      <name val="Arial"/>
      <family val="2"/>
      <b val="1"/>
      <sz val="10"/>
    </font>
    <font>
      <name val="Arial"/>
      <family val="2"/>
      <b val="1"/>
      <color theme="3" tint="0.749992370372631"/>
      <sz val="10"/>
    </font>
    <font>
      <name val="Arial"/>
      <family val="2"/>
      <b val="1"/>
      <color theme="7" tint="0.5999938962981048"/>
      <sz val="10"/>
    </font>
    <font>
      <name val="Arial"/>
      <family val="2"/>
      <b val="1"/>
      <color rgb="FFFFFFFF"/>
      <sz val="11"/>
    </font>
    <font>
      <name val="Calibri"/>
      <charset val="1"/>
      <family val="2"/>
      <color theme="1"/>
      <sz val="11"/>
    </font>
    <font>
      <name val="Arial"/>
      <family val="2"/>
      <b val="1"/>
      <color rgb="FF1F3864"/>
      <sz val="16"/>
    </font>
    <font>
      <name val="Arial"/>
      <family val="2"/>
      <i val="1"/>
      <color rgb="FF595959"/>
      <sz val="10"/>
    </font>
    <font>
      <name val="Arial"/>
      <family val="2"/>
      <b val="1"/>
      <color rgb="FFFFFFFF"/>
      <sz val="12"/>
    </font>
    <font>
      <name val="Arial"/>
      <family val="2"/>
      <b val="1"/>
      <color rgb="FF595959"/>
      <sz val="9"/>
    </font>
    <font>
      <name val="Arial"/>
      <family val="2"/>
      <b val="1"/>
      <color rgb="FF1F3864"/>
      <sz val="22"/>
    </font>
    <font>
      <name val="Arial"/>
      <family val="2"/>
      <b val="1"/>
      <color rgb="FFC62828"/>
      <sz val="22"/>
    </font>
    <font>
      <name val="Arial"/>
      <family val="2"/>
      <b val="1"/>
      <color rgb="FF2E7D32"/>
      <sz val="22"/>
    </font>
    <font>
      <name val="Arial"/>
      <family val="2"/>
      <b val="1"/>
      <color rgb="FFE65100"/>
      <sz val="22"/>
    </font>
    <font>
      <name val="Arial"/>
      <family val="2"/>
      <sz val="10"/>
    </font>
    <font>
      <name val="Arial"/>
      <family val="2"/>
      <b val="1"/>
      <color theme="0"/>
      <sz val="11"/>
    </font>
    <font>
      <name val="Arial"/>
      <family val="2"/>
      <b val="1"/>
      <color rgb="FFFF0000"/>
      <sz val="10"/>
    </font>
    <font>
      <name val="Aptos Narrow"/>
      <family val="2"/>
      <b val="1"/>
      <color theme="0"/>
      <sz val="11"/>
      <scheme val="minor"/>
    </font>
    <font>
      <name val="Arial"/>
      <family val="2"/>
      <color theme="1"/>
      <sz val="9"/>
    </font>
    <font>
      <name val="Segoe UI"/>
      <family val="2"/>
      <color indexed="8"/>
      <sz val="11"/>
    </font>
    <font>
      <name val="Segoe UI"/>
      <family val="2"/>
      <b val="1"/>
      <color indexed="8"/>
      <sz val="11"/>
    </font>
    <font>
      <name val="Calibri"/>
      <family val="2"/>
      <color rgb="FF000000"/>
      <sz val="11"/>
    </font>
    <font>
      <name val="Calibri"/>
      <family val="2"/>
      <sz val="12"/>
    </font>
    <font>
      <name val="Calibri"/>
      <family val="2"/>
      <color theme="1"/>
      <sz val="11"/>
    </font>
    <font>
      <name val="Segoe UI"/>
      <family val="2"/>
      <b val="1"/>
      <color indexed="81"/>
      <sz val="9"/>
    </font>
    <font>
      <name val="Segoe UI"/>
      <family val="2"/>
      <color indexed="81"/>
      <sz val="9"/>
    </font>
    <font>
      <name val="Aptos"/>
      <family val="2"/>
      <color rgb="FF000000"/>
      <sz val="11"/>
    </font>
    <font>
      <name val="Aptos"/>
      <family val="2"/>
      <color rgb="FF000000"/>
      <sz val="11"/>
    </font>
    <font>
      <name val="Calibri"/>
      <sz val="12"/>
    </font>
    <font>
      <name val="Calibri"/>
      <b val="1"/>
      <color rgb="FF56585B"/>
      <sz val="12"/>
    </font>
    <font>
      <name val="Calibri"/>
      <b val="1"/>
      <color theme="0"/>
      <sz val="12"/>
    </font>
  </fonts>
  <fills count="24">
    <fill>
      <patternFill/>
    </fill>
    <fill>
      <patternFill patternType="gray125"/>
    </fill>
    <fill>
      <patternFill patternType="solid">
        <fgColor rgb="FFF9F9F7"/>
      </patternFill>
    </fill>
    <fill>
      <patternFill patternType="solid">
        <fgColor rgb="FFFFFFFF"/>
      </patternFill>
    </fill>
    <fill>
      <patternFill patternType="solid">
        <fgColor rgb="FFE9E8E5"/>
      </patternFill>
    </fill>
    <fill>
      <patternFill patternType="solid">
        <fgColor theme="0" tint="-0.3499862666707358"/>
        <bgColor indexed="64"/>
      </patternFill>
    </fill>
    <fill>
      <patternFill patternType="solid">
        <fgColor theme="0" tint="-0.0499893185216834"/>
        <bgColor indexed="64"/>
      </patternFill>
    </fill>
    <fill>
      <patternFill patternType="solid">
        <fgColor theme="4" tint="0.7999816888943144"/>
        <bgColor indexed="64"/>
      </patternFill>
    </fill>
    <fill>
      <patternFill patternType="solid">
        <fgColor theme="3" tint="0.749992370372631"/>
        <bgColor indexed="64"/>
      </patternFill>
    </fill>
    <fill>
      <patternFill patternType="solid">
        <fgColor theme="0" tint="-0.1499984740745262"/>
        <bgColor indexed="64"/>
      </patternFill>
    </fill>
    <fill>
      <patternFill patternType="solid">
        <fgColor theme="7" tint="0.5999938962981048"/>
        <bgColor indexed="64"/>
      </patternFill>
    </fill>
    <fill>
      <patternFill patternType="solid">
        <fgColor theme="7" tint="-0.249977111117893"/>
        <bgColor theme="7" tint="-0.249977111117893"/>
      </patternFill>
    </fill>
    <fill>
      <patternFill patternType="solid">
        <fgColor rgb="FF1F3864"/>
        <bgColor rgb="FF333333"/>
      </patternFill>
    </fill>
    <fill>
      <patternFill patternType="solid">
        <fgColor rgb="FF2E5395"/>
        <bgColor rgb="FF1F3864"/>
      </patternFill>
    </fill>
    <fill>
      <patternFill patternType="solid">
        <fgColor rgb="FFF2F2F2"/>
        <bgColor rgb="FFF9F9F9"/>
      </patternFill>
    </fill>
    <fill>
      <patternFill patternType="solid">
        <fgColor theme="3" tint="-0.249977111117893"/>
        <bgColor rgb="FF333333"/>
      </patternFill>
    </fill>
    <fill>
      <patternFill patternType="solid">
        <fgColor rgb="FFFFFF00"/>
        <bgColor indexed="64"/>
      </patternFill>
    </fill>
    <fill>
      <patternFill patternType="solid">
        <fgColor theme="1" tint="0.249977111117893"/>
        <bgColor theme="1" tint="0.249977111117893"/>
      </patternFill>
    </fill>
    <fill>
      <patternFill patternType="solid">
        <fgColor rgb="FFF5F5F5"/>
        <bgColor indexed="64"/>
      </patternFill>
    </fill>
    <fill>
      <patternFill patternType="solid">
        <fgColor theme="7" tint="0.7999816888943144"/>
        <bgColor indexed="64"/>
      </patternFill>
    </fill>
    <fill>
      <patternFill patternType="solid">
        <fgColor theme="6" tint="0.7999816888943144"/>
        <bgColor indexed="64"/>
      </patternFill>
    </fill>
    <fill>
      <patternFill patternType="solid">
        <fgColor rgb="FFFFFF00"/>
        <bgColor rgb="FFF9F9F9"/>
      </patternFill>
    </fill>
    <fill>
      <patternFill patternType="solid">
        <fgColor rgb="FFC0C0C0"/>
        <bgColor indexed="64"/>
      </patternFill>
    </fill>
    <fill>
      <patternFill patternType="solid">
        <fgColor rgb="FF44B3E1"/>
        <bgColor indexed="64"/>
      </patternFill>
    </fill>
  </fills>
  <borders count="24">
    <border>
      <left/>
      <right/>
      <top/>
      <bottom/>
      <diagonal/>
    </border>
    <border>
      <left/>
      <right/>
      <top style="thin">
        <color theme="7" tint="-0.249977111117893"/>
      </top>
      <bottom style="thin">
        <color theme="7" tint="0.5999938962981048"/>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medium">
        <color theme="1" tint="0.499984740745262"/>
      </left>
      <right/>
      <top style="medium">
        <color theme="1" tint="0.499984740745262"/>
      </top>
      <bottom/>
      <diagonal/>
    </border>
    <border>
      <left/>
      <right/>
      <top style="medium">
        <color theme="1" tint="0.499984740745262"/>
      </top>
      <bottom/>
      <diagonal/>
    </border>
    <border>
      <left style="medium">
        <color rgb="FFE6E6E6"/>
      </left>
      <right style="medium">
        <color rgb="FFE6E6E6"/>
      </right>
      <top style="medium">
        <color rgb="FFE6E6E6"/>
      </top>
      <bottom style="medium">
        <color rgb="FFE6E6E6"/>
      </bottom>
      <diagonal/>
    </border>
    <border>
      <left/>
      <right style="thin">
        <color rgb="FFBFBFBF"/>
      </right>
      <top style="thin">
        <color rgb="FFBFBFBF"/>
      </top>
      <bottom style="thin">
        <color rgb="FFBFBFBF"/>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bottom style="hair">
        <color theme="0" tint="-0.499984740745262"/>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style="thin">
        <color rgb="FFBFBFBF"/>
      </top>
      <bottom/>
      <diagonal/>
    </border>
    <border>
      <left/>
      <right/>
      <top style="thin">
        <color rgb="FFBFBFBF"/>
      </top>
      <bottom/>
      <diagonal/>
    </border>
    <border>
      <left/>
      <right style="thin">
        <color rgb="FFBFBFBF"/>
      </right>
      <top style="thin">
        <color rgb="FFBFBFBF"/>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diagonal/>
    </border>
    <border>
      <left style="thin">
        <color rgb="FFBFBFBF"/>
      </left>
      <right/>
      <top/>
      <bottom/>
      <diagonal/>
    </border>
    <border>
      <left/>
      <right style="thin">
        <color rgb="FFBFBFBF"/>
      </right>
      <top/>
      <bottom/>
      <diagonal/>
    </border>
  </borders>
  <cellStyleXfs count="4">
    <xf numFmtId="0" fontId="6" fillId="0" borderId="0"/>
    <xf numFmtId="43" fontId="6" fillId="0" borderId="0"/>
    <xf numFmtId="0" fontId="18" fillId="0" borderId="0"/>
    <xf numFmtId="0" fontId="6" fillId="0" borderId="0"/>
  </cellStyleXfs>
  <cellXfs count="179">
    <xf numFmtId="0" fontId="0" fillId="0" borderId="0" pivotButton="0" quotePrefix="0" xfId="0"/>
    <xf numFmtId="0" fontId="0" fillId="3" borderId="0" applyAlignment="1" pivotButton="0" quotePrefix="0" xfId="0">
      <alignment vertical="center"/>
    </xf>
    <xf numFmtId="0" fontId="0" fillId="0" borderId="0" applyAlignment="1" pivotButton="0" quotePrefix="0" xfId="0">
      <alignment vertical="center"/>
    </xf>
    <xf numFmtId="0" fontId="5" fillId="0" borderId="0" pivotButton="0" quotePrefix="0" xfId="0"/>
    <xf numFmtId="0" fontId="5" fillId="0" borderId="0" applyAlignment="1" pivotButton="0" quotePrefix="0" xfId="0">
      <alignment horizontal="left"/>
    </xf>
    <xf numFmtId="164" fontId="0" fillId="0" borderId="0" pivotButton="0" quotePrefix="0" xfId="1"/>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8" fillId="0" borderId="0" pivotButton="0" quotePrefix="0" xfId="0"/>
    <xf numFmtId="0" fontId="10" fillId="9" borderId="0" applyAlignment="1" pivotButton="0" quotePrefix="0" xfId="0">
      <alignment horizontal="center"/>
    </xf>
    <xf numFmtId="0" fontId="10" fillId="7" borderId="0" applyAlignment="1" pivotButton="0" quotePrefix="0" xfId="0">
      <alignment horizontal="center"/>
    </xf>
    <xf numFmtId="0" fontId="10" fillId="8" borderId="0" applyAlignment="1" pivotButton="0" quotePrefix="0" xfId="0">
      <alignment horizontal="center"/>
    </xf>
    <xf numFmtId="0" fontId="11" fillId="0" borderId="0" pivotButton="0" quotePrefix="0" xfId="0"/>
    <xf numFmtId="0" fontId="10" fillId="10" borderId="0" applyAlignment="1" pivotButton="0" quotePrefix="0" xfId="0">
      <alignment horizontal="center"/>
    </xf>
    <xf numFmtId="14" fontId="11" fillId="6" borderId="0" applyAlignment="1" pivotButton="0" quotePrefix="0" xfId="0">
      <alignment vertical="center"/>
    </xf>
    <xf numFmtId="0" fontId="11" fillId="6" borderId="0" applyAlignment="1" pivotButton="0" quotePrefix="0" xfId="0">
      <alignment wrapText="1"/>
    </xf>
    <xf numFmtId="0" fontId="11" fillId="6" borderId="0" applyAlignment="1" pivotButton="0" quotePrefix="0" xfId="0">
      <alignment horizontal="center" vertical="center"/>
    </xf>
    <xf numFmtId="0" fontId="11" fillId="0" borderId="0" applyAlignment="1" pivotButton="0" quotePrefix="0" xfId="0">
      <alignment horizontal="center"/>
    </xf>
    <xf numFmtId="164" fontId="11" fillId="0" borderId="0" applyAlignment="1" pivotButton="0" quotePrefix="0" xfId="1">
      <alignment horizontal="center" vertical="center"/>
    </xf>
    <xf numFmtId="14" fontId="11" fillId="6" borderId="0" applyAlignment="1" pivotButton="0" quotePrefix="0" xfId="0">
      <alignment horizontal="center" vertical="center"/>
    </xf>
    <xf numFmtId="0" fontId="11" fillId="6" borderId="0" applyAlignment="1" pivotButton="0" quotePrefix="0" xfId="0">
      <alignment horizontal="left" vertical="center" wrapText="1"/>
    </xf>
    <xf numFmtId="0" fontId="11" fillId="6" borderId="0" applyAlignment="1" pivotButton="0" quotePrefix="0" xfId="0">
      <alignment horizontal="center" vertical="center" wrapText="1"/>
    </xf>
    <xf numFmtId="164" fontId="11" fillId="6" borderId="0" applyAlignment="1" pivotButton="0" quotePrefix="0" xfId="1">
      <alignment horizontal="center" vertical="center"/>
    </xf>
    <xf numFmtId="1" fontId="11" fillId="6" borderId="0" applyAlignment="1" pivotButton="0" quotePrefix="0" xfId="1">
      <alignment horizontal="center" vertical="center"/>
    </xf>
    <xf numFmtId="4" fontId="11" fillId="6" borderId="0" applyAlignment="1" pivotButton="0" quotePrefix="0" xfId="0">
      <alignment horizontal="center" vertical="center"/>
    </xf>
    <xf numFmtId="0" fontId="11" fillId="0" borderId="0" applyAlignment="1" pivotButton="0" quotePrefix="0" xfId="0">
      <alignment vertical="center" wrapText="1"/>
    </xf>
    <xf numFmtId="1" fontId="11" fillId="0" borderId="0" applyAlignment="1" pivotButton="0" quotePrefix="0" xfId="1">
      <alignment horizontal="center" vertical="center"/>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10" fillId="9" borderId="0" applyAlignment="1" pivotButton="0" quotePrefix="0" xfId="0">
      <alignment horizontal="center" vertical="center"/>
    </xf>
    <xf numFmtId="0" fontId="4" fillId="2" borderId="0" applyAlignment="1" pivotButton="0" quotePrefix="0" xfId="0">
      <alignment horizontal="left" vertical="center"/>
    </xf>
    <xf numFmtId="0" fontId="0" fillId="0" borderId="0" applyAlignment="1" pivotButton="0" quotePrefix="0" xfId="0">
      <alignment horizontal="left" vertical="center"/>
    </xf>
    <xf numFmtId="0" fontId="12" fillId="11" borderId="1" pivotButton="0" quotePrefix="0" xfId="0"/>
    <xf numFmtId="0" fontId="5" fillId="0" borderId="0" applyAlignment="1" pivotButton="0" quotePrefix="0" xfId="0">
      <alignment horizontal="center" vertical="center" wrapText="1"/>
    </xf>
    <xf numFmtId="0" fontId="17" fillId="12" borderId="2" applyAlignment="1" pivotButton="0" quotePrefix="0" xfId="0">
      <alignment horizontal="center" vertical="center"/>
    </xf>
    <xf numFmtId="0" fontId="18" fillId="0" borderId="0" pivotButton="0" quotePrefix="0" xfId="2"/>
    <xf numFmtId="0" fontId="27" fillId="0" borderId="0" pivotButton="0" quotePrefix="0" xfId="2"/>
    <xf numFmtId="0" fontId="27" fillId="0" borderId="2" pivotButton="0" quotePrefix="0" xfId="2"/>
    <xf numFmtId="1" fontId="27" fillId="0" borderId="2" pivotButton="0" quotePrefix="0" xfId="2"/>
    <xf numFmtId="14" fontId="27" fillId="0" borderId="2" pivotButton="0" quotePrefix="0" xfId="2"/>
    <xf numFmtId="0" fontId="14" fillId="0" borderId="0" pivotButton="0" quotePrefix="0" xfId="2"/>
    <xf numFmtId="0" fontId="28" fillId="15" borderId="2" applyAlignment="1" pivotButton="0" quotePrefix="0" xfId="3">
      <alignment horizontal="center" vertical="center"/>
    </xf>
    <xf numFmtId="0" fontId="10" fillId="9" borderId="0" applyAlignment="1" pivotButton="0" quotePrefix="0" xfId="0">
      <alignment horizontal="left" vertical="center" wrapText="1"/>
    </xf>
    <xf numFmtId="0" fontId="31" fillId="6" borderId="0" applyAlignment="1" pivotButton="0" quotePrefix="0" xfId="0">
      <alignment horizontal="left" vertical="center" wrapText="1"/>
    </xf>
    <xf numFmtId="0" fontId="5" fillId="0" borderId="0" pivotButton="1" quotePrefix="0" xfId="0"/>
    <xf numFmtId="0" fontId="0" fillId="2" borderId="0" applyAlignment="1" pivotButton="0" quotePrefix="0" xfId="0">
      <alignment vertical="center"/>
    </xf>
    <xf numFmtId="0" fontId="0" fillId="0" borderId="0" applyAlignment="1" pivotButton="0" quotePrefix="0" xfId="0">
      <alignment horizontal="center" vertical="center"/>
    </xf>
    <xf numFmtId="0" fontId="0" fillId="2" borderId="0" applyAlignment="1" pivotButton="0" quotePrefix="0" xfId="0">
      <alignment vertical="top" wrapText="1"/>
    </xf>
    <xf numFmtId="16" fontId="11" fillId="6" borderId="0" applyAlignment="1" pivotButton="0" quotePrefix="0" xfId="0">
      <alignment horizontal="center" vertical="center"/>
    </xf>
    <xf numFmtId="0" fontId="0" fillId="0" borderId="0" applyAlignment="1" pivotButton="0" quotePrefix="0" xfId="0">
      <alignment vertical="top"/>
    </xf>
    <xf numFmtId="14" fontId="0" fillId="2" borderId="0" applyAlignment="1" pivotButton="0" quotePrefix="0" xfId="0">
      <alignment horizontal="left" vertical="center"/>
    </xf>
    <xf numFmtId="14" fontId="17" fillId="12" borderId="2" applyAlignment="1" pivotButton="0" quotePrefix="0" xfId="0">
      <alignment horizontal="center" vertical="center"/>
    </xf>
    <xf numFmtId="14" fontId="0" fillId="2" borderId="0" applyAlignment="1" pivotButton="0" quotePrefix="0" xfId="0">
      <alignment horizontal="center" vertical="center"/>
    </xf>
    <xf numFmtId="14" fontId="0" fillId="0" borderId="0" applyAlignment="1" pivotButton="0" quotePrefix="0" xfId="0">
      <alignment horizontal="center" vertical="center"/>
    </xf>
    <xf numFmtId="1" fontId="0" fillId="0" borderId="0" pivotButton="0" quotePrefix="0" xfId="0"/>
    <xf numFmtId="0" fontId="33" fillId="18" borderId="6" applyAlignment="1" pivotButton="0" quotePrefix="0" xfId="0">
      <alignment horizontal="center" vertical="center"/>
    </xf>
    <xf numFmtId="0" fontId="32" fillId="0" borderId="6" applyAlignment="1" pivotButton="0" quotePrefix="0" xfId="0">
      <alignment vertical="center"/>
    </xf>
    <xf numFmtId="0" fontId="34" fillId="0" borderId="0" pivotButton="0" quotePrefix="0" xfId="0"/>
    <xf numFmtId="0" fontId="14" fillId="0" borderId="0" applyAlignment="1" pivotButton="0" quotePrefix="0" xfId="2">
      <alignment horizontal="left"/>
    </xf>
    <xf numFmtId="0" fontId="27" fillId="0" borderId="2" applyAlignment="1" pivotButton="0" quotePrefix="0" xfId="2">
      <alignment vertical="center"/>
    </xf>
    <xf numFmtId="0" fontId="4" fillId="2" borderId="0" applyAlignment="1" pivotButton="0" quotePrefix="0" xfId="0">
      <alignment vertical="center"/>
    </xf>
    <xf numFmtId="0" fontId="4" fillId="2" borderId="0" applyAlignment="1" pivotButton="0" quotePrefix="0" xfId="0">
      <alignment vertical="top" wrapText="1"/>
    </xf>
    <xf numFmtId="0" fontId="17" fillId="12" borderId="7" applyAlignment="1" pivotButton="0" quotePrefix="0" xfId="0">
      <alignment horizontal="center" vertical="center"/>
    </xf>
    <xf numFmtId="0" fontId="2" fillId="4" borderId="8" applyAlignment="1" pivotButton="0" quotePrefix="0" xfId="0">
      <alignment vertical="center"/>
    </xf>
    <xf numFmtId="0" fontId="3" fillId="5" borderId="8" applyAlignment="1" pivotButton="0" quotePrefix="0" xfId="0">
      <alignment vertical="center"/>
    </xf>
    <xf numFmtId="0" fontId="3" fillId="5" borderId="8" applyAlignment="1" pivotButton="0" quotePrefix="0" xfId="0">
      <alignment vertical="top" wrapText="1"/>
    </xf>
    <xf numFmtId="0" fontId="3" fillId="5" borderId="8" applyAlignment="1" pivotButton="0" quotePrefix="0" xfId="0">
      <alignment horizontal="left" vertical="center"/>
    </xf>
    <xf numFmtId="0" fontId="4" fillId="0" borderId="0" applyAlignment="1" pivotButton="0" quotePrefix="0" xfId="0">
      <alignment vertical="center"/>
    </xf>
    <xf numFmtId="0" fontId="0" fillId="0" borderId="0" applyAlignment="1" pivotButton="0" quotePrefix="0" xfId="0">
      <alignment vertical="top" wrapText="1"/>
    </xf>
    <xf numFmtId="0" fontId="35" fillId="6" borderId="8" applyAlignment="1" pivotButton="0" quotePrefix="0" xfId="0">
      <alignment horizontal="left" vertical="center"/>
    </xf>
    <xf numFmtId="0" fontId="35" fillId="3" borderId="8" applyAlignment="1" pivotButton="0" quotePrefix="0" xfId="0">
      <alignment horizontal="left" vertical="center"/>
    </xf>
    <xf numFmtId="1" fontId="35" fillId="3" borderId="8" applyAlignment="1" pivotButton="0" quotePrefix="0" xfId="0">
      <alignment horizontal="left" vertical="center"/>
    </xf>
    <xf numFmtId="0" fontId="35" fillId="3" borderId="8" applyAlignment="1" pivotButton="0" quotePrefix="0" xfId="0">
      <alignment horizontal="center" vertical="center"/>
    </xf>
    <xf numFmtId="14" fontId="35" fillId="3" borderId="8" applyAlignment="1" pivotButton="0" quotePrefix="0" xfId="0">
      <alignment horizontal="left" vertical="center"/>
    </xf>
    <xf numFmtId="165" fontId="35" fillId="3" borderId="8" applyAlignment="1" pivotButton="0" quotePrefix="0" xfId="0">
      <alignment horizontal="center" vertical="center"/>
    </xf>
    <xf numFmtId="0" fontId="35" fillId="3" borderId="0" applyAlignment="1" pivotButton="0" quotePrefix="0" xfId="0">
      <alignment horizontal="center" vertical="center"/>
    </xf>
    <xf numFmtId="14" fontId="35" fillId="3" borderId="0" applyAlignment="1" pivotButton="0" quotePrefix="0" xfId="0">
      <alignment horizontal="center" vertical="center"/>
    </xf>
    <xf numFmtId="0" fontId="35" fillId="0" borderId="0" applyAlignment="1" pivotButton="0" quotePrefix="0" xfId="0">
      <alignment horizontal="center" vertical="center"/>
    </xf>
    <xf numFmtId="0" fontId="2" fillId="4" borderId="9" applyAlignment="1" pivotButton="0" quotePrefix="0" xfId="0">
      <alignment vertical="center"/>
    </xf>
    <xf numFmtId="0" fontId="0" fillId="0" borderId="11" applyAlignment="1" pivotButton="0" quotePrefix="0" xfId="0">
      <alignment horizontal="left" vertical="center"/>
    </xf>
    <xf numFmtId="0" fontId="0" fillId="2" borderId="10" applyAlignment="1" pivotButton="0" quotePrefix="0" xfId="0">
      <alignment horizontal="left" vertical="center"/>
    </xf>
    <xf numFmtId="14" fontId="10" fillId="7" borderId="0" applyAlignment="1" pivotButton="0" quotePrefix="0" xfId="0">
      <alignment horizontal="center"/>
    </xf>
    <xf numFmtId="14" fontId="11" fillId="0" borderId="0" pivotButton="0" quotePrefix="0" xfId="0"/>
    <xf numFmtId="14" fontId="10" fillId="8" borderId="0" applyAlignment="1" pivotButton="0" quotePrefix="0" xfId="0">
      <alignment horizontal="center"/>
    </xf>
    <xf numFmtId="14" fontId="10" fillId="10" borderId="0" applyAlignment="1" pivotButton="0" quotePrefix="0" xfId="0">
      <alignment horizontal="center"/>
    </xf>
    <xf numFmtId="0" fontId="36" fillId="0" borderId="0" pivotButton="0" quotePrefix="0" xfId="2"/>
    <xf numFmtId="14" fontId="27" fillId="0" borderId="0" pivotButton="0" quotePrefix="0" xfId="2"/>
    <xf numFmtId="1" fontId="27" fillId="0" borderId="0" pivotButton="0" quotePrefix="0" xfId="2"/>
    <xf numFmtId="0" fontId="27" fillId="0" borderId="2" pivotButton="0" quotePrefix="1" xfId="2"/>
    <xf numFmtId="0" fontId="9" fillId="0" borderId="0" pivotButton="0" quotePrefix="0" xfId="0"/>
    <xf numFmtId="0" fontId="0" fillId="19" borderId="0" applyAlignment="1" pivotButton="0" quotePrefix="0" xfId="0">
      <alignment vertical="center"/>
    </xf>
    <xf numFmtId="0" fontId="0" fillId="19" borderId="0" pivotButton="0" quotePrefix="0" xfId="0"/>
    <xf numFmtId="0" fontId="20" fillId="0" borderId="0" pivotButton="0" quotePrefix="0" xfId="2"/>
    <xf numFmtId="0" fontId="11" fillId="6" borderId="0" pivotButton="0" quotePrefix="0" xfId="0"/>
    <xf numFmtId="14" fontId="11" fillId="0" borderId="0" applyAlignment="1" pivotButton="0" quotePrefix="0" xfId="0">
      <alignment horizontal="center" vertical="center"/>
    </xf>
    <xf numFmtId="0" fontId="11" fillId="0" borderId="0" applyAlignment="1" pivotButton="0" quotePrefix="0" xfId="0">
      <alignment horizontal="center" vertical="center"/>
    </xf>
    <xf numFmtId="0" fontId="11" fillId="0" borderId="0" applyAlignment="1" pivotButton="0" quotePrefix="0" xfId="0">
      <alignment wrapText="1"/>
    </xf>
    <xf numFmtId="0" fontId="1" fillId="0" borderId="0" applyAlignment="1" pivotButton="0" quotePrefix="0" xfId="0">
      <alignment horizontal="left" vertical="center" wrapText="1"/>
    </xf>
    <xf numFmtId="14" fontId="11" fillId="0" borderId="0" applyAlignment="1" pivotButton="0" quotePrefix="0" xfId="0">
      <alignment vertical="center"/>
    </xf>
    <xf numFmtId="0" fontId="21" fillId="13" borderId="0" applyAlignment="1" pivotButton="0" quotePrefix="0" xfId="2">
      <alignment horizontal="left" vertical="center"/>
    </xf>
    <xf numFmtId="0" fontId="21" fillId="13" borderId="0" applyAlignment="1" pivotButton="0" quotePrefix="0" xfId="2">
      <alignment horizontal="left" vertical="center" indent="1"/>
    </xf>
    <xf numFmtId="0" fontId="0" fillId="20" borderId="0" applyAlignment="1" pivotButton="0" quotePrefix="0" xfId="0">
      <alignment vertical="center"/>
    </xf>
    <xf numFmtId="0" fontId="21" fillId="0" borderId="0" applyAlignment="1" pivotButton="0" quotePrefix="0" xfId="2">
      <alignment horizontal="left" vertical="center"/>
    </xf>
    <xf numFmtId="0" fontId="22" fillId="0" borderId="0" applyAlignment="1" pivotButton="0" quotePrefix="0" xfId="2">
      <alignment horizontal="center"/>
    </xf>
    <xf numFmtId="1" fontId="23" fillId="0" borderId="0" applyAlignment="1" pivotButton="0" quotePrefix="0" xfId="2">
      <alignment horizontal="center" vertical="center"/>
    </xf>
    <xf numFmtId="1" fontId="27" fillId="0" borderId="2" applyAlignment="1" pivotButton="0" quotePrefix="0" xfId="2">
      <alignment horizontal="center"/>
    </xf>
    <xf numFmtId="1" fontId="29" fillId="0" borderId="2" applyAlignment="1" pivotButton="0" quotePrefix="0" xfId="2">
      <alignment horizontal="center"/>
    </xf>
    <xf numFmtId="0" fontId="14" fillId="0" borderId="2" applyAlignment="1" pivotButton="0" quotePrefix="0" xfId="2">
      <alignment horizontal="center" vertical="center"/>
    </xf>
    <xf numFmtId="1" fontId="11" fillId="16" borderId="0" applyAlignment="1" pivotButton="0" quotePrefix="0" xfId="1">
      <alignment horizontal="center" vertical="center"/>
    </xf>
    <xf numFmtId="14" fontId="11" fillId="16" borderId="0" applyAlignment="1" pivotButton="0" quotePrefix="0" xfId="0">
      <alignment vertical="center"/>
    </xf>
    <xf numFmtId="0" fontId="11" fillId="16" borderId="0" applyAlignment="1" pivotButton="0" quotePrefix="0" xfId="0">
      <alignment horizontal="left" vertical="center" wrapText="1"/>
    </xf>
    <xf numFmtId="0" fontId="11" fillId="16" borderId="0" applyAlignment="1" pivotButton="0" quotePrefix="0" xfId="0">
      <alignment horizontal="center" vertical="center" wrapText="1"/>
    </xf>
    <xf numFmtId="0" fontId="11" fillId="16" borderId="0" applyAlignment="1" pivotButton="0" quotePrefix="0" xfId="0">
      <alignment horizontal="center" vertical="center"/>
    </xf>
    <xf numFmtId="164" fontId="11" fillId="16" borderId="0" applyAlignment="1" pivotButton="0" quotePrefix="0" xfId="1">
      <alignment horizontal="center" vertical="center"/>
    </xf>
    <xf numFmtId="0" fontId="0" fillId="16" borderId="0" applyAlignment="1" pivotButton="0" quotePrefix="0" xfId="0">
      <alignment vertical="center"/>
    </xf>
    <xf numFmtId="0" fontId="39" fillId="22" borderId="19" applyAlignment="1" pivotButton="0" quotePrefix="0" xfId="0">
      <alignment vertical="center"/>
    </xf>
    <xf numFmtId="0" fontId="39" fillId="22" borderId="20" applyAlignment="1" pivotButton="0" quotePrefix="0" xfId="0">
      <alignment vertical="center"/>
    </xf>
    <xf numFmtId="0" fontId="39" fillId="23" borderId="20" applyAlignment="1" pivotButton="0" quotePrefix="0" xfId="0">
      <alignment vertical="center"/>
    </xf>
    <xf numFmtId="0" fontId="40" fillId="22" borderId="21" applyAlignment="1" pivotButton="0" quotePrefix="0" xfId="0">
      <alignment vertical="center"/>
    </xf>
    <xf numFmtId="1" fontId="11" fillId="6" borderId="0" applyAlignment="1" pivotButton="0" quotePrefix="0" xfId="1">
      <alignment horizontal="center" vertical="center"/>
    </xf>
    <xf numFmtId="14" fontId="41" fillId="3" borderId="0" applyAlignment="1" pivotButton="0" quotePrefix="0" xfId="0">
      <alignment horizontal="center" vertical="center"/>
    </xf>
    <xf numFmtId="0" fontId="41" fillId="6" borderId="8" applyAlignment="1" pivotButton="0" quotePrefix="0" xfId="0">
      <alignment horizontal="left" vertical="center"/>
    </xf>
    <xf numFmtId="14" fontId="41" fillId="3" borderId="8" applyAlignment="1" pivotButton="0" quotePrefix="0" xfId="0">
      <alignment horizontal="center" vertical="center"/>
    </xf>
    <xf numFmtId="0" fontId="42" fillId="4" borderId="8" applyAlignment="1" pivotButton="0" quotePrefix="0" xfId="0">
      <alignment vertical="center"/>
    </xf>
    <xf numFmtId="14" fontId="41" fillId="3" borderId="8" applyAlignment="1" pivotButton="0" quotePrefix="0" xfId="0">
      <alignment horizontal="left" vertical="center"/>
    </xf>
    <xf numFmtId="1" fontId="41" fillId="3" borderId="8" applyAlignment="1" pivotButton="0" quotePrefix="0" xfId="0">
      <alignment horizontal="left" vertical="center"/>
    </xf>
    <xf numFmtId="0" fontId="41" fillId="3" borderId="8" applyAlignment="1" pivotButton="0" quotePrefix="0" xfId="0">
      <alignment horizontal="center" vertical="center"/>
    </xf>
    <xf numFmtId="165" fontId="41" fillId="3" borderId="8" applyAlignment="1" pivotButton="0" quotePrefix="0" xfId="0">
      <alignment horizontal="center" vertical="center"/>
    </xf>
    <xf numFmtId="0" fontId="41" fillId="3" borderId="8" applyAlignment="1" pivotButton="0" quotePrefix="0" xfId="0">
      <alignment horizontal="left" vertical="center"/>
    </xf>
    <xf numFmtId="0" fontId="41" fillId="3" borderId="0" applyAlignment="1" pivotButton="0" quotePrefix="0" xfId="0">
      <alignment horizontal="center" vertical="center"/>
    </xf>
    <xf numFmtId="0" fontId="41" fillId="0" borderId="0" applyAlignment="1" pivotButton="0" quotePrefix="0" xfId="0">
      <alignment horizontal="center" vertical="center"/>
    </xf>
    <xf numFmtId="0" fontId="43" fillId="5" borderId="8" applyAlignment="1" pivotButton="0" quotePrefix="0" xfId="0">
      <alignment horizontal="left" vertical="center"/>
    </xf>
    <xf numFmtId="1" fontId="23" fillId="21" borderId="16" applyAlignment="1" pivotButton="0" quotePrefix="0" xfId="2">
      <alignment horizontal="center" vertical="center"/>
    </xf>
    <xf numFmtId="1" fontId="23" fillId="21" borderId="17" applyAlignment="1" pivotButton="0" quotePrefix="0" xfId="2">
      <alignment horizontal="center" vertical="center"/>
    </xf>
    <xf numFmtId="1" fontId="23" fillId="21" borderId="18" applyAlignment="1" pivotButton="0" quotePrefix="0" xfId="2">
      <alignment horizontal="center" vertical="center"/>
    </xf>
    <xf numFmtId="1" fontId="23" fillId="21" borderId="12" applyAlignment="1" pivotButton="0" quotePrefix="0" xfId="2">
      <alignment horizontal="center" vertical="center"/>
    </xf>
    <xf numFmtId="1" fontId="23" fillId="21" borderId="3" applyAlignment="1" pivotButton="0" quotePrefix="0" xfId="2">
      <alignment horizontal="center" vertical="center"/>
    </xf>
    <xf numFmtId="1" fontId="23" fillId="21" borderId="13" applyAlignment="1" pivotButton="0" quotePrefix="0" xfId="2">
      <alignment horizontal="center" vertical="center"/>
    </xf>
    <xf numFmtId="0" fontId="21" fillId="13" borderId="0" applyAlignment="1" pivotButton="0" quotePrefix="0" xfId="2">
      <alignment horizontal="center" vertical="center"/>
    </xf>
    <xf numFmtId="0" fontId="21" fillId="13" borderId="0" applyAlignment="1" pivotButton="0" quotePrefix="0" xfId="2">
      <alignment horizontal="left" vertical="center"/>
    </xf>
    <xf numFmtId="0" fontId="21" fillId="13" borderId="3" applyAlignment="1" pivotButton="0" quotePrefix="0" xfId="2">
      <alignment horizontal="left" vertical="center"/>
    </xf>
    <xf numFmtId="0" fontId="19" fillId="0" borderId="0" pivotButton="0" quotePrefix="0" xfId="2"/>
    <xf numFmtId="0" fontId="22" fillId="14" borderId="2" applyAlignment="1" pivotButton="0" quotePrefix="0" xfId="2">
      <alignment horizontal="center"/>
    </xf>
    <xf numFmtId="1" fontId="23" fillId="14" borderId="2" applyAlignment="1" pivotButton="0" quotePrefix="0" xfId="2">
      <alignment horizontal="center" vertical="center"/>
    </xf>
    <xf numFmtId="1" fontId="24" fillId="14" borderId="2" applyAlignment="1" pivotButton="0" quotePrefix="0" xfId="2">
      <alignment horizontal="center" vertical="center"/>
    </xf>
    <xf numFmtId="1" fontId="25" fillId="14" borderId="2" applyAlignment="1" pivotButton="0" quotePrefix="0" xfId="2">
      <alignment horizontal="center" vertical="center"/>
    </xf>
    <xf numFmtId="1" fontId="26" fillId="14" borderId="16" applyAlignment="1" pivotButton="0" quotePrefix="0" xfId="2">
      <alignment horizontal="center" vertical="center"/>
    </xf>
    <xf numFmtId="1" fontId="26" fillId="14" borderId="18" applyAlignment="1" pivotButton="0" quotePrefix="0" xfId="2">
      <alignment horizontal="center" vertical="center"/>
    </xf>
    <xf numFmtId="1" fontId="26" fillId="14" borderId="12" applyAlignment="1" pivotButton="0" quotePrefix="0" xfId="2">
      <alignment horizontal="center" vertical="center"/>
    </xf>
    <xf numFmtId="1" fontId="26" fillId="14" borderId="13" applyAlignment="1" pivotButton="0" quotePrefix="0" xfId="2">
      <alignment horizontal="center" vertical="center"/>
    </xf>
    <xf numFmtId="0" fontId="22" fillId="14" borderId="14" applyAlignment="1" pivotButton="0" quotePrefix="0" xfId="2">
      <alignment horizontal="center"/>
    </xf>
    <xf numFmtId="0" fontId="22" fillId="14" borderId="15" applyAlignment="1" pivotButton="0" quotePrefix="0" xfId="2">
      <alignment horizontal="center"/>
    </xf>
    <xf numFmtId="0" fontId="22" fillId="14" borderId="7" applyAlignment="1" pivotButton="0" quotePrefix="0" xfId="2">
      <alignment horizontal="center"/>
    </xf>
    <xf numFmtId="0" fontId="21" fillId="13" borderId="0" applyAlignment="1" pivotButton="0" quotePrefix="0" xfId="2">
      <alignment horizontal="left" vertical="center" indent="1"/>
    </xf>
    <xf numFmtId="0" fontId="30" fillId="17" borderId="4" applyAlignment="1" pivotButton="0" quotePrefix="0" xfId="0">
      <alignment horizontal="left"/>
    </xf>
    <xf numFmtId="0" fontId="30" fillId="17" borderId="5" applyAlignment="1" pivotButton="0" quotePrefix="0" xfId="0">
      <alignment horizontal="left"/>
    </xf>
    <xf numFmtId="0" fontId="10" fillId="7" borderId="0" applyAlignment="1" pivotButton="0" quotePrefix="0" xfId="0">
      <alignment horizontal="center"/>
    </xf>
    <xf numFmtId="0" fontId="10" fillId="8" borderId="0" applyAlignment="1" pivotButton="0" quotePrefix="0" xfId="0">
      <alignment horizontal="center"/>
    </xf>
    <xf numFmtId="14" fontId="10" fillId="10" borderId="0" applyAlignment="1" pivotButton="0" quotePrefix="0" xfId="0">
      <alignment horizontal="center"/>
    </xf>
    <xf numFmtId="0" fontId="10" fillId="10" borderId="0" applyAlignment="1" pivotButton="0" quotePrefix="0" xfId="0">
      <alignment horizontal="center"/>
    </xf>
    <xf numFmtId="0" fontId="10" fillId="9" borderId="0" applyAlignment="1" pivotButton="0" quotePrefix="0" xfId="0">
      <alignment horizontal="center"/>
    </xf>
    <xf numFmtId="0" fontId="5" fillId="0" borderId="0" pivotButton="0" quotePrefix="0" xfId="0"/>
    <xf numFmtId="164" fontId="0" fillId="0" borderId="0" pivotButton="0" quotePrefix="0" xfId="1"/>
    <xf numFmtId="0" fontId="0" fillId="0" borderId="3" pivotButton="0" quotePrefix="0" xfId="0"/>
    <xf numFmtId="0" fontId="0" fillId="0" borderId="7" pivotButton="0" quotePrefix="0" xfId="0"/>
    <xf numFmtId="0" fontId="0" fillId="0" borderId="15" pivotButton="0" quotePrefix="0" xfId="0"/>
    <xf numFmtId="0" fontId="0" fillId="0" borderId="18" pivotButton="0" quotePrefix="0" xfId="0"/>
    <xf numFmtId="1" fontId="26" fillId="14" borderId="2" applyAlignment="1" pivotButton="0" quotePrefix="0" xfId="2">
      <alignment horizontal="center" vertical="center"/>
    </xf>
    <xf numFmtId="1" fontId="23" fillId="21" borderId="2" applyAlignment="1" pivotButton="0" quotePrefix="0" xfId="2">
      <alignment horizontal="center" vertical="center"/>
    </xf>
    <xf numFmtId="0" fontId="0" fillId="0" borderId="17" pivotButton="0" quotePrefix="0" xfId="0"/>
    <xf numFmtId="0" fontId="0" fillId="0" borderId="12" pivotButton="0" quotePrefix="0" xfId="0"/>
    <xf numFmtId="0" fontId="0" fillId="0" borderId="13" pivotButton="0" quotePrefix="0" xfId="0"/>
    <xf numFmtId="0" fontId="0" fillId="0" borderId="5" pivotButton="0" quotePrefix="0" xfId="0"/>
    <xf numFmtId="164" fontId="11" fillId="0" borderId="0" applyAlignment="1" pivotButton="0" quotePrefix="0" xfId="1">
      <alignment horizontal="center" vertical="center"/>
    </xf>
    <xf numFmtId="164" fontId="11" fillId="6" borderId="0" applyAlignment="1" pivotButton="0" quotePrefix="0" xfId="1">
      <alignment horizontal="center" vertical="center"/>
    </xf>
    <xf numFmtId="164" fontId="11" fillId="16" borderId="0" applyAlignment="1" pivotButton="0" quotePrefix="0" xfId="1">
      <alignment horizontal="center" vertical="center"/>
    </xf>
    <xf numFmtId="165" fontId="35" fillId="3" borderId="8" applyAlignment="1" pivotButton="0" quotePrefix="0" xfId="0">
      <alignment horizontal="center" vertical="center"/>
    </xf>
    <xf numFmtId="165" fontId="41" fillId="3" borderId="8" applyAlignment="1" pivotButton="0" quotePrefix="0" xfId="0">
      <alignment horizontal="center" vertical="center"/>
    </xf>
  </cellXfs>
  <cellStyles count="4">
    <cellStyle name="Normal" xfId="0" builtinId="0"/>
    <cellStyle name="Vírgula" xfId="1" builtinId="3"/>
    <cellStyle name="Normal 2" xfId="2"/>
    <cellStyle name="Normal 2 2" xfId="3"/>
  </cellStyles>
  <dxfs count="151">
    <dxf>
      <font>
        <name val="Calibri"/>
        <strike val="0"/>
        <outline val="0"/>
        <shadow val="0"/>
        <condense val="0"/>
        <color auto="1"/>
        <extend val="0"/>
        <sz val="12"/>
        <vertAlign val="baseline"/>
      </font>
      <alignment horizontal="center" vertical="center"/>
    </dxf>
    <dxf>
      <alignment horizontal="general" vertical="center"/>
    </dxf>
    <dxf>
      <font>
        <name val="Calibri"/>
        <strike val="0"/>
        <outline val="0"/>
        <shadow val="0"/>
        <condense val="0"/>
        <color auto="1"/>
        <extend val="0"/>
        <sz val="12"/>
        <vertAlign val="baseline"/>
      </font>
      <alignment horizontal="center" vertical="center"/>
    </dxf>
    <dxf>
      <font>
        <name val="Calibri"/>
        <strike val="0"/>
        <outline val="0"/>
        <shadow val="0"/>
        <condense val="0"/>
        <color auto="1"/>
        <extend val="0"/>
        <sz val="12"/>
        <vertAlign val="baseline"/>
      </font>
      <alignment horizontal="center" vertical="center"/>
    </dxf>
    <dxf>
      <font>
        <name val="Calibri"/>
        <strike val="0"/>
        <outline val="0"/>
        <shadow val="0"/>
        <condense val="0"/>
        <color auto="1"/>
        <extend val="0"/>
        <sz val="12"/>
        <vertAlign val="baseline"/>
      </font>
      <alignment horizontal="center" vertical="center"/>
    </dxf>
    <dxf>
      <font>
        <name val="Calibri"/>
        <family val="2"/>
        <strike val="0"/>
        <outline val="0"/>
        <shadow val="0"/>
        <condense val="0"/>
        <color auto="1"/>
        <extend val="0"/>
        <sz val="12"/>
        <vertAlign val="baseline"/>
      </font>
      <numFmt numFmtId="19" formatCode="dd/mm/yyyy"/>
      <fill>
        <patternFill patternType="solid">
          <fgColor indexed="64"/>
          <bgColor rgb="FFFFFFFF"/>
        </patternFill>
      </fill>
      <alignment horizontal="center" vertical="center"/>
    </dxf>
    <dxf>
      <font>
        <name val="Calibri"/>
        <strike val="0"/>
        <outline val="0"/>
        <shadow val="0"/>
        <condense val="0"/>
        <color auto="1"/>
        <extend val="0"/>
        <sz val="12"/>
        <vertAlign val="baseline"/>
      </font>
      <fill>
        <patternFill patternType="solid">
          <fgColor indexed="64"/>
          <bgColor rgb="FFFFFFFF"/>
        </patternFill>
      </fill>
      <alignment horizontal="center" vertical="cent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64" formatCode="[$-416]mmm\-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9" formatCode="dd/mm/yy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9" formatCode="dd/mm/yyyy"/>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b val="1"/>
        <strike val="0"/>
        <outline val="0"/>
        <shadow val="0"/>
        <condense val="0"/>
        <color theme="0"/>
        <extend val="0"/>
        <sz val="12"/>
        <vertAlign val="baseline"/>
      </font>
      <fill>
        <patternFill patternType="solid">
          <fgColor indexed="64"/>
          <bgColor theme="0" tint="-0.3499862666707358"/>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alignment horizontal="general" vertical="center"/>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alignment vertical="center"/>
    </dxf>
    <dxf>
      <alignment vertical="center"/>
    </dxf>
    <dxf>
      <alignment vertical="center"/>
    </dxf>
    <dxf>
      <alignment wrapText="1"/>
    </dxf>
    <dxf>
      <alignment wrapText="1"/>
    </dxf>
    <dxf>
      <alignment wrapText="1"/>
    </dxf>
    <dxf>
      <alignment horizontal="center"/>
    </dxf>
    <dxf>
      <alignment horizontal="center"/>
    </dxf>
    <dxf>
      <alignment horizontal="center"/>
    </dxf>
    <dxf>
      <fill>
        <patternFill patternType="solid">
          <bgColor theme="5" tint="0.5999938962981048"/>
        </patternFill>
      </fill>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left" vertical="center" wrapText="1"/>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0" formatCode="General"/>
      <fill>
        <patternFill patternType="solid">
          <fgColor indexed="64"/>
          <bgColor theme="0" tint="-0.0499893185216834"/>
        </patternFill>
      </fill>
      <alignment horizontal="center" vertical="center" wrapText="1"/>
    </dxf>
    <dxf>
      <font>
        <name val="Arial"/>
        <family val="2"/>
        <strike val="0"/>
        <outline val="0"/>
        <shadow val="0"/>
        <condense val="0"/>
        <color theme="1"/>
        <extend val="0"/>
        <sz val="10"/>
        <vertAlign val="baseline"/>
      </font>
      <fill>
        <patternFill patternType="solid">
          <fgColor indexed="64"/>
          <bgColor theme="0" tint="-0.0499893185216834"/>
        </patternFill>
      </fill>
      <alignment horizontal="left" vertical="center" wrapText="1"/>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general" vertical="center"/>
    </dxf>
    <dxf>
      <font>
        <name val="Arial"/>
        <family val="2"/>
        <strike val="0"/>
        <outline val="0"/>
        <shadow val="0"/>
        <condense val="0"/>
        <color theme="1"/>
        <extend val="0"/>
        <sz val="10"/>
        <vertAlign val="baseline"/>
      </font>
      <numFmt numFmtId="1" formatCode="0"/>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 formatCode="0"/>
      <fill>
        <patternFill>
          <fgColor indexed="64"/>
          <bgColor indexed="65"/>
        </patternFill>
      </fill>
      <alignment horizontal="center" vertical="center"/>
    </dxf>
    <dxf>
      <font>
        <name val="Arial"/>
        <family val="2"/>
        <strike val="0"/>
        <outline val="0"/>
        <shadow val="0"/>
        <condense val="0"/>
        <color theme="1"/>
        <extend val="0"/>
        <sz val="10"/>
        <vertAlign val="baseline"/>
      </font>
      <numFmt numFmtId="1" formatCode="0"/>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b val="1"/>
        <strike val="0"/>
        <outline val="0"/>
        <shadow val="0"/>
        <condense val="0"/>
        <color theme="1"/>
        <extend val="0"/>
        <sz val="10"/>
        <vertAlign val="baseline"/>
      </font>
      <fill>
        <patternFill patternType="solid">
          <fgColor indexed="64"/>
          <bgColor theme="7" tint="0.5999938962981048"/>
        </patternFill>
      </fill>
      <alignment horizontal="center"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pivotCacheDefinition" Target="/xl/pivotCache/pivotCacheDefinition1.xml" Id="rId11" /><Relationship Type="http://schemas.openxmlformats.org/officeDocument/2006/relationships/pivotCacheDefinition" Target="/xl/pivotCache/pivotCacheDefinition2.xml" Id="rId12" /><Relationship Type="http://schemas.openxmlformats.org/officeDocument/2006/relationships/pivotCacheDefinition" Target="/xl/pivotCache/pivotCacheDefinition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rPr lang="pt-BR"/>
              <a:t>Atendidos — Últimos 7 Dias</a:t>
            </a:r>
          </a:p>
        </rich>
      </tx>
      <overlay val="0"/>
      <spPr>
        <a:noFill/>
        <a:ln>
          <a:noFill/>
          <a:prstDash val="solid"/>
        </a:ln>
      </spPr>
      <txPr>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t>None</a:t>
          </a:r>
          <a:endParaRPr lang="pt-BR"/>
        </a:p>
      </txPr>
    </title>
    <plotArea>
      <layout/>
      <barChart>
        <barDir val="col"/>
        <grouping val="clustered"/>
        <varyColors val="0"/>
        <ser>
          <idx val="0"/>
          <order val="0"/>
          <tx>
            <strRef>
              <f>Dashboard!$D$30</f>
              <strCache>
                <ptCount val="1"/>
                <pt idx="0">
                  <v>Atendidos</v>
                </pt>
              </strCache>
            </strRef>
          </tx>
          <spPr>
            <a:gradFill>
              <a:gsLst>
                <a:gs pos="0">
                  <a:schemeClr val="accent1"/>
                </a:gs>
                <a:gs pos="100000">
                  <a:schemeClr val="accent1">
                    <a:lumMod val="84000"/>
                  </a:schemeClr>
                </a:gs>
              </a:gsLst>
              <a:lin ang="5400000" scaled="1"/>
            </a:gra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inEnd"/>
            <showLegendKey val="0"/>
            <showVal val="1"/>
            <showCatName val="0"/>
            <showSerName val="0"/>
            <showPercent val="0"/>
            <showBubbleSize val="1"/>
            <showLeaderLines val="0"/>
          </dLbls>
          <cat>
            <strRef>
              <f>Dashboard!$C$31:$C$37</f>
              <strCache>
                <ptCount val="7"/>
                <pt idx="0">
                  <v>qua</v>
                </pt>
                <pt idx="1">
                  <v>qui</v>
                </pt>
                <pt idx="2">
                  <v>sex</v>
                </pt>
                <pt idx="3">
                  <v>sáb</v>
                </pt>
                <pt idx="4">
                  <v>dom</v>
                </pt>
                <pt idx="5">
                  <v>seg</v>
                </pt>
                <pt idx="6">
                  <v>ter</v>
                </pt>
              </strCache>
            </strRef>
          </cat>
          <val>
            <numRef>
              <f>Dashboard!$D$31:$D$37</f>
              <numCache>
                <formatCode>General</formatCode>
                <ptCount val="7"/>
                <pt idx="0">
                  <v>5</v>
                </pt>
                <pt idx="1">
                  <v>5</v>
                </pt>
                <pt idx="2">
                  <v>1</v>
                </pt>
                <pt idx="3">
                  <v>0</v>
                </pt>
                <pt idx="4">
                  <v>0</v>
                </pt>
                <pt idx="5">
                  <v>0</v>
                </pt>
                <pt idx="6">
                  <v>0</v>
                </pt>
              </numCache>
            </numRef>
          </val>
        </ser>
        <dLbls>
          <dLblPos val="inEnd"/>
          <showLegendKey val="0"/>
          <showVal val="1"/>
          <showCatName val="0"/>
          <showSerName val="0"/>
          <showPercent val="0"/>
          <showBubbleSize val="0"/>
        </dLbls>
        <gapWidth val="41"/>
        <axId val="64982124"/>
        <axId val="41706758"/>
      </barChart>
      <catAx>
        <axId val="64982124"/>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dk1">
                    <a:lumMod val="65000"/>
                    <a:lumOff val="35000"/>
                  </a:schemeClr>
                </a:solidFill>
                <effectLst/>
                <a:latin typeface="+mn-lt"/>
                <a:ea typeface="+mn-ea"/>
                <a:cs typeface="+mn-cs"/>
              </a:defRPr>
            </a:pPr>
            <a:r>
              <a:t>None</a:t>
            </a:r>
            <a:endParaRPr lang="pt-BR"/>
          </a:p>
        </txPr>
        <crossAx val="41706758"/>
        <crosses val="autoZero"/>
        <auto val="1"/>
        <lblAlgn val="ctr"/>
        <lblOffset val="100"/>
        <noMultiLvlLbl val="0"/>
      </catAx>
      <valAx>
        <axId val="41706758"/>
        <scaling>
          <orientation val="minMax"/>
        </scaling>
        <delete val="1"/>
        <axPos val="l"/>
        <numFmt formatCode="General" sourceLinked="1"/>
        <majorTickMark val="none"/>
        <minorTickMark val="none"/>
        <tickLblPos val="nextTo"/>
        <crossAx val="64982124"/>
        <crosses val="autoZero"/>
        <crossBetween val="between"/>
      </valAx>
    </plotArea>
    <plotVisOnly val="1"/>
    <dispBlanksAs val="gap"/>
  </chart>
  <spPr>
    <a:noFill/>
    <a:ln w="9525" cap="flat" cmpd="sng" algn="ctr">
      <a:solidFill>
        <a:schemeClr val="dk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pt-BR" sz="1600" b="1" i="0" strike="noStrike" baseline="0">
                <effectLst/>
              </a:rPr>
              <a:t>Chamados por Classificação - Em Aberto</a:t>
            </a:r>
            <a:endParaRPr lang="en-US" sz="1600"/>
          </a:p>
        </rich>
      </tx>
      <overlay val="0"/>
      <spPr>
        <a:noFill/>
        <a:ln>
          <a:noFill/>
          <a:prstDash val="solid"/>
        </a:ln>
      </spPr>
      <txPr>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t>None</a:t>
          </a:r>
          <a:endParaRPr lang="en-US"/>
        </a:p>
      </txPr>
    </title>
    <plotArea>
      <layout/>
      <pieChart>
        <varyColors val="1"/>
        <ser>
          <idx val="1"/>
          <order val="0"/>
          <tx>
            <strRef>
              <f>Dashboard!$P$10</f>
              <strCache>
                <ptCount val="1"/>
                <pt idx="0">
                  <v>Em Aberto</v>
                </pt>
              </strCache>
            </strRef>
          </tx>
          <spPr>
            <a:ln>
              <a:prstDash val="solid"/>
            </a:ln>
          </spPr>
          <dPt>
            <idx val="0"/>
            <bubble3D val="0"/>
            <spPr>
              <a:solidFill>
                <a:schemeClr val="accent1"/>
              </a:solidFill>
              <a:ln>
                <a:noFill/>
                <a:prstDash val="solid"/>
              </a:ln>
            </spPr>
          </dPt>
          <dPt>
            <idx val="1"/>
            <bubble3D val="0"/>
            <spPr>
              <a:solidFill>
                <a:schemeClr val="accent2"/>
              </a:solidFill>
              <a:ln>
                <a:noFill/>
                <a:prstDash val="solid"/>
              </a:ln>
            </spPr>
          </dPt>
          <dPt>
            <idx val="2"/>
            <bubble3D val="0"/>
            <spPr>
              <a:solidFill>
                <a:schemeClr val="accent3"/>
              </a:solidFill>
              <a:ln>
                <a:noFill/>
                <a:prstDash val="solid"/>
              </a:ln>
            </spPr>
          </dPt>
          <dPt>
            <idx val="3"/>
            <bubble3D val="0"/>
            <spPr>
              <a:solidFill>
                <a:schemeClr val="accent4"/>
              </a:solidFill>
              <a:ln>
                <a:noFill/>
                <a:prstDash val="solid"/>
              </a:ln>
            </spPr>
          </dPt>
          <dPt>
            <idx val="4"/>
            <bubble3D val="0"/>
            <spPr>
              <a:solidFill>
                <a:schemeClr val="accent5"/>
              </a:solidFill>
              <a:ln>
                <a:noFill/>
                <a:prstDash val="solid"/>
              </a:ln>
            </spPr>
          </dPt>
          <dPt>
            <idx val="5"/>
            <bubble3D val="0"/>
            <spPr>
              <a:solidFill>
                <a:schemeClr val="accent6"/>
              </a:solidFill>
              <a:ln>
                <a:noFill/>
                <a:prstDash val="solid"/>
              </a:ln>
            </spPr>
          </dPt>
          <dLbls>
            <spPr>
              <a:pattFill prst="pct75">
                <a:fgClr>
                  <a:schemeClr val="dk1">
                    <a:lumMod val="75000"/>
                    <a:lumOff val="25000"/>
                  </a:schemeClr>
                </a:fgClr>
                <a:bgClr>
                  <a:schemeClr val="dk1">
                    <a:lumMod val="65000"/>
                    <a:lumOff val="35000"/>
                  </a:schemeClr>
                </a:bgClr>
              </a:patt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ctr"/>
            <showLegendKey val="0"/>
            <showVal val="0"/>
            <showCatName val="0"/>
            <showSerName val="0"/>
            <showPercent val="1"/>
            <showBubbleSize val="0"/>
            <showLeaderLines val="1"/>
          </dLbls>
          <cat>
            <strRef>
              <f>Dashboard!$N$11:$N$16</f>
              <strCache>
                <ptCount val="6"/>
                <pt idx="0">
                  <v>Cancelamento e Reemissão de Nota Fiscal</v>
                </pt>
                <pt idx="1">
                  <v>Cobrança e Contestação</v>
                </pt>
                <pt idx="2">
                  <v>Pagamentos, Boletos e Recebimentos</v>
                </pt>
                <pt idx="3">
                  <v>Contratos, Comercial e Cadastro</v>
                </pt>
                <pt idx="4">
                  <v>Atendimento Administrativo e Suporte</v>
                </pt>
                <pt idx="5">
                  <v>Faturamento e Obrigações Fiscais</v>
                </pt>
              </strCache>
            </strRef>
          </cat>
          <val>
            <numRef>
              <f>Dashboard!$P$11:$P$16</f>
              <numCache>
                <formatCode>0</formatCode>
                <ptCount val="6"/>
                <pt idx="0">
                  <v>56</v>
                </pt>
                <pt idx="1">
                  <v>41</v>
                </pt>
                <pt idx="2">
                  <v>22</v>
                </pt>
                <pt idx="3">
                  <v>15</v>
                </pt>
                <pt idx="4">
                  <v>11</v>
                </pt>
                <pt idx="5">
                  <v>9</v>
                </pt>
              </numCache>
            </numRef>
          </val>
        </ser>
        <dLbls>
          <dLblPos val="ctr"/>
          <showLegendKey val="0"/>
          <showVal val="0"/>
          <showCatName val="0"/>
          <showSerName val="0"/>
          <showPercent val="1"/>
          <showBubbleSize val="0"/>
          <showLeaderLines val="1"/>
        </dLbls>
        <firstSliceAng val="0"/>
      </pieChart>
    </plotArea>
    <legend>
      <legendPos val="r"/>
      <layout>
        <manualLayout>
          <xMode val="edge"/>
          <yMode val="edge"/>
          <wMode val="factor"/>
          <hMode val="factor"/>
          <x val="0.4846857295300786"/>
          <y val="0.2355504571020539"/>
          <w val="0.4574316970441299"/>
          <h val="0.6268154813201966"/>
        </manualLayout>
      </layout>
      <overlay val="0"/>
      <spPr>
        <a:solidFill>
          <a:schemeClr val="lt1">
            <a:alpha val="39000"/>
            <a:lumMod val="95000"/>
          </a:schemeClr>
        </a:solidFill>
        <a:ln>
          <a:noFill/>
          <a:prstDash val="solid"/>
        </a:ln>
      </spPr>
      <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r>
            <a:t>None</a:t>
          </a:r>
          <a:endParaRPr lang="pt-BR"/>
        </a:p>
      </txPr>
    </legend>
    <plotVisOnly val="1"/>
    <dispBlanksAs val="gap"/>
  </chart>
  <spPr>
    <a:noFill/>
    <a:ln w="9525" cap="flat" cmpd="sng" algn="ctr">
      <a:solidFill>
        <a:schemeClr val="dk1">
          <a:lumMod val="25000"/>
          <a:lumOff val="7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rPr lang="pt-BR"/>
              <a:t>Atendidos por Mês — Jan a Set/2026</a:t>
            </a:r>
          </a:p>
        </rich>
      </tx>
      <overlay val="0"/>
      <spPr>
        <a:noFill/>
        <a:ln>
          <a:noFill/>
          <a:prstDash val="solid"/>
        </a:ln>
      </spPr>
      <txPr>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t>None</a:t>
          </a:r>
          <a:endParaRPr lang="pt-BR"/>
        </a:p>
      </txPr>
    </title>
    <plotArea>
      <layout/>
      <barChart>
        <barDir val="col"/>
        <grouping val="clustered"/>
        <varyColors val="0"/>
        <ser>
          <idx val="0"/>
          <order val="0"/>
          <tx>
            <strRef>
              <f>Dashboard!$C$10</f>
              <strCache>
                <ptCount val="1"/>
                <pt idx="0">
                  <v>Atendidos</v>
                </pt>
              </strCache>
            </strRef>
          </tx>
          <spPr>
            <a:gradFill>
              <a:gsLst>
                <a:gs pos="0">
                  <a:schemeClr val="accent1"/>
                </a:gs>
                <a:gs pos="100000">
                  <a:schemeClr val="accent1">
                    <a:lumMod val="84000"/>
                  </a:schemeClr>
                </a:gs>
              </a:gsLst>
              <a:lin ang="5400000" scaled="1"/>
            </a:gradFill>
            <a:ln>
              <a:noFill/>
              <a:prstDash val="solid"/>
            </a:ln>
          </spPr>
          <invertIfNegative val="0"/>
          <dLbls>
            <spPr>
              <a:solidFill>
                <a:schemeClr val="dk1">
                  <a:alpha val="75000"/>
                  <a:lumMod val="65000"/>
                  <a:lumOff val="35000"/>
                </a:schemeClr>
              </a:solidFill>
              <a:ln>
                <a:noFill/>
                <a:prstDash val="solid"/>
              </a:ln>
            </spPr>
            <txPr>
              <a:bodyPr rot="0" spcFirstLastPara="1" vertOverflow="clip" horzOverflow="clip"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inEnd"/>
            <showLegendKey val="0"/>
            <showVal val="1"/>
            <showCatName val="0"/>
            <showSerName val="0"/>
            <showPercent val="0"/>
            <showBubbleSize val="0"/>
            <showLeaderLines val="0"/>
          </dLbls>
          <cat>
            <strRef>
              <f>Dashboard!$B$15:$B$17</f>
              <strCache>
                <ptCount val="3"/>
                <pt idx="0">
                  <v>Jul/2026</v>
                </pt>
                <pt idx="1">
                  <v>Ago/2026</v>
                </pt>
                <pt idx="2">
                  <v>Set/2026</v>
                </pt>
              </strCache>
            </strRef>
          </cat>
          <val>
            <numRef>
              <f>Dashboard!$C$15:$C$17</f>
              <numCache>
                <formatCode>0</formatCode>
                <ptCount val="3"/>
                <pt idx="0">
                  <v>74</v>
                </pt>
                <pt idx="1">
                  <v>96</v>
                </pt>
                <pt idx="2">
                  <v>78</v>
                </pt>
              </numCache>
            </numRef>
          </val>
        </ser>
        <dLbls>
          <dLblPos val="inEnd"/>
          <showLegendKey val="0"/>
          <showVal val="1"/>
          <showCatName val="0"/>
          <showSerName val="0"/>
          <showPercent val="0"/>
          <showBubbleSize val="0"/>
        </dLbls>
        <gapWidth val="41"/>
        <axId val="82969063"/>
        <axId val="58735754"/>
      </barChart>
      <catAx>
        <axId val="82969063"/>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dk1">
                    <a:lumMod val="65000"/>
                    <a:lumOff val="35000"/>
                  </a:schemeClr>
                </a:solidFill>
                <effectLst/>
                <a:latin typeface="+mn-lt"/>
                <a:ea typeface="+mn-ea"/>
                <a:cs typeface="+mn-cs"/>
              </a:defRPr>
            </a:pPr>
            <a:r>
              <a:t>None</a:t>
            </a:r>
            <a:endParaRPr lang="pt-BR"/>
          </a:p>
        </txPr>
        <crossAx val="58735754"/>
        <crosses val="autoZero"/>
        <auto val="1"/>
        <lblAlgn val="ctr"/>
        <lblOffset val="100"/>
        <noMultiLvlLbl val="0"/>
      </catAx>
      <valAx>
        <axId val="58735754"/>
        <scaling>
          <orientation val="minMax"/>
        </scaling>
        <delete val="1"/>
        <axPos val="l"/>
        <numFmt formatCode="0" sourceLinked="1"/>
        <majorTickMark val="none"/>
        <minorTickMark val="none"/>
        <tickLblPos val="nextTo"/>
        <crossAx val="82969063"/>
        <crosses val="autoZero"/>
        <crossBetween val="between"/>
      </valAx>
    </plotArea>
    <plotVisOnly val="1"/>
    <dispBlanksAs val="gap"/>
  </chart>
  <spPr>
    <a:noFill/>
    <a:ln w="9525" cap="flat" cmpd="sng" algn="ctr">
      <a:solidFill>
        <a:schemeClr val="dk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600"/>
              <a:t>Origem Chamados</a:t>
            </a:r>
          </a:p>
        </rich>
      </tx>
      <layout>
        <manualLayout>
          <xMode val="edge"/>
          <yMode val="edge"/>
          <wMode val="factor"/>
          <hMode val="factor"/>
          <x val="0.2310492647827616"/>
          <y val="0.06785024191206737"/>
        </manualLayout>
      </layout>
      <overlay val="0"/>
      <spPr>
        <a:noFill/>
        <a:ln>
          <a:noFill/>
          <a:prstDash val="solid"/>
        </a:ln>
      </spPr>
      <txPr>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t>None</a:t>
          </a:r>
          <a:endParaRPr lang="pt-BR"/>
        </a:p>
      </txPr>
    </title>
    <plotArea>
      <layout/>
      <pieChart>
        <varyColors val="1"/>
        <ser>
          <idx val="0"/>
          <order val="0"/>
          <tx>
            <strRef>
              <f>Dashboard!$O$31:$O$31</f>
              <strCache>
                <ptCount val="1"/>
              </strCache>
            </strRef>
          </tx>
          <spPr>
            <a:ln>
              <a:prstDash val="solid"/>
            </a:ln>
          </spPr>
          <dPt>
            <idx val="0"/>
            <bubble3D val="0"/>
            <explosion val="3"/>
            <spPr>
              <a:solidFill>
                <a:schemeClr val="accent1"/>
              </a:solidFill>
              <a:ln>
                <a:noFill/>
                <a:prstDash val="solid"/>
              </a:ln>
            </spPr>
          </dPt>
          <dPt>
            <idx val="1"/>
            <bubble3D val="0"/>
            <spPr>
              <a:solidFill>
                <a:schemeClr val="accent2"/>
              </a:solidFill>
              <a:ln>
                <a:noFill/>
                <a:prstDash val="solid"/>
              </a:ln>
            </spPr>
          </dPt>
          <dLbls>
            <spPr>
              <a:pattFill prst="pct75">
                <a:fgClr>
                  <a:schemeClr val="dk1">
                    <a:lumMod val="75000"/>
                    <a:lumOff val="25000"/>
                  </a:schemeClr>
                </a:fgClr>
                <a:bgClr>
                  <a:schemeClr val="dk1">
                    <a:lumMod val="65000"/>
                    <a:lumOff val="35000"/>
                  </a:schemeClr>
                </a:bgClr>
              </a:patt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ctr"/>
            <showLegendKey val="0"/>
            <showVal val="0"/>
            <showCatName val="0"/>
            <showSerName val="0"/>
            <showPercent val="1"/>
            <showBubbleSize val="0"/>
            <showLeaderLines val="1"/>
          </dLbls>
          <cat>
            <strRef>
              <f>Dashboard!$N$32:$N$33</f>
              <strCache>
                <ptCount val="2"/>
                <pt idx="0">
                  <v>Interno</v>
                </pt>
                <pt idx="1">
                  <v>Externo</v>
                </pt>
              </strCache>
            </strRef>
          </cat>
          <val>
            <numRef>
              <f>Dashboard!$O$32:$O$33</f>
              <numCache>
                <formatCode>0</formatCode>
                <ptCount val="2"/>
                <pt idx="0">
                  <v>195</v>
                </pt>
                <pt idx="1">
                  <v>214</v>
                </pt>
              </numCache>
            </numRef>
          </val>
        </ser>
        <dLbls>
          <dLblPos val="ctr"/>
          <showLegendKey val="0"/>
          <showVal val="0"/>
          <showCatName val="0"/>
          <showSerName val="0"/>
          <showPercent val="1"/>
          <showBubbleSize val="0"/>
          <showLeaderLines val="1"/>
        </dLbls>
        <firstSliceAng val="0"/>
      </pieChart>
    </plotArea>
    <legend>
      <legendPos val="r"/>
      <overlay val="0"/>
      <spPr>
        <a:solidFill>
          <a:schemeClr val="lt1">
            <a:alpha val="39000"/>
            <a:lumMod val="95000"/>
          </a:schemeClr>
        </a:solidFill>
        <a:ln>
          <a:noFill/>
          <a:prstDash val="solid"/>
        </a:ln>
      </spPr>
      <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r>
            <a:t>None</a:t>
          </a:r>
          <a:endParaRPr lang="pt-BR"/>
        </a:p>
      </txPr>
    </legend>
    <plotVisOnly val="1"/>
    <dispBlanksAs val="gap"/>
  </chart>
  <spPr>
    <a:noFill/>
    <a:ln w="9525" cap="flat" cmpd="sng" algn="ctr">
      <a:solidFill>
        <a:schemeClr val="dk1">
          <a:lumMod val="25000"/>
          <a:lumOff val="75000"/>
        </a:schemeClr>
      </a:solidFill>
      <a:prstDash val="solid"/>
      <a:round/>
    </a:ln>
  </spPr>
</chartSpace>
</file>

<file path=xl/comments/comment1.xml><?xml version="1.0" encoding="utf-8"?>
<comments xmlns="http://schemas.openxmlformats.org/spreadsheetml/2006/main">
  <authors>
    <author>Amanda Alves Silva</author>
  </authors>
  <commentList>
    <comment ref="J6" authorId="0" shapeId="0">
      <text>
        <t>Amanda Alves Silva:
INCLUIR NATUREZA REABERTURA DOS CHAMADOS.</t>
      </text>
    </comment>
  </commentList>
</comments>
</file>

<file path=xl/comments/comment2.xml><?xml version="1.0" encoding="utf-8"?>
<comments xmlns="http://schemas.openxmlformats.org/spreadsheetml/2006/main">
  <authors>
    <author>tc={4AA6E79B-5704-4AC9-A8A6-82E3C0A2C199}</author>
  </authors>
  <commentList>
    <comment ref="S3" authorId="0" shapeId="0">
      <text>
        <t>[Comentário encadeado]
Sua versão do Excel permite que você leia este comentário encadeado, no entanto, as edições serão removidas se o arquivo for aberto em uma versão mais recente do Excel. Saiba mais: https://go.microsoft.com/fwlink/?linkid=870924
[Tasks]
Há uma tarefa ancorada a este comentário que não pode ser exibida no cliente.
Comentário:
    @Amanda Alves Silva  ajustar com mais uma coluna demonstrando o que é interno e externo (me procure para falarmos sobre o tema)</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4</col>
      <colOff>162401</colOff>
      <row>28</row>
      <rowOff>8731</rowOff>
    </from>
    <to>
      <col>11</col>
      <colOff>53975</colOff>
      <row>38</row>
      <rowOff>127840</rowOff>
    </to>
    <graphicFrame>
      <nvGraphicFramePr>
        <cNvPr id="1" name="Chart 1"/>
        <cNvGraphicFramePr/>
      </nvGraphicFramePr>
      <xfrm/>
      <a:graphic>
        <a:graphicData uri="http://schemas.openxmlformats.org/drawingml/2006/chart">
          <c:chart r:id="rId1"/>
        </a:graphicData>
      </a:graphic>
    </graphicFrame>
    <clientData/>
  </twoCellAnchor>
  <twoCellAnchor>
    <from>
      <col>12</col>
      <colOff>192365</colOff>
      <row>17</row>
      <rowOff>11673</rowOff>
    </from>
    <to>
      <col>18</col>
      <colOff>250032</colOff>
      <row>28</row>
      <rowOff>107157</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5</col>
      <colOff>206375</colOff>
      <row>8</row>
      <rowOff>23813</rowOff>
    </from>
    <to>
      <col>9</col>
      <colOff>530225</colOff>
      <row>18</row>
      <rowOff>45085</rowOff>
    </to>
    <graphicFrame>
      <nvGraphicFramePr>
        <cNvPr id="3" name="Chart 3"/>
        <cNvGraphicFramePr/>
      </nvGraphicFramePr>
      <xfrm/>
      <a:graphic>
        <a:graphicData uri="http://schemas.openxmlformats.org/drawingml/2006/chart">
          <c:chart r:id="rId3"/>
        </a:graphicData>
      </a:graphic>
    </graphicFrame>
    <clientData/>
  </twoCellAnchor>
  <twoCellAnchor>
    <from>
      <col>15</col>
      <colOff>102167</colOff>
      <row>29</row>
      <rowOff>142877</rowOff>
    </from>
    <to>
      <col>18</col>
      <colOff>256761</colOff>
      <row>37</row>
      <rowOff>121064</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3.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manda Alves Silva" refreshedDate="46269.66095520833" createdVersion="8" refreshedVersion="8" minRefreshableVersion="3" recordCount="279" r:id="rId1">
  <cacheSource type="worksheet">
    <worksheetSource ref="B4:V283" sheet="Compilado chamados"/>
  </cacheSource>
  <cacheFields count="24">
    <cacheField name="RESPONSÁVEL" uniqueList="1" numFmtId="0" sqlType="0" hierarchy="0" level="0" databaseField="1">
      <sharedItems count="7" containsBlank="1">
        <s v="Stephany Lima"/>
        <s v="Vanessa Araujo"/>
        <s v="Emilly Maria"/>
        <s v="Pamela de Sá"/>
        <s v="Fabiana Lisboa"/>
        <s v="Amanda Silva"/>
        <m u="1"/>
      </sharedItems>
    </cacheField>
    <cacheField name="Classificação" uniqueList="1" numFmtId="0" sqlType="0" hierarchy="0" level="0" databaseField="1">
      <sharedItems count="0"/>
    </cacheField>
    <cacheField name="Número do Chamado" uniqueList="1" numFmtId="0" sqlType="0" hierarchy="0" level="0" databaseField="1">
      <sharedItems count="0" containsInteger="1" containsNumber="1" containsSemiMixedTypes="0" containsString="0" minValue="12555846" maxValue="25299212"/>
    </cacheField>
    <cacheField name="Chamado Pai (clone)" uniqueList="1" numFmtId="0" sqlType="0" hierarchy="0" level="0" databaseField="1">
      <sharedItems count="0" containsInteger="1" containsMixedTypes="1" containsNumber="1" minValue="0" maxValue="24481840"/>
    </cacheField>
    <cacheField name="Número de protocolo" uniqueList="1" numFmtId="1" sqlType="0" hierarchy="0" level="0" databaseField="1">
      <sharedItems count="0" containsInteger="1" containsMixedTypes="1" containsNumber="1" minValue="0" maxValue="2620915729640"/>
    </cacheField>
    <cacheField name="Razão social" uniqueList="1" numFmtId="1" sqlType="0" hierarchy="0" level="0" databaseField="1">
      <sharedItems count="0"/>
    </cacheField>
    <cacheField name="CNPJ" uniqueList="1" numFmtId="0" sqlType="0" hierarchy="0" level="0" databaseField="1">
      <sharedItems count="0" containsBlank="1"/>
    </cacheField>
    <cacheField name="Causa raiz" uniqueList="1" numFmtId="0" sqlType="0" hierarchy="0" level="0" databaseField="1">
      <sharedItems count="0"/>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5">
        <s v="FINALIZADO"/>
        <s v="PENDENTE"/>
        <s v="EM ANDAMENTO"/>
        <s v="PENDENTE APROVAÇÃO CANCELAMENTO NF"/>
        <s v="falta encerrar"/>
      </sharedItems>
    </cacheField>
    <cacheField name="Prioridade" uniqueList="1" numFmtId="0" sqlType="0" hierarchy="0" level="0" databaseField="1">
      <sharedItems count="2">
        <s v="Médio"/>
        <s v="Alta"/>
      </sharedItems>
    </cacheField>
    <cacheField name="Assunto" uniqueList="1" numFmtId="0" sqlType="0" hierarchy="0" level="0" databaseField="1">
      <sharedItems count="0"/>
    </cacheField>
    <cacheField name="Data de abertura" uniqueList="1" numFmtId="14" sqlType="0" hierarchy="0" level="0" databaseField="1">
      <sharedItems count="117" containsDate="1" containsNonDate="0" containsSemiMixedTypes="0" containsString="0" minDate="2025-05-06T00:00:00" maxDate="2026-07-29T00:00:00">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sharedItems>
      <fieldGroup par="23"/>
    </cacheField>
    <cacheField name="Data da última modificação do chamado" uniqueList="1" numFmtId="0" sqlType="0" hierarchy="0" level="0" databaseField="1">
      <sharedItems count="0" containsDate="1" containsNonDate="0" containsSemiMixedTypes="0" containsString="0" minDate="2025-10-15T00:00:00" maxDate="2026-07-29T00:00:00"/>
    </cacheField>
    <cacheField name="Mês/Ano" uniqueList="1" numFmtId="164" sqlType="0" hierarchy="0" level="0" databaseField="1">
      <sharedItems count="0"/>
    </cacheField>
    <cacheField name="Proprietário do Chamado" uniqueList="1" numFmtId="0" sqlType="0" hierarchy="0" level="0" databaseField="1">
      <sharedItems count="0"/>
    </cacheField>
    <cacheField name="Email da Web" uniqueList="1" numFmtId="0" sqlType="0" hierarchy="0" level="0" databaseField="1">
      <sharedItems count="0"/>
    </cacheField>
    <cacheField name="Nome Fantasia" uniqueList="1" numFmtId="0" sqlType="0" hierarchy="0" level="0" databaseField="1">
      <sharedItems count="0"/>
    </cacheField>
    <cacheField name="Descrição" uniqueList="1" numFmtId="0" sqlType="0" hierarchy="0" level="0" databaseField="1">
      <sharedItems count="0" longText="1"/>
    </cacheField>
    <cacheField name="Descrição detalhada" uniqueList="1" numFmtId="0" sqlType="0" hierarchy="0" level="0" databaseField="1">
      <sharedItems count="0" longText="1"/>
    </cacheField>
    <cacheField name="Meses (Data de abertura)" uniqueList="1" numFmtId="0" sqlType="0" hierarchy="0" level="0" databaseField="0">
      <fieldGroup base="13">
        <rangePr autoStart="1" autoEnd="1" groupBy="months" startDate="2025-05-06T00:00:00" endDate="2026-07-29T00:00:00" groupInterval="1"/>
        <groupItems count="14">
          <s v="&lt;06/05/2025"/>
          <s v="jan"/>
          <s v="fev"/>
          <s v="mar"/>
          <s v="abr"/>
          <s v="mai"/>
          <s v="jun"/>
          <s v="jul"/>
          <s v="ago"/>
          <s v="set"/>
          <s v="out"/>
          <s v="nov"/>
          <s v="dez"/>
          <s v="&gt;29/07/2026"/>
        </groupItems>
      </fieldGroup>
    </cacheField>
    <cacheField name="Trimestres (Data de abertura)" uniqueList="1" numFmtId="0" sqlType="0" hierarchy="0" level="0" databaseField="0">
      <fieldGroup base="13">
        <rangePr autoStart="1" autoEnd="1" groupBy="quarters" startDate="2025-05-06T00:00:00" endDate="2026-07-29T00:00:00" groupInterval="1"/>
        <groupItems count="6">
          <s v="&lt;06/05/2025"/>
          <s v="Trim1"/>
          <s v="Trim2"/>
          <s v="Trim3"/>
          <s v="Trim4"/>
          <s v="&gt;29/07/2026"/>
        </groupItems>
      </fieldGroup>
    </cacheField>
    <cacheField name="Anos (Data de abertura)" uniqueList="1" numFmtId="0" sqlType="0" hierarchy="0" level="0" databaseField="0">
      <fieldGroup base="13">
        <rangePr autoStart="1" autoEnd="1" groupBy="years" startDate="2025-05-06T00:00:00" endDate="2026-07-29T00:00:00" groupInterval="1"/>
        <groupItems count="4">
          <s v="&lt;06/05/2025"/>
          <s v="2025"/>
          <s v="2026"/>
          <s v="&gt;29/07/2026"/>
        </groupItems>
      </fieldGroup>
    </cacheField>
  </cacheFields>
</pivotCacheDefinition>
</file>

<file path=xl/pivotCache/pivotCacheDefinition2.xml><?xml version="1.0" encoding="utf-8"?>
<pivotCacheDefinition xmlns:r="http://schemas.openxmlformats.org/officeDocument/2006/relationships" xmlns="http://schemas.openxmlformats.org/spreadsheetml/2006/main" refreshedBy="Amanda Alves Silva" refreshedDate="46269.66095462963" createdVersion="8" refreshedVersion="8" minRefreshableVersion="3" recordCount="379" r:id="rId1">
  <cacheSource type="worksheet">
    <worksheetSource ref="B4:V1048576" sheet="Compilado chamados"/>
  </cacheSource>
  <cacheFields count="21">
    <cacheField name="RESPONSÁVEL" uniqueList="1" numFmtId="0" sqlType="0" hierarchy="0" level="0" databaseField="1">
      <sharedItems count="7" containsBlank="1">
        <s v="Stephany Lima"/>
        <s v="Vanessa Araujo"/>
        <s v="Emilly Maria"/>
        <s v="Pamela de Sá"/>
        <s v="Fabiana Lisboa"/>
        <s v="Amanda Silva"/>
        <m/>
      </sharedItems>
    </cacheField>
    <cacheField name="Classificação" uniqueList="1" numFmtId="0" sqlType="0" hierarchy="0" level="0" databaseField="1">
      <sharedItems count="0" containsBlank="1"/>
    </cacheField>
    <cacheField name="Número do Chamado" uniqueList="1" numFmtId="0" sqlType="0" hierarchy="0" level="0" databaseField="1">
      <sharedItems count="0" containsBlank="1" containsInteger="1" containsNumber="1" containsString="0" minValue="12555846" maxValue="26819219"/>
    </cacheField>
    <cacheField name="Chamado Pai (clone)" uniqueList="1" numFmtId="0" sqlType="0" hierarchy="0" level="0" databaseField="1">
      <sharedItems count="0" containsBlank="1" containsInteger="1" containsMixedTypes="1" containsNumber="1" minValue="0" maxValue="25445188"/>
    </cacheField>
    <cacheField name="Número de protocolo" uniqueList="1" numFmtId="0" sqlType="0" hierarchy="0" level="0" databaseField="1">
      <sharedItems count="0" containsBlank="1" containsInteger="1" containsMixedTypes="1" containsNumber="1" minValue="0" maxValue="2621816990566"/>
    </cacheField>
    <cacheField name="Razão social" uniqueList="1" numFmtId="0" sqlType="0" hierarchy="0" level="0" databaseField="1">
      <sharedItems count="0" containsBlank="1"/>
    </cacheField>
    <cacheField name="CNPJ" uniqueList="1" numFmtId="0" sqlType="0" hierarchy="0" level="0" databaseField="1">
      <sharedItems count="0" containsBlank="1"/>
    </cacheField>
    <cacheField name="Causa raiz" uniqueList="1" numFmtId="0" sqlType="0" hierarchy="0" level="0" databaseField="1">
      <sharedItems count="0" containsBlank="1"/>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7" containsBlank="1" containsInteger="1" containsMixedTypes="1" containsNumber="1" minValue="0" maxValue="0">
        <s v="FINALIZADO"/>
        <s v="PENDENTE"/>
        <s v="EM ANDAMENTO"/>
        <s v="PENDENTE APROVAÇÃO CANCELAMENTO NF"/>
        <s v="falta encerrar"/>
        <m/>
        <n v="0" u="1"/>
      </sharedItems>
    </cacheField>
    <cacheField name="Prioridade" uniqueList="1" numFmtId="0" sqlType="0" hierarchy="0" level="0" databaseField="1">
      <sharedItems count="0" containsBlank="1"/>
    </cacheField>
    <cacheField name="Assunto" uniqueList="1" numFmtId="0" sqlType="0" hierarchy="0" level="0" databaseField="1">
      <sharedItems count="0" containsBlank="1"/>
    </cacheField>
    <cacheField name="Data de abertura" uniqueList="1" numFmtId="0" sqlType="0" hierarchy="0" level="0" databaseField="1">
      <sharedItems count="146" containsBlank="1" containsDate="1" containsMixedTypes="1" minDate="2025-05-06T00:00:00" maxDate="2026-09-02T00:00:00">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d v="2026-07-31T00:00:00"/>
        <d v="2026-07-30T00:00:00"/>
        <d v="2026-07-29T00:00:00"/>
        <d v="2026-08-04T00:00:00"/>
        <d v="2026-08-03T00:00:00"/>
        <d v="2026-08-06T00:00:00"/>
        <d v="2026-08-05T00:00:00"/>
        <d v="2026-08-13T00:00:00"/>
        <d v="2026-08-12T00:00:00"/>
        <d v="2026-08-11T00:00:00"/>
        <d v="2026-08-10T00:00:00"/>
        <d v="2026-08-18T00:00:00"/>
        <d v="2026-08-17T00:00:00"/>
        <d v="2026-08-14T00:00:00"/>
        <d v="2026-08-19T00:00:00"/>
        <d v="2026-08-20T00:00:00"/>
        <d v="2026-08-24T00:00:00"/>
        <d v="2026-08-21T00:00:00"/>
        <d v="2026-08-25T00:00:00"/>
        <d v="2026-09-01T00:00:00"/>
        <d v="2026-08-31T00:00:00"/>
        <d v="2026-08-28T00:00:00"/>
        <d v="2026-08-27T00:00:00"/>
        <d v="2026-08-26T00:00:00"/>
        <s v="02/09/2026"/>
        <m/>
        <s v="24/08/2026" u="1"/>
        <s v="21/08/2026" u="1"/>
        <s v="25/08/2026" u="1"/>
      </sharedItems>
    </cacheField>
    <cacheField name="Data da última modificação do chamado" uniqueList="1" numFmtId="0" sqlType="0" hierarchy="0" level="0" databaseField="1">
      <sharedItems count="0" containsBlank="1" containsDate="1" containsMixedTypes="1" minDate="2025-10-15T00:00:00" maxDate="2026-09-02T00:00:00"/>
    </cacheField>
    <cacheField name="Mês/Ano" uniqueList="1" numFmtId="0" sqlType="0" hierarchy="0" level="0" databaseField="1">
      <sharedItems count="18" containsBlank="1">
        <s v="mai/2025"/>
        <s v="jun/2025"/>
        <s v="jul/2025"/>
        <s v="set/2025"/>
        <s v="out/2025"/>
        <s v="nov/2025"/>
        <s v="dez/2025"/>
        <s v="jan/2026"/>
        <s v="fev/2026"/>
        <s v="mar/2026"/>
        <s v="abr/2026"/>
        <s v="mai/2026"/>
        <s v="jun/2026"/>
        <s v="jul/2026"/>
        <s v="ago/2025"/>
        <s v="ago/2026"/>
        <s v="set/2026"/>
        <m/>
      </sharedItems>
    </cacheField>
    <cacheField name="Proprietário do Chamado" uniqueList="1" numFmtId="0" sqlType="0" hierarchy="0" level="0" databaseField="1">
      <sharedItems count="0" containsBlank="1"/>
    </cacheField>
    <cacheField name="Email da Web" uniqueList="1" numFmtId="0" sqlType="0" hierarchy="0" level="0" databaseField="1">
      <sharedItems count="0" containsBlank="1"/>
    </cacheField>
    <cacheField name="Nome Fantasia" uniqueList="1" numFmtId="0" sqlType="0" hierarchy="0" level="0" databaseField="1">
      <sharedItems count="0" containsBlank="1"/>
    </cacheField>
    <cacheField name="Descrição" uniqueList="1" numFmtId="0" sqlType="0" hierarchy="0" level="0" databaseField="1">
      <sharedItems count="0" containsBlank="1" longText="1"/>
    </cacheField>
    <cacheField name="Descrição detalhada" uniqueList="1" numFmtId="0" sqlType="0" hierarchy="0" level="0" databaseField="1">
      <sharedItems count="0" containsBlank="1" longText="1"/>
    </cacheField>
  </cacheFields>
</pivotCacheDefinition>
</file>

<file path=xl/pivotCache/pivotCacheDefinition3.xml><?xml version="1.0" encoding="utf-8"?>
<pivotCacheDefinition xmlns:r="http://schemas.openxmlformats.org/officeDocument/2006/relationships" xmlns="http://schemas.openxmlformats.org/spreadsheetml/2006/main" refreshedBy="Amanda Alves Silva" refreshedDate="46290.39730983796" createdVersion="8" refreshedVersion="8" minRefreshableVersion="3" recordCount="401" r:id="rId1">
  <cacheSource type="worksheet">
    <worksheetSource ref="B4:AA405" sheet="Compilado chamados"/>
  </cacheSource>
  <cacheFields count="28">
    <cacheField name="RESPONSÁVEL" uniqueList="1" numFmtId="0" sqlType="0" hierarchy="0" level="0" databaseField="1">
      <sharedItems count="6">
        <s v="Stephany Lima"/>
        <s v="Vanessa Araujo"/>
        <s v="Emilly Maria"/>
        <s v="Amanda Silva"/>
        <s v="Pamela de Sá"/>
        <s v="Fabiana Lisboa"/>
      </sharedItems>
    </cacheField>
    <cacheField name="Classificação" uniqueList="1" numFmtId="0" sqlType="0" hierarchy="0" level="0" databaseField="1">
      <sharedItems count="7">
        <s v="Cobrança e Contestação"/>
        <s v="Contratos, Comercial e Cadastro"/>
        <s v="Cancelamento e Reemissão de Nota Fiscal"/>
        <s v="Pagamentos, Boletos e Recebimentos"/>
        <s v="Faturamento e Obrigações Fiscais"/>
        <s v="Atendimento Administrativo e Suporte"/>
        <e v="#N/A"/>
      </sharedItems>
    </cacheField>
    <cacheField name="Número do Chamado" uniqueList="1" numFmtId="0" sqlType="0" hierarchy="0" level="0" databaseField="1">
      <sharedItems count="0" containsInteger="1" containsNumber="1" containsSemiMixedTypes="0" containsString="0" minValue="12555846" maxValue="27391301"/>
    </cacheField>
    <cacheField name="Chamado Pai (clone)" uniqueList="1" numFmtId="0" sqlType="0" hierarchy="0" level="0" databaseField="1">
      <sharedItems count="0" containsInteger="1" containsMixedTypes="1" containsNumber="1" minValue="0" maxValue="25445188"/>
    </cacheField>
    <cacheField name="Número de protocolo" uniqueList="1" numFmtId="0" sqlType="0" hierarchy="0" level="0" databaseField="1">
      <sharedItems count="0" containsInteger="1" containsMixedTypes="1" containsNumber="1" minValue="0" maxValue="2621816990566"/>
    </cacheField>
    <cacheField name="Razão social" uniqueList="1" numFmtId="0" sqlType="0" hierarchy="0" level="0" databaseField="1">
      <sharedItems count="0"/>
    </cacheField>
    <cacheField name="CNPJ" uniqueList="1" numFmtId="0" sqlType="0" hierarchy="0" level="0" databaseField="1">
      <sharedItems count="0" containsBlank="1"/>
    </cacheField>
    <cacheField name="Causa raiz" uniqueList="1" numFmtId="0" sqlType="0" hierarchy="0" level="0" databaseField="1">
      <sharedItems count="0" containsBlank="1"/>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5" containsBlank="1">
        <s v="FINALIZADO"/>
        <s v="EM ANDAMENTO"/>
        <s v="PENDENTE"/>
        <s v="REABERTO" u="1"/>
        <m u="1"/>
      </sharedItems>
    </cacheField>
    <cacheField name="Prioridade" uniqueList="1" numFmtId="0" sqlType="0" hierarchy="0" level="0" databaseField="1">
      <sharedItems count="0"/>
    </cacheField>
    <cacheField name="Assunto" uniqueList="1" numFmtId="0" sqlType="0" hierarchy="0" level="0" databaseField="1">
      <sharedItems count="0"/>
    </cacheField>
    <cacheField name="Data de abertura" uniqueList="1" numFmtId="0" sqlType="0" hierarchy="0" level="0" databaseField="1">
      <sharedItems count="0" containsDate="1" containsMixedTypes="1" minDate="2025-05-06T00:00:00" maxDate="2026-09-11T00:00:00"/>
    </cacheField>
    <cacheField name="Data da última modificação do chamado" uniqueList="1" numFmtId="0" sqlType="0" hierarchy="0" level="0" databaseField="1">
      <sharedItems count="0" containsDate="1" containsMixedTypes="1" minDate="2025-10-15T00:00:00" maxDate="2026-09-12T00:00:00"/>
    </cacheField>
    <cacheField name="Mês/Ano" uniqueList="1" numFmtId="164" sqlType="0" hierarchy="0" level="0" databaseField="1">
      <sharedItems count="0"/>
    </cacheField>
    <cacheField name="Proprietário do Chamado" uniqueList="1" numFmtId="0" sqlType="0" hierarchy="0" level="0" databaseField="1">
      <sharedItems count="0"/>
    </cacheField>
    <cacheField name="Email da Web" uniqueList="1" numFmtId="0" sqlType="0" hierarchy="0" level="0" databaseField="1">
      <sharedItems count="0"/>
    </cacheField>
    <cacheField name="Nome Fantasia" uniqueList="1" numFmtId="0" sqlType="0" hierarchy="0" level="0" databaseField="1">
      <sharedItems count="0" containsBlank="1"/>
    </cacheField>
    <cacheField name="Descrição" uniqueList="1" numFmtId="0" sqlType="0" hierarchy="0" level="0" databaseField="1">
      <sharedItems count="0" containsBlank="1" longText="1"/>
    </cacheField>
    <cacheField name="Descrição detalhada" uniqueList="1" numFmtId="0" sqlType="0" hierarchy="0" level="0" databaseField="1">
      <sharedItems count="0" longText="1"/>
    </cacheField>
    <cacheField name="Ref." uniqueList="1" numFmtId="0" sqlType="0" hierarchy="0" level="0" databaseField="1">
      <sharedItems count="0"/>
    </cacheField>
    <cacheField name="Dt.Encerramento" uniqueList="1" numFmtId="14" sqlType="0" hierarchy="0" level="0" databaseField="1">
      <sharedItems count="58" containsBlank="1" containsDate="1" containsNonDate="0" containsString="0" minDate="2026-01-09T00:00:00" maxDate="2026-09-25T00:00:00">
        <d v="2026-08-11T00:00:00"/>
        <d v="2026-07-24T00:00:00"/>
        <d v="2026-08-12T00:00:00"/>
        <d v="2026-07-28T00:00:00"/>
        <d v="2026-07-31T00:00:00"/>
        <d v="2026-09-18T00:00:00"/>
        <d v="2026-08-26T00:00:00"/>
        <d v="2026-09-22T00:00:00"/>
        <d v="2026-09-23T00:00:00"/>
        <d v="2026-08-10T00:00:00"/>
        <m/>
        <d v="2026-07-11T00:00:00"/>
        <d v="2026-09-24T00:00:00"/>
        <d v="2026-07-21T00:00:00"/>
        <d v="2026-08-08T00:00:00"/>
        <d v="2026-08-06T00:00:00"/>
        <d v="2026-01-09T00:00:00"/>
        <d v="2026-08-05T00:00:00"/>
        <d v="2026-09-02T00:00:00"/>
        <d v="2026-08-07T00:00:00"/>
        <d v="2026-08-20T00:00:00"/>
        <d v="2026-03-27T00:00:00"/>
        <d v="2026-09-04T00:00:00"/>
        <d v="2026-07-29T00:00:00"/>
        <d v="2026-07-30T00:00:00"/>
        <d v="2026-08-04T00:00:00"/>
        <d v="2026-08-13T00:00:00"/>
        <d v="2026-07-27T00:00:00"/>
        <d v="2026-07-22T00:00:00"/>
        <d v="2026-09-09T00:00:00"/>
        <d v="2026-09-21T00:00:00"/>
        <d v="2026-05-15T00:00:00"/>
        <d v="2026-07-13T00:00:00"/>
        <d v="2026-08-25T00:00:00"/>
        <d v="2026-07-17T00:00:00"/>
        <d v="2026-07-23T00:00:00"/>
        <d v="2026-04-01T00:00:00"/>
        <d v="2026-09-08T00:00:00"/>
        <d v="2026-07-14T00:00:00"/>
        <d v="2026-08-14T00:00:00"/>
        <d v="2026-07-16T00:00:00"/>
        <d v="2026-05-06T00:00:00"/>
        <d v="2026-07-10T00:00:00"/>
        <d v="2026-09-03T00:00:00"/>
        <d v="2026-07-20T00:00:00"/>
        <d v="2026-05-20T00:00:00"/>
        <d v="2026-08-24T00:00:00"/>
        <d v="2026-09-15T00:00:00"/>
        <d v="2026-09-11T00:00:00"/>
        <d v="2026-07-15T00:00:00"/>
        <d v="2026-08-28T00:00:00"/>
        <d v="2026-09-10T00:00:00"/>
        <d v="2026-08-03T00:00:00"/>
        <d v="2026-08-18T00:00:00"/>
        <d v="2026-09-14T00:00:00"/>
        <d v="2026-08-27T00:00:00"/>
        <d v="2026-09-16T00:00:00"/>
        <d v="2026-09-17T00:00:00"/>
      </sharedItems>
      <fieldGroup par="27"/>
    </cacheField>
    <cacheField name="Situação" uniqueList="1" numFmtId="0" sqlType="0" hierarchy="0" level="0" databaseField="1">
      <sharedItems count="0"/>
    </cacheField>
    <cacheField name="Dias em Aberto" uniqueList="1" numFmtId="0" sqlType="0" hierarchy="0" level="0" databaseField="1">
      <sharedItems count="0" containsInteger="1" containsNumber="1" containsSemiMixedTypes="0" containsString="0" minValue="-46238" maxValue="462"/>
    </cacheField>
    <cacheField name="Aux_Ranking" uniqueList="1" numFmtId="0" sqlType="0" hierarchy="0" level="0" databaseField="1">
      <sharedItems count="0" containsMixedTypes="1" containsNumber="1" minValue="-46237.99707" maxValue="270.00028"/>
    </cacheField>
    <cacheField name="Dias (Dt.Encerramento)" uniqueList="1" numFmtId="0" sqlType="0" hierarchy="0" level="0" databaseField="0">
      <fieldGroup base="22">
        <rangePr autoStart="1" autoEnd="1" groupBy="days" startDate="2026-01-09T00:00:00" endDate="2026-09-25T00:00:00" groupInterval="1"/>
        <groupItems count="368">
          <s v="&lt;09/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25/09/2026"/>
        </groupItems>
      </fieldGroup>
    </cacheField>
    <cacheField name="Meses (Dt.Encerramento)" uniqueList="1" numFmtId="0" sqlType="0" hierarchy="0" level="0" databaseField="0">
      <fieldGroup base="22">
        <rangePr autoStart="1" autoEnd="1" groupBy="months" startDate="2026-01-09T00:00:00" endDate="2026-09-25T00:00:00" groupInterval="1"/>
        <groupItems count="14">
          <s v="&lt;09/01/2026"/>
          <s v="jan"/>
          <s v="fev"/>
          <s v="mar"/>
          <s v="abr"/>
          <s v="mai"/>
          <s v="jun"/>
          <s v="jul"/>
          <s v="ago"/>
          <s v="set"/>
          <s v="out"/>
          <s v="nov"/>
          <s v="dez"/>
          <s v="&gt;25/09/2026"/>
        </groupItems>
      </fieldGroup>
    </cacheField>
  </cacheFields>
</pivotCacheDefinition>
</file>

<file path=xl/pivotCache/pivotCacheRecords1.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Cache/pivotCacheRecords2.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Cache/pivotCacheRecords3.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8.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9.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10.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4" firstHeaderRow="0" firstDataRow="0" firstDataCol="0"/>
  <pivotFields count="24">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m="1"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6">
        <item t="data" sd="1" x="1"/>
        <item t="data" sd="1" x="0"/>
        <item t="data" sd="1" x="2"/>
        <item t="data" sd="1" x="3"/>
        <item t="data" sd="1" x="4"/>
        <item t="default" sd="1"/>
      </items>
    </pivotField>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showDropDowns="1" compact="1" outline="1" subtotalTop="1" dragToRow="1" dragToCol="1" dragToPage="1" dragToData="1" dragOff="1" showAll="0" topAutoShow="1" itemPageCount="10" sortType="manual" defaultSubtotal="1"/>
    <pivotField showDropDowns="1" compact="1" numFmtId="14" outline="0" subtotalTop="1" dragToRow="1" dragToCol="1" dragToPage="1" dragToData="1" dragOff="1" showAll="0" topAutoShow="1" itemPageCount="10" sortType="manual" defaultSubtotal="0">
      <items count="117">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s>
    </pivotField>
    <pivotField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 showDropDowns="1" compact="1" outline="1" subtotalTop="1" dragToRow="1" dragToCol="1" dragToPage="1" dragToData="1" dragOff="1" showAll="0" topAutoShow="1" itemPageCount="10" sortType="manual" defaultSubtotal="1">
      <items count="7">
        <item t="data" sd="1" x="0"/>
        <item t="data" sd="1" x="1"/>
        <item t="data" sd="1" x="2"/>
        <item t="data" sd="1" x="3"/>
        <item t="data" sd="1" x="4"/>
        <item t="data" sd="1" x="5"/>
        <item t="default" sd="1"/>
      </items>
    </pivotField>
    <pivotField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s>
  <rowFields count="2">
    <field x="11"/>
    <field x="0"/>
  </rowFields>
  <rowItems count="13">
    <i t="data" r="0" i="0">
      <x v="0"/>
    </i>
    <i t="data" r="1" i="0">
      <x v="0"/>
    </i>
    <i t="data" r="1" i="0">
      <x v="1"/>
    </i>
    <i t="data" r="1" i="0">
      <x v="3"/>
    </i>
    <i t="data" r="1" i="0">
      <x v="4"/>
    </i>
    <i t="data" r="0" i="0">
      <x v="1"/>
    </i>
    <i t="data" r="1" i="0">
      <x v="0"/>
    </i>
    <i t="data" r="1" i="0">
      <x v="1"/>
    </i>
    <i t="data" r="1" i="0">
      <x v="2"/>
    </i>
    <i t="data" r="1" i="0">
      <x v="3"/>
    </i>
    <i t="data" r="1" i="0">
      <x v="4"/>
    </i>
    <i t="data" r="1" i="0">
      <x v="6"/>
    </i>
    <i t="grand" r="0" i="0">
      <x v="0"/>
    </i>
  </rowItems>
  <colFields count="1">
    <field x="10"/>
  </colFields>
  <colItems count="6">
    <i t="data" r="0" i="0">
      <x v="0"/>
    </i>
    <i t="data" r="0" i="0">
      <x v="1"/>
    </i>
    <i t="data" r="0" i="0">
      <x v="2"/>
    </i>
    <i t="data" r="0" i="0">
      <x v="3"/>
    </i>
    <i t="data" r="0" i="0">
      <x v="4"/>
    </i>
    <i t="grand" r="0" i="0">
      <x v="0"/>
    </i>
  </colItems>
  <dataFields count="1">
    <dataField name="Contagem de Número do Chamado" fld="2" subtotal="count" showDataAs="normal" baseField="0" baseItem="0"/>
  </dataFields>
  <formats count="10">
    <format action="formatting" dxfId="150">
      <pivotArea type="all" dataOnly="0" outline="0" fieldPosition="0"/>
    </format>
    <format action="formatting" dxfId="149">
      <pivotArea type="normal" dataOnly="1" outline="0" collapsedLevelsAreSubtotals="1" fieldPosition="0"/>
    </format>
    <format action="formatting" dxfId="148">
      <pivotArea type="origin" dataOnly="0" labelOnly="1" outline="0" fieldPosition="0"/>
    </format>
    <format action="formatting" dxfId="147">
      <pivotArea field="10" type="button" dataOnly="0" labelOnly="1" outline="0" axis="axisCol" fieldPosition="0"/>
    </format>
    <format action="formatting" dxfId="146">
      <pivotArea type="topRight" dataOnly="0" labelOnly="1" outline="0" fieldPosition="0"/>
    </format>
    <format action="formatting" dxfId="145">
      <pivotArea type="normal" dataOnly="0" labelOnly="1" grandRow="1" outline="0" fieldPosition="0"/>
    </format>
    <format action="formatting" dxfId="144">
      <pivotArea type="normal" dataOnly="0" labelOnly="1" outline="1" fieldPosition="0">
        <references count="1">
          <reference field="10"/>
        </references>
      </pivotArea>
    </format>
    <format action="formatting" dxfId="143">
      <pivotArea type="normal" dataOnly="0" labelOnly="1" grandCol="1" outline="0" fieldPosition="0"/>
    </format>
    <format action="formatting" dxfId="142">
      <pivotArea type="normal" dataOnly="1" outline="0" collapsedLevelsAreSubtotals="1" fieldPosition="0"/>
    </format>
    <format action="formatting" dxfId="141">
      <pivotArea type="normal" dataOnly="0" labelOnly="1" grandRow="1" outline="0" fieldPosition="0"/>
    </format>
  </formats>
  <pivotTableStyleInfo name="PivotStyleMedium5"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ela dinâmica3" cacheId="1" dataOnRows="0" dataCaption="Valores" grandTotalCaptio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H4:K9" firstHeaderRow="1" firstDataRow="5" firstDataCol="1" rowPageCount="1" colPageCount="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0"/>
        <item t="data" sd="1" x="1"/>
        <item t="data" h="1" sd="1" x="2"/>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numFmtId="14" outline="1" subtotalTop="1" dragToRow="1" dragToCol="1" dragToPage="1" dragToData="1" dragOff="1" showAll="0" topAutoShow="1" itemPageCount="10" sortType="manual" defaultSubtotal="1">
      <items count="118">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0" x="7"/>
        <item t="data" sd="0" x="8"/>
        <item t="data" sd="0" x="9"/>
        <item t="data" sd="0" x="10"/>
        <item t="data" sd="0" x="11"/>
        <item t="data" sd="0" x="12"/>
        <item t="data" sd="0" x="13"/>
        <item t="default" sd="1"/>
      </items>
    </pivotField>
    <pivotField axis="axisCol" showDropDowns="1" compact="1" outline="1" subtotalTop="1" dragToRow="1" dragToCol="1" dragToPage="1" dragToData="1" dragOff="1" showAll="0" topAutoShow="1" itemPageCount="10" sortType="manual" defaultSubtotal="1">
      <items count="7">
        <item t="data" sd="0" x="0"/>
        <item t="data" sd="0" x="1"/>
        <item t="data" sd="0" x="2"/>
        <item t="data" sd="0" x="3"/>
        <item t="data" sd="0" x="4"/>
        <item t="data" sd="0" x="5"/>
        <item t="default" sd="1"/>
      </items>
    </pivotField>
    <pivotField axis="axisCol" showDropDowns="1" compact="1" outline="1" subtotalTop="1" dragToRow="1" dragToCol="1" dragToPage="1" dragToData="1" dragOff="1" showAll="0" topAutoShow="1" itemPageCount="10" sortType="manual" defaultSubtotal="1">
      <items count="5">
        <item t="data" sd="0" x="0"/>
        <item t="data" sd="0" x="1"/>
        <item t="data" sd="0" x="2"/>
        <item t="data" sd="0" x="3"/>
        <item t="default" sd="1"/>
      </items>
    </pivotField>
  </pivotFields>
  <rowItems count="1">
    <i t="data" r="0" i="0"/>
  </rowItems>
  <colFields count="4">
    <field x="23"/>
    <field x="22"/>
    <field x="21"/>
    <field x="13"/>
  </colFields>
  <colItems count="3">
    <i t="data" r="0" i="0">
      <x v="1"/>
    </i>
    <i t="data" r="0" i="0">
      <x v="2"/>
    </i>
    <i t="grand" r="0" i="0">
      <x v="0"/>
    </i>
  </colItems>
  <pageFields count="1">
    <pageField fld="10" hier="-1"/>
  </pageFields>
  <dataFields count="1">
    <dataField name="Contagem de Número de protocolo" fld="4" subtotal="count" showDataAs="normal" baseField="18" baseItem="1"/>
  </dataFields>
  <formats count="17">
    <format action="formatting" dxfId="140">
      <pivotArea type="normal" dataOnly="1" grandRow="1" outline="0" collapsedLevelsAreSubtotals="1" fieldPosition="0"/>
    </format>
    <format action="formatting" dxfId="139">
      <pivotArea type="normal" dataOnly="0" labelOnly="1" grandRow="1" outline="0" fieldPosition="0"/>
    </format>
    <format action="formatting" dxfId="138">
      <pivotArea type="normal" dataOnly="1" grandRow="1" outline="0" collapsedLevelsAreSubtotals="1" fieldPosition="0"/>
    </format>
    <format action="formatting" dxfId="137">
      <pivotArea type="normal" dataOnly="0" labelOnly="1" grandRow="1" outline="0" fieldPosition="0"/>
    </format>
    <format action="formatting" dxfId="136">
      <pivotArea type="normal" dataOnly="1" grandRow="1" outline="0" collapsedLevelsAreSubtotals="1" fieldPosition="0"/>
    </format>
    <format action="formatting" dxfId="135">
      <pivotArea type="normal" dataOnly="0" labelOnly="1" grandRow="1" outline="0" fieldPosition="0"/>
    </format>
    <format action="formatting" dxfId="134">
      <pivotArea type="all" dataOnly="0" outline="0" fieldPosition="0"/>
    </format>
    <format action="formatting" dxfId="133">
      <pivotArea type="normal" dataOnly="1" outline="0" collapsedLevelsAreSubtotals="1" fieldPosition="0"/>
    </format>
    <format action="formatting" dxfId="132">
      <pivotArea type="origin" dataOnly="0" labelOnly="1" outline="0" fieldPosition="0"/>
    </format>
    <format action="formatting" dxfId="131">
      <pivotArea field="23" type="button" dataOnly="0" labelOnly="1" outline="0" axis="axisCol" fieldPosition="0"/>
    </format>
    <format action="formatting" dxfId="130">
      <pivotArea field="22" type="button" dataOnly="0" labelOnly="1" outline="0" axis="axisCol" fieldPosition="1"/>
    </format>
    <format action="formatting" dxfId="129">
      <pivotArea field="21" type="button" dataOnly="0" labelOnly="1" outline="0" axis="axisCol" fieldPosition="2"/>
    </format>
    <format action="formatting" dxfId="128">
      <pivotArea type="normal" dataOnly="0" labelOnly="1" grandRow="1" outline="0" fieldPosition="0"/>
    </format>
    <format action="formatting" dxfId="127">
      <pivotArea type="normal" dataOnly="0" labelOnly="1" outline="1" fieldPosition="0">
        <references count="1">
          <reference field="23">
            <x v="1"/>
            <x v="2"/>
          </reference>
        </references>
      </pivotArea>
    </format>
    <format action="formatting" dxfId="126">
      <pivotArea type="normal" dataOnly="0" labelOnly="1" grandCol="1" outline="0" fieldPosition="0"/>
    </format>
    <format action="formatting" dxfId="125">
      <pivotArea type="normal" dataOnly="0" grandRow="1" outline="1" axis="axisRow" fieldPosition="0"/>
    </format>
    <format action="formatting" dxfId="124">
      <pivotArea type="normal" dataOnly="0" grandRow="1" outline="1" axis="axisRow" fieldPosition="0"/>
    </format>
  </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ela dinâmica2" cacheId="0"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R4:S10" firstHeaderRow="1" firstDataRow="1" firstDataCol="1" rowPageCount="2" colPageCount="1"/>
  <pivotFields count="21">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8">
        <item t="data" sd="1" x="1"/>
        <item t="data" sd="1" x="0"/>
        <item t="data" sd="1" x="5"/>
        <item t="data" sd="1" m="1" x="6"/>
        <item t="data" sd="1" x="2"/>
        <item t="data" sd="1" x="3"/>
        <item t="data"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0" subtotalTop="1" dragToRow="1" dragToCol="1" multipleItemSelectionAllowed="1" dragToPage="1" dragToData="1" dragOff="1" showAll="0" topAutoShow="1" itemPageCount="10" sortType="manual" defaultSubtotal="0">
      <items count="14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142"/>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m="1" x="143"/>
        <item t="data" sd="1" m="1" x="144"/>
        <item t="data" sd="1" m="1" x="145"/>
        <item t="data" sd="1" x="133"/>
        <item t="data" sd="1" x="134"/>
        <item t="data" sd="1" x="135"/>
        <item t="data" sd="1" x="136"/>
        <item t="data" sd="1" x="137"/>
        <item t="data" sd="1" x="138"/>
        <item t="data" sd="1" x="139"/>
        <item t="data" sd="1" x="140"/>
        <item t="data" sd="1" x="141"/>
      </items>
    </pivotField>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9">
        <item t="data" h="1" sd="1" x="10"/>
        <item t="data" h="1" sd="1" x="14"/>
        <item t="data" h="1" sd="1" x="6"/>
        <item t="data" h="1" sd="1" x="8"/>
        <item t="data" h="1" sd="1" x="7"/>
        <item t="data" h="1" sd="1" x="2"/>
        <item t="data" sd="1" x="13"/>
        <item t="data" h="1" sd="1" x="1"/>
        <item t="data" h="1" sd="1" x="12"/>
        <item t="data" h="1" sd="1" x="0"/>
        <item t="data" h="1" sd="1" x="11"/>
        <item t="data" h="1" sd="1" x="9"/>
        <item t="data" h="1" sd="1" x="5"/>
        <item t="data" h="1" sd="1" x="4"/>
        <item t="data" h="1" sd="1" x="3"/>
        <item t="data" h="1" sd="1" x="17"/>
        <item t="data" h="1" sd="1" x="15"/>
        <item t="data" h="1" sd="1" x="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6">
    <i t="data" r="0" i="0">
      <x v="0"/>
    </i>
    <i t="data" r="0" i="0">
      <x v="1"/>
    </i>
    <i t="data" r="0" i="0">
      <x v="2"/>
    </i>
    <i t="data" r="0" i="0">
      <x v="3"/>
    </i>
    <i t="data" r="0" i="0">
      <x v="4"/>
    </i>
    <i t="grand" r="0" i="0">
      <x v="0"/>
    </i>
  </rowItems>
  <colItems count="1">
    <i t="data" r="0" i="0"/>
  </colItems>
  <pageFields count="2">
    <pageField fld="15" hier="-1"/>
    <pageField fld="13" hier="-1"/>
  </pageFields>
  <dataFields count="1">
    <dataField name="Contagem de Número do Chamado" fld="2" subtotal="count" showDataAs="normal" baseField="0" baseItem="0"/>
  </dataFields>
  <formats count="9">
    <format action="formatting" dxfId="123">
      <pivotArea type="all" dataOnly="0" outline="0" fieldPosition="0"/>
    </format>
    <format action="formatting" dxfId="122">
      <pivotArea type="normal" dataOnly="1" outline="0" collapsedLevelsAreSubtotals="1" fieldPosition="0"/>
    </format>
    <format action="formatting" dxfId="121">
      <pivotArea type="origin" dataOnly="0" labelOnly="1" outline="0" fieldPosition="0"/>
    </format>
    <format action="formatting" dxfId="120">
      <pivotArea field="10" type="button" dataOnly="0" labelOnly="1" outline="0"/>
    </format>
    <format action="formatting" dxfId="119">
      <pivotArea type="topRight" dataOnly="0" labelOnly="1" outline="0" fieldPosition="0"/>
    </format>
    <format action="formatting" dxfId="118">
      <pivotArea type="normal" dataOnly="0" labelOnly="1" grandRow="1" outline="0" fieldPosition="0"/>
    </format>
    <format action="formatting" dxfId="117">
      <pivotArea type="normal" dataOnly="0" labelOnly="1" grandCol="1" outline="0" fieldPosition="0"/>
    </format>
    <format action="formatting" dxfId="116">
      <pivotArea type="normal" dataOnly="1" outline="0" collapsedLevelsAreSubtotals="1" fieldPosition="0"/>
    </format>
    <format action="formatting" dxfId="115">
      <pivotArea type="normal" dataOnly="0" labelOnly="1" grandRow="1" outline="0" fieldPosition="0"/>
    </format>
  </formats>
  <pivotTableStyleInfo name="PivotStyleMedium5"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ela dinâmica4"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21:C27" firstHeaderRow="1" firstDataRow="1" firstDataCol="1" rowPageCount="2" colPageCount="1"/>
  <pivotFields count="24">
    <pivotField axis="axisRow" showDropDowns="1" compact="1" outline="1" subtotalTop="1" dragToRow="1" dragToCol="1" dragToPage="1" dragToData="1" dragOff="1" showAll="0" topAutoShow="1" itemPageCount="10" sortType="ascending" defaultSubtotal="1">
      <items count="8">
        <item t="data" sd="1" x="5"/>
        <item t="data" sd="1" x="2"/>
        <item t="data" sd="1" x="4"/>
        <item t="data" sd="1" x="3"/>
        <item t="data" sd="1" x="0"/>
        <item t="data" sd="1" x="1"/>
        <item t="data" sd="1" m="1" x="6"/>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2"/>
        <item t="data" h="1" sd="1" x="0"/>
        <item t="data" sd="1" x="1"/>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1" subtotalTop="1" dragToRow="1" dragToCol="1" multipleItemSelectionAllowed="1" dragToPage="1" dragToData="1" dragOff="1" showAll="0" topAutoShow="1" itemPageCount="10" sortType="manual" defaultSubtotal="1">
      <items count="118">
        <item t="data" h="1" sd="1" x="0"/>
        <item t="data" h="1" sd="1" x="1"/>
        <item t="data" h="1" sd="1" x="2"/>
        <item t="data" h="1" sd="1" x="3"/>
        <item t="data" h="1" sd="1" x="113"/>
        <item t="data" h="1" sd="1" x="4"/>
        <item t="data" h="1" sd="1" x="5"/>
        <item t="data" h="1" sd="1" x="6"/>
        <item t="data" h="1" sd="1" x="7"/>
        <item t="data" h="1" sd="1" x="8"/>
        <item t="data" h="1" sd="1" x="9"/>
        <item t="data" h="1" sd="1" x="10"/>
        <item t="data" h="1" sd="1" x="11"/>
        <item t="data" h="1" sd="1" x="12"/>
        <item t="data" h="1" sd="1" x="13"/>
        <item t="data" h="1" sd="1" x="14"/>
        <item t="data" h="1" sd="1" x="15"/>
        <item t="data" h="1" sd="1" x="16"/>
        <item t="data" h="1" sd="1" x="17"/>
        <item t="data" h="1"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items count="4">
        <item t="data" sd="1" x="0"/>
        <item t="data" sd="1" x="1"/>
        <item t="data" sd="1" x="2"/>
        <item t="data" sd="1" x="3"/>
      </items>
    </pivotField>
  </pivotFields>
  <rowFields count="1">
    <field x="0"/>
  </rowFields>
  <rowItems count="6">
    <i t="data" r="0" i="0">
      <x v="1"/>
    </i>
    <i t="data" r="0" i="0">
      <x v="2"/>
    </i>
    <i t="data" r="0" i="0">
      <x v="3"/>
    </i>
    <i t="data" r="0" i="0">
      <x v="4"/>
    </i>
    <i t="data" r="0" i="0">
      <x v="5"/>
    </i>
    <i t="grand" r="0" i="0">
      <x v="0"/>
    </i>
  </rowItems>
  <colItems count="1">
    <i t="data" r="0" i="0"/>
  </colItems>
  <pageFields count="2">
    <pageField fld="10" hier="-1"/>
    <pageField fld="13" hier="-1"/>
  </pageFields>
  <dataFields count="1">
    <dataField name="Contagem  Chamado" fld="2" subtotal="count" showDataAs="normal" baseField="0" baseItem="0"/>
  </dataField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ela dinâmica3" cacheId="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5:B35" firstHeaderRow="1" firstDataRow="1" firstDataCol="1" rowPageCount="1" colPageCount="1"/>
  <pivotFields count="28">
    <pivotField axis="axisRow" showDropDowns="1" compact="1" outline="1" subtotalTop="1" dragToRow="1" dragToCol="1" dragToPage="1" dragToData="1" dragOff="1" showAll="0" topAutoShow="1" itemPageCount="10" sortType="manual" defaultSubtotal="1">
      <items count="7">
        <item t="data" sd="1" x="2"/>
        <item t="data" sd="1" x="5"/>
        <item t="data" sd="1" x="4"/>
        <item t="data" sd="1" x="0"/>
        <item t="data" sd="1" x="1"/>
        <item t="data" sd="1" x="3"/>
        <item t="default" sd="1"/>
      </items>
    </pivotField>
    <pivotField axis="axisRow" showDropDowns="1" compact="1" outline="1" subtotalTop="1" dragToRow="1" dragToCol="1" dragToPage="1" dragToData="1" dragOff="1" showAll="0" topAutoShow="1" itemPageCount="10" sortType="manual" defaultSubtotal="1">
      <items count="8">
        <item t="data" sd="1" x="5"/>
        <item t="data" sd="1" x="2"/>
        <item t="data" sd="1" x="0"/>
        <item t="data" sd="1" x="1"/>
        <item t="data" sd="1" x="4"/>
        <item t="data" sd="1" x="3"/>
        <item t="data" sd="1" x="6"/>
        <item t="default" sd="1"/>
      </items>
    </pivotField>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sd="1" x="1"/>
        <item t="data" h="1" sd="1" x="0"/>
        <item t="data" sd="1" x="2"/>
        <item t="data" h="1" sd="1" m="1" x="4"/>
        <item t="data" h="1" sd="1" m="1" x="3"/>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9">
        <item t="data" sd="1" x="21"/>
        <item t="data" sd="1" x="36"/>
        <item t="data" sd="1" x="41"/>
        <item t="data" sd="1" x="45"/>
        <item t="data" sd="1" x="42"/>
        <item t="data" sd="1" x="11"/>
        <item t="data" sd="1" x="32"/>
        <item t="data" sd="1" x="38"/>
        <item t="data" sd="1" x="49"/>
        <item t="data" sd="1" x="40"/>
        <item t="data" sd="1" x="34"/>
        <item t="data" sd="1" x="44"/>
        <item t="data" sd="1" x="13"/>
        <item t="data" sd="1" x="28"/>
        <item t="data" sd="1" x="35"/>
        <item t="data" sd="1" x="1"/>
        <item t="data" sd="1" x="27"/>
        <item t="data" sd="1" x="3"/>
        <item t="data" sd="1" x="23"/>
        <item t="data" sd="1" x="24"/>
        <item t="data" sd="1" x="4"/>
        <item t="data" sd="1" x="25"/>
        <item t="data" sd="1" x="17"/>
        <item t="data" sd="1" x="15"/>
        <item t="data" sd="1" x="10"/>
        <item t="data" sd="1" x="19"/>
        <item t="data" sd="1" x="14"/>
        <item t="data" sd="1" x="9"/>
        <item t="data" sd="1" x="0"/>
        <item t="data" sd="1" x="2"/>
        <item t="data" sd="1" x="26"/>
        <item t="data" sd="1" x="39"/>
        <item t="data" sd="1" x="53"/>
        <item t="data" sd="1" x="20"/>
        <item t="data" sd="1" x="6"/>
        <item t="data" sd="1" x="33"/>
        <item t="data" sd="1" x="46"/>
        <item t="data" sd="1" x="50"/>
        <item t="data" sd="1" x="18"/>
        <item t="data" sd="1" x="55"/>
        <item t="data" sd="1" x="22"/>
        <item t="data" sd="1" x="29"/>
        <item t="data" sd="1" x="37"/>
        <item t="data" sd="1" x="43"/>
        <item t="data" sd="1" x="51"/>
        <item t="data" sd="1" x="48"/>
        <item t="data" sd="1" x="16"/>
        <item t="data" sd="1" x="31"/>
        <item t="data" sd="1" x="52"/>
        <item t="data" sd="1" x="54"/>
        <item t="data" sd="1" x="47"/>
        <item t="data" sd="1" x="56"/>
        <item t="data" sd="1" x="57"/>
        <item t="data" sd="1" x="5"/>
        <item t="data" sd="1" x="7"/>
        <item t="data" sd="1" x="8"/>
        <item t="data" sd="1" x="12"/>
        <item t="data" sd="1" x="3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s>
  <rowFields count="2">
    <field x="0"/>
    <field x="1"/>
  </rowFields>
  <rowItems count="30">
    <i t="data" r="0" i="0">
      <x v="0"/>
    </i>
    <i t="data" r="1" i="0">
      <x v="0"/>
    </i>
    <i t="data" r="1" i="0">
      <x v="1"/>
    </i>
    <i t="data" r="1" i="0">
      <x v="2"/>
    </i>
    <i t="data" r="1" i="0">
      <x v="3"/>
    </i>
    <i t="data" r="1" i="0">
      <x v="4"/>
    </i>
    <i t="data" r="1" i="0">
      <x v="5"/>
    </i>
    <i t="data" r="0" i="0">
      <x v="2"/>
    </i>
    <i t="data" r="1" i="0">
      <x v="0"/>
    </i>
    <i t="data" r="1" i="0">
      <x v="1"/>
    </i>
    <i t="data" r="1" i="0">
      <x v="2"/>
    </i>
    <i t="data" r="1" i="0">
      <x v="3"/>
    </i>
    <i t="data" r="1" i="0">
      <x v="4"/>
    </i>
    <i t="data" r="1" i="0">
      <x v="5"/>
    </i>
    <i t="data" r="1" i="0">
      <x v="6"/>
    </i>
    <i t="data" r="0" i="0">
      <x v="3"/>
    </i>
    <i t="data" r="1" i="0">
      <x v="0"/>
    </i>
    <i t="data" r="1" i="0">
      <x v="1"/>
    </i>
    <i t="data" r="1" i="0">
      <x v="2"/>
    </i>
    <i t="data" r="1" i="0">
      <x v="3"/>
    </i>
    <i t="data" r="1" i="0">
      <x v="4"/>
    </i>
    <i t="data" r="1" i="0">
      <x v="5"/>
    </i>
    <i t="data" r="0" i="0">
      <x v="5"/>
    </i>
    <i t="data" r="1" i="0">
      <x v="0"/>
    </i>
    <i t="data" r="1" i="0">
      <x v="1"/>
    </i>
    <i t="data" r="1" i="0">
      <x v="2"/>
    </i>
    <i t="data" r="1" i="0">
      <x v="3"/>
    </i>
    <i t="data" r="1" i="0">
      <x v="4"/>
    </i>
    <i t="data" r="1" i="0">
      <x v="5"/>
    </i>
    <i t="grand" r="0" i="0">
      <x v="0"/>
    </i>
  </rowItems>
  <colItems count="1">
    <i t="data" r="0" i="0"/>
  </colItems>
  <pageFields count="1">
    <pageField fld="10" hier="-1"/>
  </pageFields>
  <dataFields count="1">
    <dataField name="Contagem de Número do Chamado" fld="2" subtotal="count" showDataAs="normal" baseField="0" baseItem="0"/>
  </dataFields>
  <pivotTableStyleInfo name="PivotStyleDark9"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ela dinâmica5" cacheId="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D5:BL15" firstHeaderRow="1" firstDataRow="4" firstDataCol="1" rowPageCount="1" colPageCount="1"/>
  <pivotFields count="28">
    <pivotField axis="axisRow" showDropDowns="1" compact="1" outline="1" subtotalTop="1" dragToRow="1" dragToCol="1" dragToPage="1" dragToData="1" dragOff="1" showAll="0" topAutoShow="1" itemPageCount="10" sortType="manual" defaultSubtotal="1">
      <items count="7">
        <item t="data" sd="0" x="2"/>
        <item t="data" sd="0" x="5"/>
        <item t="data" sd="0" x="4"/>
        <item t="data" sd="0" x="0"/>
        <item t="data" sd="0" x="1"/>
        <item t="data" sd="1" x="3"/>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1"/>
        <item t="data" sd="1" x="0"/>
        <item t="data" h="1" sd="1" x="2"/>
        <item t="data" h="1" sd="1" m="1" x="4"/>
        <item t="data" h="1" sd="1" m="1" x="3"/>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9">
        <item t="data" sd="1" x="21"/>
        <item t="data" sd="1" x="36"/>
        <item t="data" sd="1" x="41"/>
        <item t="data" sd="1" x="45"/>
        <item t="data" sd="1" x="42"/>
        <item t="data" sd="1" x="11"/>
        <item t="data" sd="1" x="32"/>
        <item t="data" sd="1" x="38"/>
        <item t="data" sd="1" x="49"/>
        <item t="data" sd="1" x="40"/>
        <item t="data" sd="1" x="34"/>
        <item t="data" sd="1" x="44"/>
        <item t="data" sd="1" x="13"/>
        <item t="data" sd="1" x="28"/>
        <item t="data" sd="1" x="35"/>
        <item t="data" sd="1" x="1"/>
        <item t="data" sd="1" x="27"/>
        <item t="data" sd="1" x="3"/>
        <item t="data" sd="1" x="23"/>
        <item t="data" sd="1" x="24"/>
        <item t="data" sd="1" x="4"/>
        <item t="data" sd="1" x="25"/>
        <item t="data" sd="1" x="10"/>
        <item t="data" sd="1" x="15"/>
        <item t="data" sd="1" x="17"/>
        <item t="data" sd="1" x="19"/>
        <item t="data" sd="1" x="14"/>
        <item t="data" sd="1" x="9"/>
        <item t="data" sd="1" x="0"/>
        <item t="data" sd="1" x="2"/>
        <item t="data" sd="1" x="26"/>
        <item t="data" sd="1" x="39"/>
        <item t="data" sd="1" x="53"/>
        <item t="data" sd="1" x="20"/>
        <item t="data" sd="1" x="6"/>
        <item t="data" sd="1" x="33"/>
        <item t="data" sd="1" x="46"/>
        <item t="data" sd="1" x="50"/>
        <item t="data" sd="1" x="18"/>
        <item t="data" sd="1" x="55"/>
        <item t="data" sd="1" x="22"/>
        <item t="data" sd="1" x="29"/>
        <item t="data" sd="1" x="37"/>
        <item t="data" sd="1" x="43"/>
        <item t="data" sd="1" x="51"/>
        <item t="data" sd="1" x="48"/>
        <item t="data" sd="1" x="16"/>
        <item t="data" sd="1" x="31"/>
        <item t="data" sd="1" x="52"/>
        <item t="data" sd="1" x="54"/>
        <item t="data" sd="1" x="47"/>
        <item t="data" sd="1" x="56"/>
        <item t="data" sd="1" x="57"/>
        <item t="data" sd="1" x="5"/>
        <item t="data" sd="1" x="7"/>
        <item t="data" sd="1" x="8"/>
        <item t="data" sd="1" x="12"/>
        <item t="data" sd="1" x="3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369">
        <item t="data" sd="0" x="1"/>
        <item t="data" sd="0" x="2"/>
        <item t="data" sd="0" x="3"/>
        <item t="data" sd="0" x="4"/>
        <item t="data" sd="0" x="5"/>
        <item t="data" sd="0" x="6"/>
        <item t="data" sd="0" x="7"/>
        <item t="data" sd="0" x="8"/>
        <item t="data" sd="0" x="9"/>
        <item t="data" sd="0" x="10"/>
        <item t="data" sd="0" x="11"/>
        <item t="data" sd="0" x="12"/>
        <item t="data" sd="0" x="13"/>
        <item t="data" sd="0" x="14"/>
        <item t="data" sd="0" x="15"/>
        <item t="data" sd="0" x="16"/>
        <item t="data" sd="0" x="17"/>
        <item t="data" sd="0" x="18"/>
        <item t="data" sd="0" x="19"/>
        <item t="data" sd="0" x="20"/>
        <item t="data" sd="0" x="21"/>
        <item t="data" sd="0" x="22"/>
        <item t="data" sd="0" x="23"/>
        <item t="data" sd="0" x="24"/>
        <item t="data" sd="0" x="25"/>
        <item t="data" sd="0" x="26"/>
        <item t="data" sd="0" x="27"/>
        <item t="data" sd="0" x="28"/>
        <item t="data" sd="0" x="29"/>
        <item t="data" sd="0" x="30"/>
        <item t="data" sd="0" x="31"/>
        <item t="data" sd="0" x="32"/>
        <item t="data" sd="0" x="33"/>
        <item t="data" sd="0" x="34"/>
        <item t="data" sd="0" x="35"/>
        <item t="data" sd="0" x="36"/>
        <item t="data" sd="0" x="37"/>
        <item t="data" sd="0" x="38"/>
        <item t="data" sd="0" x="39"/>
        <item t="data" sd="0" x="40"/>
        <item t="data" sd="0" x="41"/>
        <item t="data" sd="0" x="42"/>
        <item t="data" sd="0" x="43"/>
        <item t="data" sd="0" x="44"/>
        <item t="data" sd="0" x="45"/>
        <item t="data" sd="0" x="46"/>
        <item t="data" sd="0" x="47"/>
        <item t="data" sd="0" x="48"/>
        <item t="data" sd="0" x="49"/>
        <item t="data" sd="0" x="50"/>
        <item t="data" sd="0" x="51"/>
        <item t="data" sd="0" x="52"/>
        <item t="data" sd="0" x="53"/>
        <item t="data" sd="0" x="54"/>
        <item t="data" sd="0" x="55"/>
        <item t="data" sd="0" x="56"/>
        <item t="data" sd="0" x="57"/>
        <item t="data" sd="0" x="58"/>
        <item t="data" sd="0" x="59"/>
        <item t="data" sd="0" x="60"/>
        <item t="data" sd="0" x="61"/>
        <item t="data" sd="0" x="62"/>
        <item t="data" sd="0" x="63"/>
        <item t="data" sd="0" x="64"/>
        <item t="data" sd="0" x="65"/>
        <item t="data" sd="0" x="66"/>
        <item t="data" sd="0" x="67"/>
        <item t="data" sd="0" x="68"/>
        <item t="data" sd="0" x="69"/>
        <item t="data" sd="0" x="70"/>
        <item t="data" sd="0" x="71"/>
        <item t="data" sd="0" x="72"/>
        <item t="data" sd="0" x="73"/>
        <item t="data" sd="0" x="74"/>
        <item t="data" sd="0" x="75"/>
        <item t="data" sd="0" x="76"/>
        <item t="data" sd="0" x="77"/>
        <item t="data" sd="0" x="78"/>
        <item t="data" sd="0" x="79"/>
        <item t="data" sd="0" x="80"/>
        <item t="data" sd="0" x="81"/>
        <item t="data" sd="0" x="82"/>
        <item t="data" sd="0" x="83"/>
        <item t="data" sd="0" x="84"/>
        <item t="data" sd="0" x="85"/>
        <item t="data" sd="0" x="86"/>
        <item t="data" sd="0" x="87"/>
        <item t="data" sd="0" x="88"/>
        <item t="data" sd="0" x="89"/>
        <item t="data" sd="0" x="90"/>
        <item t="data" sd="0" x="91"/>
        <item t="data" sd="0" x="92"/>
        <item t="data" sd="0" x="93"/>
        <item t="data" sd="0" x="94"/>
        <item t="data" sd="0" x="95"/>
        <item t="data" sd="0" x="96"/>
        <item t="data" sd="0" x="97"/>
        <item t="data" sd="0" x="98"/>
        <item t="data" sd="0" x="99"/>
        <item t="data" sd="0" x="100"/>
        <item t="data" sd="0" x="101"/>
        <item t="data" sd="0" x="102"/>
        <item t="data" sd="0" x="103"/>
        <item t="data" sd="0" x="104"/>
        <item t="data" sd="0" x="105"/>
        <item t="data" sd="0" x="106"/>
        <item t="data" sd="0" x="107"/>
        <item t="data" sd="0" x="108"/>
        <item t="data" sd="0" x="109"/>
        <item t="data" sd="0" x="110"/>
        <item t="data" sd="0" x="111"/>
        <item t="data" sd="0" x="112"/>
        <item t="data" sd="0" x="113"/>
        <item t="data" sd="0" x="114"/>
        <item t="data" sd="0" x="115"/>
        <item t="data" sd="0" x="116"/>
        <item t="data" sd="0" x="117"/>
        <item t="data" sd="0" x="118"/>
        <item t="data" sd="0" x="119"/>
        <item t="data" sd="0" x="120"/>
        <item t="data" sd="0" x="121"/>
        <item t="data" sd="0" x="122"/>
        <item t="data" sd="0" x="123"/>
        <item t="data" sd="0" x="124"/>
        <item t="data" sd="0" x="125"/>
        <item t="data" sd="0" x="126"/>
        <item t="data" sd="0" x="127"/>
        <item t="data" sd="0" x="128"/>
        <item t="data" sd="0" x="129"/>
        <item t="data" sd="0" x="130"/>
        <item t="data" sd="0" x="131"/>
        <item t="data" sd="0" x="132"/>
        <item t="data" sd="0" x="133"/>
        <item t="data" sd="0" x="134"/>
        <item t="data" sd="0" x="135"/>
        <item t="data" sd="0" x="136"/>
        <item t="data" sd="0" x="137"/>
        <item t="data" sd="0" x="138"/>
        <item t="data" sd="0" x="139"/>
        <item t="data" sd="0" x="140"/>
        <item t="data" sd="0" x="141"/>
        <item t="data" sd="0" x="142"/>
        <item t="data" sd="0" x="143"/>
        <item t="data" sd="0" x="144"/>
        <item t="data" sd="0" x="145"/>
        <item t="data" sd="0" x="146"/>
        <item t="data" sd="0" x="147"/>
        <item t="data" sd="0" x="148"/>
        <item t="data" sd="0" x="149"/>
        <item t="data" sd="0" x="150"/>
        <item t="data" sd="0" x="151"/>
        <item t="data" sd="0" x="152"/>
        <item t="data" sd="0" x="153"/>
        <item t="data" sd="0" x="154"/>
        <item t="data" sd="0" x="155"/>
        <item t="data" sd="0" x="156"/>
        <item t="data" sd="0" x="157"/>
        <item t="data" sd="0" x="158"/>
        <item t="data" sd="0" x="159"/>
        <item t="data" sd="0" x="160"/>
        <item t="data" sd="0" x="161"/>
        <item t="data" sd="0" x="162"/>
        <item t="data" sd="0" x="163"/>
        <item t="data" sd="0" x="164"/>
        <item t="data" sd="0" x="165"/>
        <item t="data" sd="0" x="166"/>
        <item t="data" sd="0" x="167"/>
        <item t="data" sd="0" x="168"/>
        <item t="data" sd="0" x="169"/>
        <item t="data" sd="0" x="170"/>
        <item t="data" sd="0" x="171"/>
        <item t="data" sd="0" x="172"/>
        <item t="data" sd="0" x="173"/>
        <item t="data" sd="0" x="174"/>
        <item t="data" sd="0" x="175"/>
        <item t="data" sd="0" x="176"/>
        <item t="data" sd="0" x="177"/>
        <item t="data" sd="0" x="178"/>
        <item t="data" sd="0" x="179"/>
        <item t="data" sd="0" x="180"/>
        <item t="data" sd="0" x="181"/>
        <item t="data" sd="0" x="182"/>
        <item t="data" sd="0" x="183"/>
        <item t="data" sd="0" x="184"/>
        <item t="data" sd="0" x="185"/>
        <item t="data" sd="0" x="186"/>
        <item t="data" sd="0" x="187"/>
        <item t="data" sd="0" x="188"/>
        <item t="data" sd="0" x="189"/>
        <item t="data" sd="0" x="190"/>
        <item t="data" sd="0" x="191"/>
        <item t="data" sd="0" x="192"/>
        <item t="data" sd="0" x="193"/>
        <item t="data" sd="0" x="194"/>
        <item t="data" sd="0" x="195"/>
        <item t="data" sd="0" x="196"/>
        <item t="data" sd="0" x="197"/>
        <item t="data" sd="0" x="198"/>
        <item t="data" sd="0" x="199"/>
        <item t="data" sd="0" x="200"/>
        <item t="data" sd="0" x="201"/>
        <item t="data" sd="0" x="202"/>
        <item t="data" sd="0" x="203"/>
        <item t="data" sd="0" x="204"/>
        <item t="data" sd="0" x="205"/>
        <item t="data" sd="0" x="206"/>
        <item t="data" sd="0" x="207"/>
        <item t="data" sd="0" x="208"/>
        <item t="data" sd="0" x="209"/>
        <item t="data" sd="0" x="210"/>
        <item t="data" sd="0" x="211"/>
        <item t="data" sd="0" x="212"/>
        <item t="data" sd="0" x="213"/>
        <item t="data" sd="0" x="214"/>
        <item t="data" sd="0" x="215"/>
        <item t="data" sd="0" x="216"/>
        <item t="data" sd="0" x="217"/>
        <item t="data" sd="0" x="218"/>
        <item t="data" sd="0" x="219"/>
        <item t="data" sd="0" x="220"/>
        <item t="data" sd="0" x="221"/>
        <item t="data" sd="0" x="222"/>
        <item t="data" sd="0" x="223"/>
        <item t="data" sd="0" x="224"/>
        <item t="data" sd="0" x="225"/>
        <item t="data" sd="0" x="226"/>
        <item t="data" sd="0" x="227"/>
        <item t="data" sd="0" x="228"/>
        <item t="data" sd="0" x="229"/>
        <item t="data" sd="0" x="230"/>
        <item t="data" sd="0" x="231"/>
        <item t="data" sd="0" x="232"/>
        <item t="data" sd="0" x="233"/>
        <item t="data" sd="0" x="234"/>
        <item t="data" sd="0" x="235"/>
        <item t="data" sd="0" x="236"/>
        <item t="data" sd="0" x="237"/>
        <item t="data" sd="0" x="238"/>
        <item t="data" sd="0" x="239"/>
        <item t="data" sd="0" x="240"/>
        <item t="data" sd="0" x="241"/>
        <item t="data" sd="0" x="242"/>
        <item t="data" sd="0" x="243"/>
        <item t="data" sd="0" x="244"/>
        <item t="data" sd="0" x="245"/>
        <item t="data" sd="0" x="246"/>
        <item t="data" sd="0" x="247"/>
        <item t="data" sd="0" x="248"/>
        <item t="data" sd="0" x="249"/>
        <item t="data" sd="0" x="250"/>
        <item t="data" sd="0" x="251"/>
        <item t="data" sd="0" x="252"/>
        <item t="data" sd="0" x="253"/>
        <item t="data" sd="0" x="254"/>
        <item t="data" sd="0" x="255"/>
        <item t="data" sd="0" x="256"/>
        <item t="data" sd="0" x="257"/>
        <item t="data" sd="0" x="258"/>
        <item t="data" sd="0" x="259"/>
        <item t="data" sd="0" x="260"/>
        <item t="data" sd="0" x="261"/>
        <item t="data" sd="0" x="262"/>
        <item t="data" sd="0" x="263"/>
        <item t="data" sd="0" x="264"/>
        <item t="data" sd="0" x="265"/>
        <item t="data" sd="0" x="266"/>
        <item t="data" sd="0" x="267"/>
        <item t="data" sd="0" x="268"/>
        <item t="data" sd="0" x="269"/>
        <item t="data" sd="0" x="270"/>
        <item t="data" sd="0" x="271"/>
        <item t="data" sd="0" x="272"/>
        <item t="data" sd="0" x="273"/>
        <item t="data" sd="0" x="274"/>
        <item t="data" sd="0" x="275"/>
        <item t="data" sd="0" x="276"/>
        <item t="data" sd="0" x="277"/>
        <item t="data" sd="0" x="278"/>
        <item t="data" sd="0" x="279"/>
        <item t="data" sd="0" x="280"/>
        <item t="data" sd="0" x="281"/>
        <item t="data" sd="0" x="282"/>
        <item t="data" sd="0" x="283"/>
        <item t="data" sd="0" x="284"/>
        <item t="data" sd="0" x="285"/>
        <item t="data" sd="0" x="286"/>
        <item t="data" sd="0" x="287"/>
        <item t="data" sd="0" x="288"/>
        <item t="data" sd="0" x="289"/>
        <item t="data" sd="0" x="290"/>
        <item t="data" sd="0" x="291"/>
        <item t="data" sd="0" x="292"/>
        <item t="data" sd="0" x="293"/>
        <item t="data" sd="0" x="294"/>
        <item t="data" sd="0" x="295"/>
        <item t="data" sd="0" x="296"/>
        <item t="data" sd="0" x="297"/>
        <item t="data" sd="0" x="298"/>
        <item t="data" sd="0" x="299"/>
        <item t="data" sd="0" x="300"/>
        <item t="data" sd="0" x="301"/>
        <item t="data" sd="0" x="302"/>
        <item t="data" sd="0" x="303"/>
        <item t="data" sd="0" x="304"/>
        <item t="data" sd="0" x="305"/>
        <item t="data" sd="0" x="306"/>
        <item t="data" sd="0" x="307"/>
        <item t="data" sd="0" x="308"/>
        <item t="data" sd="0" x="309"/>
        <item t="data" sd="0" x="310"/>
        <item t="data" sd="0" x="311"/>
        <item t="data" sd="0" x="312"/>
        <item t="data" sd="0" x="313"/>
        <item t="data" sd="0" x="314"/>
        <item t="data" sd="0" x="315"/>
        <item t="data" sd="0" x="316"/>
        <item t="data" sd="0" x="317"/>
        <item t="data" sd="0" x="318"/>
        <item t="data" sd="0" x="319"/>
        <item t="data" sd="0" x="320"/>
        <item t="data" sd="0" x="321"/>
        <item t="data" sd="0" x="322"/>
        <item t="data" sd="0" x="323"/>
        <item t="data" sd="0" x="324"/>
        <item t="data" sd="0" x="325"/>
        <item t="data" sd="0" x="326"/>
        <item t="data" sd="0" x="327"/>
        <item t="data" sd="0" x="328"/>
        <item t="data" sd="0" x="329"/>
        <item t="data" sd="0" x="330"/>
        <item t="data" sd="0" x="331"/>
        <item t="data" sd="0" x="332"/>
        <item t="data" sd="0" x="333"/>
        <item t="data" sd="0" x="334"/>
        <item t="data" sd="0" x="335"/>
        <item t="data" sd="0" x="336"/>
        <item t="data" sd="0" x="337"/>
        <item t="data" sd="0" x="338"/>
        <item t="data" sd="0" x="339"/>
        <item t="data" sd="0" x="340"/>
        <item t="data" sd="0" x="341"/>
        <item t="data" sd="0" x="342"/>
        <item t="data" sd="0" x="343"/>
        <item t="data" sd="0" x="344"/>
        <item t="data" sd="0" x="345"/>
        <item t="data" sd="0" x="346"/>
        <item t="data" sd="0" x="347"/>
        <item t="data" sd="0" x="348"/>
        <item t="data" sd="0" x="349"/>
        <item t="data" sd="0" x="350"/>
        <item t="data" sd="0" x="351"/>
        <item t="data" sd="0" x="352"/>
        <item t="data" sd="0" x="353"/>
        <item t="data" sd="0" x="354"/>
        <item t="data" sd="0" x="355"/>
        <item t="data" sd="0" x="356"/>
        <item t="data" sd="0" x="357"/>
        <item t="data" sd="0" x="358"/>
        <item t="data" sd="0" x="359"/>
        <item t="data" sd="0" x="360"/>
        <item t="data" sd="0" x="361"/>
        <item t="data" sd="0" x="362"/>
        <item t="data" sd="0" x="363"/>
        <item t="data" sd="0" x="364"/>
        <item t="data" sd="0" x="365"/>
        <item t="data" sd="0" x="366"/>
        <item t="data" sd="1" x="0"/>
        <item t="data" sd="1" x="367"/>
        <item t="default" sd="1"/>
      </items>
    </pivotField>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1" x="7"/>
        <item t="data" sd="1" x="8"/>
        <item t="data" sd="1" x="9"/>
        <item t="data" sd="0" x="10"/>
        <item t="data" sd="0" x="11"/>
        <item t="data" sd="0" x="12"/>
        <item t="data" sd="0" x="13"/>
        <item t="default" sd="1"/>
      </items>
    </pivotField>
  </pivotFields>
  <rowFields count="1">
    <field x="0"/>
  </rowFields>
  <rowItems count="7">
    <i t="data" r="0" i="0">
      <x v="0"/>
    </i>
    <i t="data" r="0" i="0">
      <x v="1"/>
    </i>
    <i t="data" r="0" i="0">
      <x v="2"/>
    </i>
    <i t="data" r="0" i="0">
      <x v="3"/>
    </i>
    <i t="data" r="0" i="0">
      <x v="4"/>
    </i>
    <i t="data" r="0" i="0">
      <x v="5"/>
    </i>
    <i t="grand" r="0" i="0">
      <x v="0"/>
    </i>
  </rowItems>
  <colFields count="3">
    <field x="27"/>
    <field x="26"/>
    <field x="22"/>
  </colFields>
  <colItems count="60">
    <i t="data" r="0" i="0">
      <x v="0"/>
    </i>
    <i t="data" r="0" i="0">
      <x v="1"/>
    </i>
    <i t="data" r="0" i="0">
      <x v="3"/>
    </i>
    <i t="data" r="0" i="0">
      <x v="4"/>
    </i>
    <i t="data" r="0" i="0">
      <x v="5"/>
    </i>
    <i t="data" r="0" i="0">
      <x v="7"/>
      <x v="191"/>
    </i>
    <i t="data" r="1" i="0">
      <x v="192"/>
    </i>
    <i t="data" r="1" i="0">
      <x v="194"/>
    </i>
    <i t="data" r="1" i="0">
      <x v="195"/>
    </i>
    <i t="data" r="1" i="0">
      <x v="196"/>
    </i>
    <i t="data" r="1" i="0">
      <x v="197"/>
    </i>
    <i t="data" r="1" i="0">
      <x v="198"/>
    </i>
    <i t="data" r="1" i="0">
      <x v="201"/>
    </i>
    <i t="data" r="1" i="0">
      <x v="202"/>
    </i>
    <i t="data" r="1" i="0">
      <x v="203"/>
    </i>
    <i t="data" r="1" i="0">
      <x v="204"/>
    </i>
    <i t="data" r="1" i="0">
      <x v="205"/>
    </i>
    <i t="data" r="1" i="0">
      <x v="208"/>
    </i>
    <i t="data" r="1" i="0">
      <x v="209"/>
    </i>
    <i t="data" r="1" i="0">
      <x v="210"/>
    </i>
    <i t="data" r="1" i="0">
      <x v="211"/>
    </i>
    <i t="data" r="1" i="0">
      <x v="212"/>
    </i>
    <i t="default" r="0" i="0">
      <x v="7"/>
    </i>
    <i t="data" r="0" i="0">
      <x v="8"/>
      <x v="215"/>
    </i>
    <i t="data" r="1" i="0">
      <x v="216"/>
    </i>
    <i t="data" r="1" i="0">
      <x v="217"/>
    </i>
    <i t="data" r="1" i="0">
      <x v="218"/>
    </i>
    <i t="data" r="1" i="0">
      <x v="219"/>
    </i>
    <i t="data" r="1" i="0">
      <x v="220"/>
    </i>
    <i t="data" r="1" i="0">
      <x v="222"/>
    </i>
    <i t="data" r="1" i="0">
      <x v="223"/>
    </i>
    <i t="data" r="1" i="0">
      <x v="224"/>
    </i>
    <i t="data" r="1" i="0">
      <x v="225"/>
    </i>
    <i t="data" r="1" i="0">
      <x v="226"/>
    </i>
    <i t="data" r="1" i="0">
      <x v="230"/>
    </i>
    <i t="data" r="1" i="0">
      <x v="232"/>
    </i>
    <i t="data" r="1" i="0">
      <x v="236"/>
    </i>
    <i t="data" r="1" i="0">
      <x v="237"/>
    </i>
    <i t="data" r="1" i="0">
      <x v="238"/>
    </i>
    <i t="data" r="1" i="0">
      <x v="239"/>
    </i>
    <i t="data" r="1" i="0">
      <x v="240"/>
    </i>
    <i t="default" r="0" i="0">
      <x v="8"/>
    </i>
    <i t="data" r="0" i="0">
      <x v="9"/>
      <x v="245"/>
    </i>
    <i t="data" r="1" i="0">
      <x v="246"/>
    </i>
    <i t="data" r="1" i="0">
      <x v="247"/>
    </i>
    <i t="data" r="1" i="0">
      <x v="251"/>
    </i>
    <i t="data" r="1" i="0">
      <x v="252"/>
    </i>
    <i t="data" r="1" i="0">
      <x v="253"/>
    </i>
    <i t="data" r="1" i="0">
      <x v="254"/>
    </i>
    <i t="data" r="1" i="0">
      <x v="257"/>
    </i>
    <i t="data" r="1" i="0">
      <x v="258"/>
    </i>
    <i t="data" r="1" i="0">
      <x v="259"/>
    </i>
    <i t="data" r="1" i="0">
      <x v="260"/>
    </i>
    <i t="data" r="1" i="0">
      <x v="261"/>
    </i>
    <i t="data" r="1" i="0">
      <x v="264"/>
    </i>
    <i t="data" r="1" i="0">
      <x v="265"/>
    </i>
    <i t="data" r="1" i="0">
      <x v="266"/>
    </i>
    <i t="data" r="1" i="0">
      <x v="267"/>
    </i>
    <i t="default" r="0" i="0">
      <x v="9"/>
    </i>
    <i t="grand" r="0" i="0">
      <x v="0"/>
    </i>
  </colItems>
  <pageFields count="1">
    <pageField fld="10" hier="-1"/>
  </pageFields>
  <dataFields count="1">
    <dataField name="Contagem de Número do Chamado" fld="2" subtotal="count" showDataAs="normal" baseField="0" baseItem="0"/>
  </dataFields>
  <pivotTableStyleInfo name="PivotStyleDark9"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ela dinâmica2" cacheId="0"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S4:T10" firstHeaderRow="1" firstDataRow="1" firstDataCol="1" rowPageCount="2" colPageCount="1"/>
  <pivotFields count="21">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8">
        <item t="data" sd="1" x="1"/>
        <item t="data" sd="1" x="0"/>
        <item t="data" sd="1" x="5"/>
        <item t="data" sd="1" m="1" x="6"/>
        <item t="data" sd="1" x="2"/>
        <item t="data" sd="1" x="3"/>
        <item t="data"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0" subtotalTop="1" dragToRow="1" dragToCol="1" multipleItemSelectionAllowed="1" dragToPage="1" dragToData="1" dragOff="1" showAll="0" topAutoShow="1" itemPageCount="10" sortType="manual" defaultSubtotal="0">
      <items count="14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142"/>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m="1" x="143"/>
        <item t="data" sd="1" m="1" x="144"/>
        <item t="data" sd="1" m="1" x="145"/>
        <item t="data" sd="1" x="133"/>
        <item t="data" sd="1" x="134"/>
        <item t="data" sd="1" x="135"/>
        <item t="data" sd="1" x="136"/>
        <item t="data" sd="1" x="137"/>
        <item t="data" sd="1" x="138"/>
        <item t="data" sd="1" x="139"/>
        <item t="data" sd="1" x="140"/>
        <item t="data" sd="1" x="141"/>
      </items>
    </pivotField>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9">
        <item t="data" h="1" sd="1" x="10"/>
        <item t="data" h="1" sd="1" x="14"/>
        <item t="data" h="1" sd="1" x="6"/>
        <item t="data" h="1" sd="1" x="8"/>
        <item t="data" h="1" sd="1" x="7"/>
        <item t="data" h="1" sd="1" x="2"/>
        <item t="data" sd="1" x="13"/>
        <item t="data" h="1" sd="1" x="1"/>
        <item t="data" h="1" sd="1" x="12"/>
        <item t="data" h="1" sd="1" x="0"/>
        <item t="data" h="1" sd="1" x="11"/>
        <item t="data" h="1" sd="1" x="9"/>
        <item t="data" h="1" sd="1" x="5"/>
        <item t="data" h="1" sd="1" x="4"/>
        <item t="data" h="1" sd="1" x="3"/>
        <item t="data" h="1" sd="1" x="17"/>
        <item t="data" h="1" sd="1" x="15"/>
        <item t="data" h="1" sd="1" x="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6">
    <i t="data" r="0" i="0">
      <x v="0"/>
    </i>
    <i t="data" r="0" i="0">
      <x v="1"/>
    </i>
    <i t="data" r="0" i="0">
      <x v="2"/>
    </i>
    <i t="data" r="0" i="0">
      <x v="3"/>
    </i>
    <i t="data" r="0" i="0">
      <x v="4"/>
    </i>
    <i t="grand" r="0" i="0">
      <x v="0"/>
    </i>
  </rowItems>
  <colItems count="1">
    <i t="data" r="0" i="0"/>
  </colItems>
  <pageFields count="2">
    <pageField fld="15" hier="-1"/>
    <pageField fld="13" hier="-1"/>
  </pageFields>
  <dataFields count="1">
    <dataField name="Contagem de Número do Chamado" fld="2" subtotal="count" showDataAs="normal" baseField="0" baseItem="0"/>
  </dataFields>
  <formats count="9">
    <format action="formatting" dxfId="90">
      <pivotArea type="all" dataOnly="0" outline="0" fieldPosition="0"/>
    </format>
    <format action="formatting" dxfId="89">
      <pivotArea type="normal" dataOnly="1" outline="0" collapsedLevelsAreSubtotals="1" fieldPosition="0"/>
    </format>
    <format action="formatting" dxfId="88">
      <pivotArea type="origin" dataOnly="0" labelOnly="1" outline="0" fieldPosition="0"/>
    </format>
    <format action="formatting" dxfId="87">
      <pivotArea field="10" type="button" dataOnly="0" labelOnly="1" outline="0"/>
    </format>
    <format action="formatting" dxfId="86">
      <pivotArea type="topRight" dataOnly="0" labelOnly="1" outline="0" fieldPosition="0"/>
    </format>
    <format action="formatting" dxfId="85">
      <pivotArea type="normal" dataOnly="0" labelOnly="1" grandRow="1" outline="0" fieldPosition="0"/>
    </format>
    <format action="formatting" dxfId="84">
      <pivotArea type="normal" dataOnly="0" labelOnly="1" grandCol="1" outline="0" fieldPosition="0"/>
    </format>
    <format action="formatting" dxfId="83">
      <pivotArea type="normal" dataOnly="1" outline="0" collapsedLevelsAreSubtotals="1" fieldPosition="0"/>
    </format>
    <format action="formatting" dxfId="82">
      <pivotArea type="normal" dataOnly="0" labelOnly="1" grandRow="1" outline="0" fieldPosition="0"/>
    </format>
  </formats>
  <pivotTableStyleInfo name="PivotStyleMedium5" showRowHeaders="1" showColHeaders="1" showRowStripes="0" showColStripes="0" showLastColumn="1"/>
</pivotTableDefinition>
</file>

<file path=xl/pivotTables/pivotTable8.xml><?xml version="1.0" encoding="utf-8"?>
<pivotTableDefinition xmlns:r="http://schemas.openxmlformats.org/officeDocument/2006/relationships" xmlns="http://schemas.openxmlformats.org/spreadsheetml/2006/main" name="Tabela dinâmica3" cacheId="1" dataOnRows="0" dataCaption="Valores" grandTotalCaptio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I4:L9" firstHeaderRow="1" firstDataRow="5" firstDataCol="1" rowPageCount="1" colPageCount="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0"/>
        <item t="data" sd="1" x="1"/>
        <item t="data" h="1" sd="1" x="2"/>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numFmtId="14" outline="1" subtotalTop="1" dragToRow="1" dragToCol="1" dragToPage="1" dragToData="1" dragOff="1" showAll="0" topAutoShow="1" itemPageCount="10" sortType="manual" defaultSubtotal="1">
      <items count="118">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0" x="7"/>
        <item t="data" sd="0" x="8"/>
        <item t="data" sd="0" x="9"/>
        <item t="data" sd="0" x="10"/>
        <item t="data" sd="0" x="11"/>
        <item t="data" sd="0" x="12"/>
        <item t="data" sd="0" x="13"/>
        <item t="default" sd="1"/>
      </items>
    </pivotField>
    <pivotField axis="axisCol" showDropDowns="1" compact="1" outline="1" subtotalTop="1" dragToRow="1" dragToCol="1" dragToPage="1" dragToData="1" dragOff="1" showAll="0" topAutoShow="1" itemPageCount="10" sortType="manual" defaultSubtotal="1">
      <items count="7">
        <item t="data" sd="0" x="0"/>
        <item t="data" sd="0" x="1"/>
        <item t="data" sd="0" x="2"/>
        <item t="data" sd="0" x="3"/>
        <item t="data" sd="0" x="4"/>
        <item t="data" sd="0" x="5"/>
        <item t="default" sd="1"/>
      </items>
    </pivotField>
    <pivotField axis="axisCol" showDropDowns="1" compact="1" outline="1" subtotalTop="1" dragToRow="1" dragToCol="1" dragToPage="1" dragToData="1" dragOff="1" showAll="0" topAutoShow="1" itemPageCount="10" sortType="manual" defaultSubtotal="1">
      <items count="5">
        <item t="data" sd="0" x="0"/>
        <item t="data" sd="0" x="1"/>
        <item t="data" sd="0" x="2"/>
        <item t="data" sd="0" x="3"/>
        <item t="default" sd="1"/>
      </items>
    </pivotField>
  </pivotFields>
  <rowItems count="1">
    <i t="data" r="0" i="0"/>
  </rowItems>
  <colFields count="4">
    <field x="23"/>
    <field x="22"/>
    <field x="21"/>
    <field x="13"/>
  </colFields>
  <colItems count="3">
    <i t="data" r="0" i="0">
      <x v="1"/>
    </i>
    <i t="data" r="0" i="0">
      <x v="2"/>
    </i>
    <i t="grand" r="0" i="0">
      <x v="0"/>
    </i>
  </colItems>
  <pageFields count="1">
    <pageField fld="10" hier="-1"/>
  </pageFields>
  <dataFields count="1">
    <dataField name="Contagem de Número de protocolo" fld="4" subtotal="count" showDataAs="normal" baseField="18" baseItem="1"/>
  </dataFields>
  <formats count="17">
    <format action="formatting" dxfId="81">
      <pivotArea type="normal" dataOnly="1" grandRow="1" outline="0" collapsedLevelsAreSubtotals="1" fieldPosition="0"/>
    </format>
    <format action="formatting" dxfId="80">
      <pivotArea type="normal" dataOnly="0" labelOnly="1" grandRow="1" outline="0" fieldPosition="0"/>
    </format>
    <format action="formatting" dxfId="79">
      <pivotArea type="normal" dataOnly="1" grandRow="1" outline="0" collapsedLevelsAreSubtotals="1" fieldPosition="0"/>
    </format>
    <format action="formatting" dxfId="78">
      <pivotArea type="normal" dataOnly="0" labelOnly="1" grandRow="1" outline="0" fieldPosition="0"/>
    </format>
    <format action="formatting" dxfId="77">
      <pivotArea type="normal" dataOnly="1" grandRow="1" outline="0" collapsedLevelsAreSubtotals="1" fieldPosition="0"/>
    </format>
    <format action="formatting" dxfId="76">
      <pivotArea type="normal" dataOnly="0" labelOnly="1" grandRow="1" outline="0" fieldPosition="0"/>
    </format>
    <format action="formatting" dxfId="75">
      <pivotArea type="all" dataOnly="0" outline="0" fieldPosition="0"/>
    </format>
    <format action="formatting" dxfId="74">
      <pivotArea type="normal" dataOnly="1" outline="0" collapsedLevelsAreSubtotals="1" fieldPosition="0"/>
    </format>
    <format action="formatting" dxfId="73">
      <pivotArea type="origin" dataOnly="0" labelOnly="1" outline="0" fieldPosition="0"/>
    </format>
    <format action="formatting" dxfId="72">
      <pivotArea field="23" type="button" dataOnly="0" labelOnly="1" outline="0" axis="axisCol" fieldPosition="0"/>
    </format>
    <format action="formatting" dxfId="71">
      <pivotArea field="22" type="button" dataOnly="0" labelOnly="1" outline="0" axis="axisCol" fieldPosition="1"/>
    </format>
    <format action="formatting" dxfId="70">
      <pivotArea field="21" type="button" dataOnly="0" labelOnly="1" outline="0" axis="axisCol" fieldPosition="2"/>
    </format>
    <format action="formatting" dxfId="69">
      <pivotArea type="normal" dataOnly="0" labelOnly="1" grandRow="1" outline="0" fieldPosition="0"/>
    </format>
    <format action="formatting" dxfId="68">
      <pivotArea type="normal" dataOnly="0" labelOnly="1" outline="1" fieldPosition="0">
        <references count="1">
          <reference field="23">
            <x v="1"/>
            <x v="2"/>
          </reference>
        </references>
      </pivotArea>
    </format>
    <format action="formatting" dxfId="67">
      <pivotArea type="normal" dataOnly="0" labelOnly="1" grandCol="1" outline="0" fieldPosition="0"/>
    </format>
    <format action="formatting" dxfId="66">
      <pivotArea type="normal" dataOnly="0" grandRow="1" outline="1" axis="axisRow" fieldPosition="0"/>
    </format>
    <format action="formatting" dxfId="65">
      <pivotArea type="normal" dataOnly="0" grandRow="1" outline="1" axis="axisRow" fieldPosition="0"/>
    </format>
  </formats>
  <pivotTableStyleInfo name="PivotStyleLight16" showRowHeaders="1" showColHeaders="1" showRowStripes="0" showColStripes="0" showLastColumn="1"/>
</pivotTableDefinition>
</file>

<file path=xl/pivotTables/pivotTable9.xml><?xml version="1.0" encoding="utf-8"?>
<pivotTableDefinition xmlns:r="http://schemas.openxmlformats.org/officeDocument/2006/relationships" xmlns="http://schemas.openxmlformats.org/spreadsheetml/2006/main" name="Tabela dinâmica1" cacheId="1"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4" firstHeaderRow="0" firstDataRow="0" firstDataCol="0"/>
  <pivotFields count="24">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m="1"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6">
        <item t="data" sd="1" x="1"/>
        <item t="data" sd="1" x="0"/>
        <item t="data" sd="1" x="2"/>
        <item t="data" sd="1" x="3"/>
        <item t="data" sd="1" x="4"/>
        <item t="default" sd="1"/>
      </items>
    </pivotField>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showDropDowns="1" compact="1" outline="1" subtotalTop="1" dragToRow="1" dragToCol="1" dragToPage="1" dragToData="1" dragOff="1" showAll="0" topAutoShow="1" itemPageCount="10" sortType="manual" defaultSubtotal="1"/>
    <pivotField showDropDowns="1" compact="1" numFmtId="14" outline="0" subtotalTop="1" dragToRow="1" dragToCol="1" dragToPage="1" dragToData="1" dragOff="1" showAll="0" topAutoShow="1" itemPageCount="10" sortType="manual" defaultSubtotal="0">
      <items count="117">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s>
    </pivotField>
    <pivotField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 showDropDowns="1" compact="1" outline="1" subtotalTop="1" dragToRow="1" dragToCol="1" dragToPage="1" dragToData="1" dragOff="1" showAll="0" topAutoShow="1" itemPageCount="10" sortType="manual" defaultSubtotal="1">
      <items count="7">
        <item t="data" sd="1" x="0"/>
        <item t="data" sd="1" x="1"/>
        <item t="data" sd="1" x="2"/>
        <item t="data" sd="1" x="3"/>
        <item t="data" sd="1" x="4"/>
        <item t="data" sd="1" x="5"/>
        <item t="default" sd="1"/>
      </items>
    </pivotField>
    <pivotField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s>
  <rowFields count="2">
    <field x="11"/>
    <field x="0"/>
  </rowFields>
  <rowItems count="13">
    <i t="data" r="0" i="0">
      <x v="0"/>
    </i>
    <i t="data" r="1" i="0">
      <x v="0"/>
    </i>
    <i t="data" r="1" i="0">
      <x v="1"/>
    </i>
    <i t="data" r="1" i="0">
      <x v="3"/>
    </i>
    <i t="data" r="1" i="0">
      <x v="4"/>
    </i>
    <i t="data" r="0" i="0">
      <x v="1"/>
    </i>
    <i t="data" r="1" i="0">
      <x v="0"/>
    </i>
    <i t="data" r="1" i="0">
      <x v="1"/>
    </i>
    <i t="data" r="1" i="0">
      <x v="2"/>
    </i>
    <i t="data" r="1" i="0">
      <x v="3"/>
    </i>
    <i t="data" r="1" i="0">
      <x v="4"/>
    </i>
    <i t="data" r="1" i="0">
      <x v="6"/>
    </i>
    <i t="grand" r="0" i="0">
      <x v="0"/>
    </i>
  </rowItems>
  <colFields count="1">
    <field x="10"/>
  </colFields>
  <colItems count="6">
    <i t="data" r="0" i="0">
      <x v="0"/>
    </i>
    <i t="data" r="0" i="0">
      <x v="1"/>
    </i>
    <i t="data" r="0" i="0">
      <x v="2"/>
    </i>
    <i t="data" r="0" i="0">
      <x v="3"/>
    </i>
    <i t="data" r="0" i="0">
      <x v="4"/>
    </i>
    <i t="grand" r="0" i="0">
      <x v="0"/>
    </i>
  </colItems>
  <dataFields count="1">
    <dataField name="Contagem de Número do Chamado" fld="2" subtotal="count" showDataAs="normal" baseField="0" baseItem="0"/>
  </dataFields>
  <formats count="20">
    <format action="formatting" dxfId="64">
      <pivotArea type="all" dataOnly="0" outline="0" fieldPosition="0"/>
    </format>
    <format action="formatting" dxfId="63">
      <pivotArea type="normal" dataOnly="1" outline="0" collapsedLevelsAreSubtotals="1" fieldPosition="0"/>
    </format>
    <format action="formatting" dxfId="62">
      <pivotArea type="origin" dataOnly="0" labelOnly="1" outline="0" fieldPosition="0"/>
    </format>
    <format action="formatting" dxfId="61">
      <pivotArea field="10" type="button" dataOnly="0" labelOnly="1" outline="0" axis="axisCol" fieldPosition="0"/>
    </format>
    <format action="formatting" dxfId="60">
      <pivotArea type="topRight" dataOnly="0" labelOnly="1" outline="0" fieldPosition="0"/>
    </format>
    <format action="formatting" dxfId="59">
      <pivotArea type="normal" dataOnly="0" labelOnly="1" grandRow="1" outline="0" fieldPosition="0"/>
    </format>
    <format action="formatting" dxfId="58">
      <pivotArea type="normal" dataOnly="0" labelOnly="1" outline="1" fieldPosition="0">
        <references count="1">
          <reference field="10"/>
        </references>
      </pivotArea>
    </format>
    <format action="formatting" dxfId="57">
      <pivotArea type="normal" dataOnly="0" labelOnly="1" grandCol="1" outline="0" fieldPosition="0"/>
    </format>
    <format action="formatting" dxfId="56">
      <pivotArea type="normal" dataOnly="1" outline="0" collapsedLevelsAreSubtotals="1" fieldPosition="0"/>
    </format>
    <format action="formatting" dxfId="55">
      <pivotArea type="normal" dataOnly="0" labelOnly="1" grandRow="1" outline="0" fieldPosition="0"/>
    </format>
    <format action="formatting" dxfId="54">
      <pivotArea type="normal" dataOnly="0" labelOnly="1" outline="1" fieldPosition="0">
        <references count="1">
          <reference field="10">
            <x v="3"/>
          </reference>
        </references>
      </pivotArea>
    </format>
    <format action="formatting" dxfId="53">
      <pivotArea field="11" type="button" dataOnly="0" labelOnly="1" outline="0" axis="axisRow" fieldPosition="0"/>
    </format>
    <format action="formatting" dxfId="52">
      <pivotArea type="normal" dataOnly="0" labelOnly="1" outline="1" fieldPosition="0">
        <references count="1">
          <reference field="10"/>
        </references>
      </pivotArea>
    </format>
    <format action="formatting" dxfId="51">
      <pivotArea type="normal" dataOnly="0" labelOnly="1" grandCol="1" outline="0" fieldPosition="0"/>
    </format>
    <format action="formatting" dxfId="50">
      <pivotArea field="11" type="button" dataOnly="0" labelOnly="1" outline="0" axis="axisRow" fieldPosition="0"/>
    </format>
    <format action="formatting" dxfId="49">
      <pivotArea type="normal" dataOnly="0" labelOnly="1" outline="1" fieldPosition="0">
        <references count="1">
          <reference field="10"/>
        </references>
      </pivotArea>
    </format>
    <format action="formatting" dxfId="48">
      <pivotArea type="normal" dataOnly="0" labelOnly="1" grandCol="1" outline="0" fieldPosition="0"/>
    </format>
    <format action="formatting" dxfId="47">
      <pivotArea field="11" type="button" dataOnly="0" labelOnly="1" outline="0" axis="axisRow" fieldPosition="0"/>
    </format>
    <format action="formatting" dxfId="46">
      <pivotArea type="normal" dataOnly="0" labelOnly="1" outline="1" fieldPosition="0">
        <references count="1">
          <reference field="10"/>
        </references>
      </pivotArea>
    </format>
    <format action="formatting" dxfId="45">
      <pivotArea type="normal" dataOnly="0" labelOnly="1" grandCol="1" outline="0" fieldPosition="0"/>
    </format>
  </formats>
  <pivotTableStyleInfo name="PivotStyleMedium5" showRowHeaders="1" showColHeaders="1" showRowStripes="0" showColStripes="0" showLastColumn="1"/>
</pivotTableDefinition>
</file>

<file path=xl/pivotTables/pivotTable10.xml><?xml version="1.0" encoding="utf-8"?>
<pivotTableDefinition xmlns:r="http://schemas.openxmlformats.org/officeDocument/2006/relationships" xmlns="http://schemas.openxmlformats.org/spreadsheetml/2006/main" name="Tabela dinâmica4"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21:C27" firstHeaderRow="1" firstDataRow="1" firstDataCol="1" rowPageCount="2" colPageCount="1"/>
  <pivotFields count="24">
    <pivotField axis="axisRow" showDropDowns="1" compact="1" outline="1" subtotalTop="1" dragToRow="1" dragToCol="1" dragToPage="1" dragToData="1" dragOff="1" showAll="0" topAutoShow="1" itemPageCount="10" sortType="ascending" defaultSubtotal="1">
      <items count="8">
        <item t="data" sd="1" x="5"/>
        <item t="data" sd="1" x="2"/>
        <item t="data" sd="1" x="4"/>
        <item t="data" sd="1" x="3"/>
        <item t="data" sd="1" x="0"/>
        <item t="data" sd="1" x="1"/>
        <item t="data" sd="1" m="1" x="6"/>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2"/>
        <item t="data" h="1" sd="1" x="0"/>
        <item t="data" sd="1" x="1"/>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1" subtotalTop="1" dragToRow="1" dragToCol="1" multipleItemSelectionAllowed="1" dragToPage="1" dragToData="1" dragOff="1" showAll="0" topAutoShow="1" itemPageCount="10" sortType="manual" defaultSubtotal="1">
      <items count="118">
        <item t="data" h="1" sd="1" x="0"/>
        <item t="data" h="1" sd="1" x="1"/>
        <item t="data" h="1" sd="1" x="2"/>
        <item t="data" h="1" sd="1" x="3"/>
        <item t="data" h="1" sd="1" x="113"/>
        <item t="data" h="1" sd="1" x="4"/>
        <item t="data" h="1" sd="1" x="5"/>
        <item t="data" h="1" sd="1" x="6"/>
        <item t="data" h="1" sd="1" x="7"/>
        <item t="data" h="1" sd="1" x="8"/>
        <item t="data" h="1" sd="1" x="9"/>
        <item t="data" h="1" sd="1" x="10"/>
        <item t="data" h="1" sd="1" x="11"/>
        <item t="data" h="1" sd="1" x="12"/>
        <item t="data" h="1" sd="1" x="13"/>
        <item t="data" h="1" sd="1" x="14"/>
        <item t="data" h="1" sd="1" x="15"/>
        <item t="data" h="1" sd="1" x="16"/>
        <item t="data" h="1" sd="1" x="17"/>
        <item t="data" h="1"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items count="4">
        <item t="data" sd="1" x="0"/>
        <item t="data" sd="1" x="1"/>
        <item t="data" sd="1" x="2"/>
        <item t="data" sd="1" x="3"/>
      </items>
    </pivotField>
  </pivotFields>
  <rowFields count="1">
    <field x="0"/>
  </rowFields>
  <rowItems count="6">
    <i t="data" r="0" i="0">
      <x v="1"/>
    </i>
    <i t="data" r="0" i="0">
      <x v="2"/>
    </i>
    <i t="data" r="0" i="0">
      <x v="3"/>
    </i>
    <i t="data" r="0" i="0">
      <x v="4"/>
    </i>
    <i t="data" r="0" i="0">
      <x v="5"/>
    </i>
    <i t="grand" r="0" i="0">
      <x v="0"/>
    </i>
  </rowItems>
  <colItems count="1">
    <i t="data" r="0" i="0"/>
  </colItems>
  <pageFields count="2">
    <pageField fld="10" hier="-1"/>
    <pageField fld="13" hier="-1"/>
  </pageFields>
  <dataFields count="1">
    <dataField name="Contagem  Chamado" fld="2"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ela1" displayName="Tabela1" ref="B2:W35" headerRowCount="1" totalsRowShown="0" headerRowDxfId="114" dataDxfId="113">
  <autoFilter ref="B2:W35"/>
  <tableColumns count="22">
    <tableColumn id="1" name="#" dataDxfId="112" dataCellStyle="Vírgula">
      <calculatedColumnFormula>B2+1</calculatedColumnFormula>
    </tableColumn>
    <tableColumn id="15" name="Concluído" dataDxfId="111" dataCellStyle="Vírgula"/>
    <tableColumn id="2" name="Status" dataDxfId="110" dataCellStyle="Vírgula">
      <calculatedColumnFormula>IF(AND(P3="OK",OR(S3="OK",S3="N/A"),OR(V3="OK",V3="N/A")),"Aprovado",IF(OR(P3="Reprovado",S3="Reprovado",V3="Reprovado"),"Reprovado","Pendente"))</calculatedColumnFormula>
    </tableColumn>
    <tableColumn id="3" name="Data" dataDxfId="109"/>
    <tableColumn id="4" name="Assunto e-mail" dataDxfId="108"/>
    <tableColumn id="23" name="Chamado" dataDxfId="107">
      <calculatedColumnFormula>RIGHT(Tabela1[[#This Row],[Assunto e-mail]],8)</calculatedColumnFormula>
    </tableColumn>
    <tableColumn id="5" name="D.A Comercial" dataDxfId="106"/>
    <tableColumn id="6" name="Natureza" dataDxfId="105"/>
    <tableColumn id="7" name="Contexto" dataDxfId="104"/>
    <tableColumn id="8" name="R$ " dataDxfId="103" dataCellStyle="Vírgula"/>
    <tableColumn id="9" name="Solicitante" dataDxfId="102"/>
    <tableColumn id="11" name="Ofensor" dataDxfId="101"/>
    <tableColumn id="10" name="Alçada necessária" dataDxfId="100">
      <calculatedColumnFormula>IF(K3&lt;10000,"Everton",IF(K3&lt;=50000,"Everton + Tatebe","Everton + Tatebe + Calil"))</calculatedColumnFormula>
    </tableColumn>
    <tableColumn id="12" name="Data2" dataDxfId="99"/>
    <tableColumn id="13" name="Aprovador" dataDxfId="98"/>
    <tableColumn id="14" name="Obs" dataDxfId="97"/>
    <tableColumn id="16" name="Data4" dataDxfId="96">
      <calculatedColumnFormula>IF(K2&lt;10000,"N/A","")</calculatedColumnFormula>
    </tableColumn>
    <tableColumn id="17" name="Aprovador5" dataDxfId="95">
      <calculatedColumnFormula>IF(K2&lt;10000,"N/A","")</calculatedColumnFormula>
    </tableColumn>
    <tableColumn id="18" name="Obs6" dataDxfId="94">
      <calculatedColumnFormula>IF(K3&lt;10000,"N/A","-")</calculatedColumnFormula>
    </tableColumn>
    <tableColumn id="20" name="Data7" dataDxfId="93">
      <calculatedColumnFormula>IF(K3&lt;=50000,"N/A","")</calculatedColumnFormula>
    </tableColumn>
    <tableColumn id="21" name="Aprovador8" dataDxfId="92">
      <calculatedColumnFormula>IF(K3&lt;=50000,"N/A","")</calculatedColumnFormula>
    </tableColumn>
    <tableColumn id="22" name="Obs9" dataDxfId="91">
      <calculatedColumnFormula>IF(K3&lt;=50000,"N/A","-")</calculatedColumnFormula>
    </tableColumn>
  </tableColumns>
  <tableStyleInfo name="TableStyleLight1" showFirstColumn="0" showLastColumn="0" showRowStripes="1" showColumnStripes="0"/>
</table>
</file>

<file path=xl/tables/table2.xml><?xml version="1.0" encoding="utf-8"?>
<table xmlns="http://schemas.openxmlformats.org/spreadsheetml/2006/main" id="2" name="Tabela2" displayName="Tabela2" ref="A4:AO415" headerRowCount="1" totalsRowShown="0" dataDxfId="0">
  <autoFilter ref="A4:AO415"/>
  <tableColumns count="41">
    <tableColumn id="1" name="Obs" dataDxfId="28"/>
    <tableColumn id="2" name="RESPONSÁVEL" dataDxfId="27"/>
    <tableColumn id="3" name="Classificação" dataDxfId="26"/>
    <tableColumn id="4" name="Número do Chamado" dataDxfId="25"/>
    <tableColumn id="5" name="Chamado Pai (clone)" dataDxfId="24"/>
    <tableColumn id="6" name="Número de protocolo" dataDxfId="23"/>
    <tableColumn id="7" name="Razão social" dataDxfId="22">
      <calculatedColumnFormula>VLOOKUP(H:H,'Referencias '!B:C,2,0)</calculatedColumnFormula>
    </tableColumn>
    <tableColumn id="8" name="CNPJ" dataDxfId="21">
      <calculatedColumnFormula>TRIM(_xlfn.TEXTBEFORE(_xlfn.TEXTAFTER(U5,"CNPJ/CPF:&lt;/strong&gt;"),"&lt;/p&gt;"))</calculatedColumnFormula>
    </tableColumn>
    <tableColumn id="9" name="Causa raiz" dataDxfId="20"/>
    <tableColumn id="10" name="Observação/Ação" dataDxfId="19"/>
    <tableColumn id="11" name="Ofensor" dataDxfId="18"/>
    <tableColumn id="12" name="Status" dataDxfId="17"/>
    <tableColumn id="13" name="Prioridade" dataDxfId="16"/>
    <tableColumn id="14" name="Assunto" dataDxfId="15"/>
    <tableColumn id="15" name="Data de abertura" dataDxfId="14"/>
    <tableColumn id="16" name="Data da última modificação do chamado" dataDxfId="13"/>
    <tableColumn id="17" name="Mês/Ano" dataDxfId="12">
      <calculatedColumnFormula>TEXT(O5,"mmm/aaaa")</calculatedColumnFormula>
    </tableColumn>
    <tableColumn id="18" name="Proprietário do Chamado" dataDxfId="11"/>
    <tableColumn id="19" name="Email da Web" dataDxfId="10"/>
    <tableColumn id="20" name="Nome Fantasia" dataDxfId="9"/>
    <tableColumn id="21" name="Descrição" dataDxfId="8"/>
    <tableColumn id="22" name="Descrição detalhada" dataDxfId="7">
      <calculatedColumnFormula>IFERROR(_xlfn.TEXTBEFORE(_xlfn.TEXTAFTER(U5,"Descrição do problema:&lt;/strong"),"&lt;/p&gt;"),_xlfn.TEXTAFTER(U5,"Descrição do problema:&lt;/strong"))</calculatedColumnFormula>
    </tableColumn>
    <tableColumn id="23" name="Ref." dataDxfId="6">
      <calculatedColumnFormula>_xlfn.CONCAT(D5:E5)</calculatedColumnFormula>
    </tableColumn>
    <tableColumn id="24" name="Dt.Encerramento" dataDxfId="5"/>
    <tableColumn id="25" name="Situação" dataDxfId="4">
      <calculatedColumnFormula>IF(X5="","Aberto","Encerrado")</calculatedColumnFormula>
    </tableColumn>
    <tableColumn id="26" name="Dias em Aberto" dataDxfId="3">
      <calculatedColumnFormula>IF(OR(L5="PENDENTE",L5="EM ANDAMENTO",L5="PENDENTE APROVAÇÃO CANCELAMENTO NF"),TODAY()-O5,X5-O5)</calculatedColumnFormula>
    </tableColumn>
    <tableColumn id="27" name="Aux_Ranking" dataDxfId="2">
      <calculatedColumnFormula>IF(Y5="Aberto",Z5+ROW()/100000,"")</calculatedColumnFormula>
    </tableColumn>
    <tableColumn id="28" name="Origem" dataDxfId="1">
      <calculatedColumnFormula>IF(ISNUMBER(FIND("@cielo.com.br",S5)),"Interno","Externo")</calculatedColumnFormula>
    </tableColumn>
    <tableColumn id="29" name="Intenção Identificada"/>
    <tableColumn id="30" name="Causa Identificada"/>
    <tableColumn id="31" name="Causa Raiz Padrão"/>
    <tableColumn id="32" name="Objeto Operacional Sugerido"/>
    <tableColumn id="33" name="Classificação Sugerida"/>
    <tableColumn id="34" name="Score Confiança"/>
    <tableColumn id="35" name="Regra Sugerida"/>
    <tableColumn id="36" name="Status da Sugestão"/>
    <tableColumn id="37" name="Ambiguidade"/>
    <tableColumn id="38" name="Objeto Operacional Validado"/>
    <tableColumn id="39" name="Classificação Validada"/>
    <tableColumn id="40" name="Concordância"/>
    <tableColumn id="41" name="Motivo da Decisão"/>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 Type="http://schemas.openxmlformats.org/officeDocument/2006/relationships/pivotTable" Target="/xl/pivotTables/pivotTable3.xml" Id="rId3" /><Relationship Type="http://schemas.openxmlformats.org/officeDocument/2006/relationships/pivotTable" Target="/xl/pivotTables/pivotTable4.xml" Id="rId4"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pivotTable" Target="/xl/pivotTables/pivotTable5.xml" Id="rId1" /><Relationship Type="http://schemas.openxmlformats.org/officeDocument/2006/relationships/pivotTable" Target="/xl/pivotTables/pivotTable6.xml" Id="rId2"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pivotTable" Target="/xl/pivotTables/pivotTable7.xml" Id="rId1" /><Relationship Type="http://schemas.openxmlformats.org/officeDocument/2006/relationships/pivotTable" Target="/xl/pivotTables/pivotTable8.xml" Id="rId2" /><Relationship Type="http://schemas.openxmlformats.org/officeDocument/2006/relationships/pivotTable" Target="/xl/pivotTables/pivotTable9.xml" Id="rId3" /><Relationship Type="http://schemas.openxmlformats.org/officeDocument/2006/relationships/pivotTable" Target="/xl/pivotTables/pivotTable10.xml" Id="rId4" /></Relationships>
</file>

<file path=xl/worksheets/_rels/sheet6.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B1:S45"/>
  <sheetViews>
    <sheetView showGridLines="0" zoomScale="85" zoomScaleNormal="85" workbookViewId="0">
      <selection activeCell="E12" sqref="E12"/>
    </sheetView>
  </sheetViews>
  <sheetFormatPr baseColWidth="8" defaultColWidth="9.453125" defaultRowHeight="18.5"/>
  <cols>
    <col width="4.453125" customWidth="1" style="162" min="1" max="1"/>
    <col width="38.453125" bestFit="1" customWidth="1" style="162" min="2" max="2"/>
    <col width="22.453125" bestFit="1" customWidth="1" style="162" min="3" max="3"/>
    <col width="13.54296875" bestFit="1" customWidth="1" style="162" min="4" max="4"/>
    <col width="18.453125" bestFit="1" customWidth="1" style="162" min="5" max="5"/>
    <col width="48.453125" bestFit="1" customWidth="1" style="162" min="6" max="6"/>
    <col width="12.453125" bestFit="1" customWidth="1" style="162" min="7" max="7"/>
    <col width="50.453125" customWidth="1" min="8" max="8"/>
    <col width="10.54296875" customWidth="1" min="9" max="11"/>
    <col width="13.453125" bestFit="1" customWidth="1" style="162" min="12" max="12"/>
    <col width="13.453125" customWidth="1" style="162" min="13" max="17"/>
    <col width="21.453125" bestFit="1" customWidth="1" style="162" min="18" max="18"/>
    <col width="39.36328125" bestFit="1" customWidth="1" style="162" min="19" max="19"/>
    <col width="14.54296875" bestFit="1" customWidth="1" style="162" min="20" max="96"/>
    <col width="8.54296875" bestFit="1" customWidth="1" style="162" min="97" max="97"/>
    <col width="14.54296875" bestFit="1" customWidth="1" style="162" min="98" max="133"/>
    <col width="13.453125" bestFit="1" customWidth="1" style="162" min="134" max="135"/>
    <col width="12.453125" bestFit="1" customWidth="1" style="162" min="136" max="136"/>
    <col width="13.453125" bestFit="1" customWidth="1" style="162" min="137" max="145"/>
    <col width="19.54296875" bestFit="1" customWidth="1" style="162" min="146" max="146"/>
    <col width="20.453125" bestFit="1" customWidth="1" style="162" min="147" max="147"/>
    <col width="13.453125" bestFit="1" customWidth="1" style="162" min="148" max="149"/>
    <col width="24.54296875" bestFit="1" customWidth="1" style="162" min="150" max="150"/>
    <col width="12.453125" bestFit="1" customWidth="1" style="162" min="151" max="151"/>
    <col width="9.453125" customWidth="1" style="162" min="152" max="16384"/>
  </cols>
  <sheetData>
    <row r="1">
      <c r="B1" s="9" t="inlineStr">
        <is>
          <t>Qtde. Total chamados Status</t>
        </is>
      </c>
      <c r="H1" s="9" t="inlineStr">
        <is>
          <t>Qtde. Total chamados por categoria</t>
        </is>
      </c>
      <c r="R1" s="45" t="inlineStr">
        <is>
          <t>Mês/Ano</t>
        </is>
      </c>
      <c r="S1" s="162" t="inlineStr">
        <is>
          <t>jul/2026</t>
        </is>
      </c>
    </row>
    <row r="2">
      <c r="H2" s="6" t="inlineStr">
        <is>
          <t>Status</t>
        </is>
      </c>
      <c r="I2" t="inlineStr">
        <is>
          <t>PENDENTE</t>
        </is>
      </c>
      <c r="R2" s="45" t="inlineStr">
        <is>
          <t>Data de abertura</t>
        </is>
      </c>
      <c r="S2" s="162" t="inlineStr">
        <is>
          <t>(Tudo)</t>
        </is>
      </c>
    </row>
    <row r="4">
      <c r="B4" s="162" t="e">
        <v>#VALUE!</v>
      </c>
      <c r="I4" s="6" t="inlineStr">
        <is>
          <t>Rótulos de Coluna</t>
        </is>
      </c>
      <c r="R4" s="45" t="inlineStr">
        <is>
          <t>Rótulos de Linha</t>
        </is>
      </c>
      <c r="S4" s="162" t="inlineStr">
        <is>
          <t>Contagem de Número do Chamado</t>
        </is>
      </c>
    </row>
    <row r="5">
      <c r="I5" t="inlineStr">
        <is>
          <t>2025</t>
        </is>
      </c>
      <c r="J5" t="inlineStr">
        <is>
          <t>2026</t>
        </is>
      </c>
      <c r="K5" t="inlineStr">
        <is>
          <t>-</t>
        </is>
      </c>
      <c r="R5" s="4" t="inlineStr">
        <is>
          <t>Emilly Maria</t>
        </is>
      </c>
      <c r="S5" s="162" t="n">
        <v>20</v>
      </c>
    </row>
    <row r="6">
      <c r="R6" s="4" t="inlineStr">
        <is>
          <t>Fabiana Lisboa</t>
        </is>
      </c>
      <c r="S6" s="162" t="n">
        <v>12</v>
      </c>
    </row>
    <row r="7">
      <c r="R7" s="4" t="inlineStr">
        <is>
          <t>Pamela de Sá</t>
        </is>
      </c>
      <c r="S7" s="162" t="n">
        <v>24</v>
      </c>
    </row>
    <row r="8">
      <c r="R8" s="4" t="inlineStr">
        <is>
          <t>Stephany Lima</t>
        </is>
      </c>
      <c r="S8" s="162" t="n">
        <v>37</v>
      </c>
    </row>
    <row r="9">
      <c r="H9" s="90" t="inlineStr">
        <is>
          <t>Contagem de Número de protocolo</t>
        </is>
      </c>
      <c r="I9" s="90" t="n">
        <v>11</v>
      </c>
      <c r="J9" s="90" t="n">
        <v>84</v>
      </c>
      <c r="K9" s="90" t="n">
        <v>95</v>
      </c>
      <c r="L9" s="163" t="n"/>
      <c r="R9" s="4" t="inlineStr">
        <is>
          <t>Vanessa Araujo</t>
        </is>
      </c>
      <c r="S9" s="162" t="n">
        <v>4</v>
      </c>
    </row>
    <row r="10">
      <c r="R10" s="4" t="inlineStr">
        <is>
          <t>Total Geral</t>
        </is>
      </c>
      <c r="S10" s="162" t="n">
        <v>97</v>
      </c>
    </row>
    <row r="17">
      <c r="B17" s="9" t="inlineStr">
        <is>
          <t>Qtde. Chamados por categoria x responsável</t>
        </is>
      </c>
    </row>
    <row r="18">
      <c r="B18" s="6" t="inlineStr">
        <is>
          <t>Status</t>
        </is>
      </c>
      <c r="C18" t="inlineStr">
        <is>
          <t>PENDENTE</t>
        </is>
      </c>
    </row>
    <row r="19">
      <c r="B19" s="6" t="inlineStr">
        <is>
          <t>Data de abertura</t>
        </is>
      </c>
      <c r="C19" t="inlineStr">
        <is>
          <t>(Vários itens)</t>
        </is>
      </c>
    </row>
    <row r="21">
      <c r="B21" s="6" t="inlineStr">
        <is>
          <t>Rótulos de Linha</t>
        </is>
      </c>
      <c r="C21" t="inlineStr">
        <is>
          <t>Contagem  Chamado</t>
        </is>
      </c>
    </row>
    <row r="22">
      <c r="B22" s="7" t="inlineStr">
        <is>
          <t>Emilly Maria</t>
        </is>
      </c>
      <c r="C22" t="n">
        <v>13</v>
      </c>
    </row>
    <row r="23">
      <c r="B23" s="7" t="inlineStr">
        <is>
          <t>Fabiana Lisboa</t>
        </is>
      </c>
      <c r="C23" t="n">
        <v>10</v>
      </c>
    </row>
    <row r="24">
      <c r="B24" s="7" t="inlineStr">
        <is>
          <t>Pamela de Sá</t>
        </is>
      </c>
      <c r="C24" t="n">
        <v>23</v>
      </c>
    </row>
    <row r="25">
      <c r="B25" s="7" t="inlineStr">
        <is>
          <t>Stephany Lima</t>
        </is>
      </c>
      <c r="C25" t="n">
        <v>32</v>
      </c>
    </row>
    <row r="26">
      <c r="B26" s="7" t="inlineStr">
        <is>
          <t>Vanessa Araujo</t>
        </is>
      </c>
      <c r="C26" t="n">
        <v>6</v>
      </c>
    </row>
    <row r="27">
      <c r="B27" s="7" t="inlineStr">
        <is>
          <t>Total Geral</t>
        </is>
      </c>
      <c r="C27" t="n">
        <v>84</v>
      </c>
    </row>
    <row r="45">
      <c r="D45" t="inlineStr">
        <is>
          <t>Amanda verificar</t>
        </is>
      </c>
    </row>
  </sheetData>
  <autoFilter ref="B21:C65"/>
  <pageMargins left="0.511811024" right="0.511811024" top="0.787401575" bottom="0.787401575" header="0.31496062" footer="0.31496062"/>
</worksheet>
</file>

<file path=xl/worksheets/sheet2.xml><?xml version="1.0" encoding="utf-8"?>
<worksheet xmlns="http://schemas.openxmlformats.org/spreadsheetml/2006/main">
  <sheetPr>
    <tabColor theme="3" tint="0.249977111117893"/>
    <outlinePr summaryBelow="1" summaryRight="1"/>
    <pageSetUpPr/>
  </sheetPr>
  <dimension ref="B2:U70"/>
  <sheetViews>
    <sheetView showGridLines="0" zoomScale="70" zoomScaleNormal="70" workbookViewId="0">
      <selection activeCell="E22" sqref="E22"/>
    </sheetView>
  </sheetViews>
  <sheetFormatPr baseColWidth="8" defaultColWidth="8.54296875" defaultRowHeight="14.5"/>
  <cols>
    <col width="3" customWidth="1" style="36" min="1" max="1"/>
    <col width="17.54296875" customWidth="1" style="36" min="2" max="2"/>
    <col width="14.6328125" customWidth="1" style="36" min="3" max="3"/>
    <col width="19.453125" bestFit="1" customWidth="1" style="36" min="4" max="4"/>
    <col width="14.54296875" customWidth="1" style="36" min="5" max="5"/>
    <col width="10.08984375" bestFit="1" customWidth="1" style="36" min="6" max="6"/>
    <col width="17.453125" customWidth="1" style="36" min="7" max="7"/>
    <col width="14.54296875" customWidth="1" style="36" min="8" max="9"/>
    <col width="10.90625" bestFit="1" customWidth="1" style="36" min="10" max="10"/>
    <col hidden="1" width="6.54296875" customWidth="1" style="36" min="11" max="11"/>
    <col width="4" customWidth="1" style="36" min="12" max="12"/>
    <col width="2.6328125" customWidth="1" style="36" min="13" max="13"/>
    <col width="36.08984375" customWidth="1" style="36" min="14" max="14"/>
    <col width="9.90625" bestFit="1" customWidth="1" style="36" min="15" max="15"/>
    <col width="14.90625" customWidth="1" style="36" min="16" max="16"/>
    <col width="16.453125" customWidth="1" style="36" min="17" max="17"/>
    <col width="14.90625" customWidth="1" style="36" min="18" max="18"/>
    <col width="3.6328125" customWidth="1" style="36" min="19" max="19"/>
    <col width="2.6328125" customWidth="1" style="36" min="20" max="20"/>
    <col width="36.08984375" bestFit="1" customWidth="1" style="36" min="21" max="21"/>
    <col width="9.90625" bestFit="1" customWidth="1" style="36" min="22" max="22"/>
    <col width="10.08984375" bestFit="1" customWidth="1" style="36" min="23" max="23"/>
    <col width="14.90625" bestFit="1" customWidth="1" style="36" min="24" max="24"/>
    <col width="8.54296875" bestFit="1" customWidth="1" style="36" min="25" max="25"/>
    <col width="8.54296875" customWidth="1" style="36" min="26" max="16384"/>
  </cols>
  <sheetData>
    <row r="1" ht="4.5" customHeight="1"/>
    <row r="2" ht="20" customHeight="1">
      <c r="B2" s="142" t="inlineStr">
        <is>
          <t>Painel de Acompanhamento</t>
        </is>
      </c>
    </row>
    <row r="3" ht="4.5" customHeight="1"/>
    <row r="4" ht="21.75" customHeight="1">
      <c r="B4" s="140" t="inlineStr">
        <is>
          <t>Indicadores Gerais</t>
        </is>
      </c>
      <c r="M4" s="103" t="n"/>
      <c r="N4" s="141" t="inlineStr">
        <is>
          <t>Situação Últimos 30 Dias</t>
        </is>
      </c>
      <c r="O4" s="164" t="n"/>
      <c r="P4" s="164" t="n"/>
      <c r="Q4" s="164" t="n"/>
      <c r="R4" s="164" t="n"/>
      <c r="S4" s="164" t="n"/>
      <c r="T4" s="103" t="n"/>
    </row>
    <row r="5">
      <c r="B5" s="143" t="inlineStr">
        <is>
          <t>TOTAL DE CHAMADOS</t>
        </is>
      </c>
      <c r="C5" s="165" t="n"/>
      <c r="D5" s="143" t="inlineStr">
        <is>
          <t>CHAMADOS ABERTOS</t>
        </is>
      </c>
      <c r="E5" s="165" t="n"/>
      <c r="F5" s="143" t="inlineStr">
        <is>
          <t>CHAMADOS ENCERRADOS</t>
        </is>
      </c>
      <c r="G5" s="165" t="n"/>
      <c r="H5" s="143" t="inlineStr">
        <is>
          <t>ATENDIDOS ÚLT. 7 DIAS</t>
        </is>
      </c>
      <c r="I5" s="165" t="n"/>
      <c r="J5" s="143" t="inlineStr">
        <is>
          <t>REABERTOS</t>
        </is>
      </c>
      <c r="K5" s="166" t="n"/>
      <c r="L5" s="165" t="n"/>
      <c r="M5" s="104" t="n"/>
      <c r="N5" s="143" t="inlineStr">
        <is>
          <t xml:space="preserve">ABERTOS </t>
        </is>
      </c>
      <c r="O5" s="165" t="n"/>
      <c r="P5" s="143" t="inlineStr">
        <is>
          <t xml:space="preserve">ENCERRADOS </t>
        </is>
      </c>
      <c r="Q5" s="165" t="n"/>
      <c r="R5" s="143" t="inlineStr">
        <is>
          <t xml:space="preserve">AINDA ABERTOS </t>
        </is>
      </c>
      <c r="S5" s="165" t="n"/>
      <c r="T5" s="104" t="n"/>
    </row>
    <row r="6" ht="14.75" customHeight="1">
      <c r="B6" s="144">
        <f>COUNTA('Compilado chamados'!D5:D1048576)</f>
        <v/>
      </c>
      <c r="C6" s="167" t="n"/>
      <c r="D6" s="145">
        <f>COUNTIF('Compilado chamados'!Y5:Y1048576,"Aberto")</f>
        <v/>
      </c>
      <c r="E6" s="167" t="n"/>
      <c r="F6" s="146">
        <f>COUNTIF('Compilado chamados'!Y5:Y1048576,"Encerrado")</f>
        <v/>
      </c>
      <c r="G6" s="167" t="n"/>
      <c r="H6" s="168">
        <f>COUNTIFS('Compilado chamados'!Y5:Y1048576,"Encerrado",'Compilado chamados'!X5:X1048576,"&gt;="&amp;TODAY()-7,'Compilado chamados'!X5:X1048576,"&lt;="&amp;TODAY())</f>
        <v/>
      </c>
      <c r="I6" s="167" t="n"/>
      <c r="J6" s="169">
        <f>COUNTIF('Compilado chamados'!L:L,"REABERTO")</f>
        <v/>
      </c>
      <c r="K6" s="170" t="n"/>
      <c r="L6" s="167" t="n"/>
      <c r="M6" s="105" t="n"/>
      <c r="N6" s="144">
        <f>COUNTIFS('Compilado chamados'!O5:O1048576,"&gt;="&amp;TODAY()-30,'Compilado chamados'!O5:O1048576,"&lt;="&amp;TODAY())</f>
        <v/>
      </c>
      <c r="O6" s="167" t="n"/>
      <c r="P6" s="146">
        <f>COUNTIFS('Compilado chamados'!Y5:Y1048576,"Encerrado",'Compilado chamados'!O5:O1048576,"&gt;="&amp;TODAY()-30,'Compilado chamados'!O5:O1048576,"&lt;="&amp;TODAY())</f>
        <v/>
      </c>
      <c r="Q6" s="167" t="n"/>
      <c r="R6" s="145">
        <f>COUNTIFS('Compilado chamados'!Y5:Y1048576,"Aberto",'Compilado chamados'!O5:O1048576,"&gt;="&amp;TODAY()-30,'Compilado chamados'!O5:O1048576,"&lt;="&amp;TODAY())</f>
        <v/>
      </c>
      <c r="S6" s="167" t="n"/>
      <c r="T6" s="105" t="n"/>
    </row>
    <row r="7" ht="14.75" customHeight="1">
      <c r="B7" s="171" t="n"/>
      <c r="C7" s="172" t="n"/>
      <c r="D7" s="171" t="n"/>
      <c r="E7" s="172" t="n"/>
      <c r="F7" s="171" t="n"/>
      <c r="G7" s="172" t="n"/>
      <c r="H7" s="171" t="n"/>
      <c r="I7" s="172" t="n"/>
      <c r="J7" s="171" t="n"/>
      <c r="K7" s="164" t="n"/>
      <c r="L7" s="172" t="n"/>
      <c r="M7" s="105" t="n"/>
      <c r="N7" s="171" t="n"/>
      <c r="O7" s="172" t="n"/>
      <c r="P7" s="171" t="n"/>
      <c r="Q7" s="172" t="n"/>
      <c r="R7" s="171" t="n"/>
      <c r="S7" s="172" t="n"/>
      <c r="T7" s="105" t="n"/>
    </row>
    <row r="9" ht="15.5" customHeight="1">
      <c r="B9" s="154" t="inlineStr">
        <is>
          <t>Chamados Atendidos por Mês (Encerrados)</t>
        </is>
      </c>
      <c r="N9" s="140" t="inlineStr">
        <is>
          <t>Chamados por Classificação</t>
        </is>
      </c>
    </row>
    <row r="10">
      <c r="B10" s="41" t="inlineStr">
        <is>
          <t>Mês</t>
        </is>
      </c>
      <c r="C10" s="41" t="inlineStr">
        <is>
          <t>Atendidos</t>
        </is>
      </c>
      <c r="O10" s="59" t="inlineStr">
        <is>
          <t>Atendidos</t>
        </is>
      </c>
      <c r="P10" s="59" t="inlineStr">
        <is>
          <t>Em Aberto</t>
        </is>
      </c>
      <c r="Q10" s="59" t="inlineStr">
        <is>
          <t>Abertos Últ. 30d</t>
        </is>
      </c>
    </row>
    <row r="11">
      <c r="B11" s="38" t="inlineStr">
        <is>
          <t>Mar/2026</t>
        </is>
      </c>
      <c r="C11" s="39">
        <f>COUNTIFS('Compilado chamados'!$Y$5:$Y$1048576,"Encerrado",'Compilado chamados'!$X$5:$X$1048576,"&gt;="&amp;DATE(2026,3,1),'Compilado chamados'!$X$5:$X$1048576,"&lt;"&amp;EDATE(DATE(2026,3,1),1))</f>
        <v/>
      </c>
      <c r="N11" s="38" t="inlineStr">
        <is>
          <t>Cancelamento e Reemissão de Nota Fiscal</t>
        </is>
      </c>
      <c r="O11" s="39">
        <f>COUNTIFS('Compilado chamados'!C:C,N11,'Compilado chamados'!Y:Y,"Encerrado")</f>
        <v/>
      </c>
      <c r="P11" s="39">
        <f>COUNTIFS('Compilado chamados'!C:C,N11,'Compilado chamados'!Y:Y,"Aberto")</f>
        <v/>
      </c>
      <c r="Q11" s="39">
        <f>COUNTIFS(
'Compilado chamados'!C:C,N11,
'Compilado chamados'!Y:Y,"Aberto",
'Compilado chamados'!O:O,"&gt;="&amp;TODAY()-30,
'Compilado chamados'!O:O,"&lt;"&amp;TODAY()+1
)</f>
        <v/>
      </c>
    </row>
    <row r="12">
      <c r="B12" s="38" t="inlineStr">
        <is>
          <t>Abr/2026</t>
        </is>
      </c>
      <c r="C12" s="39">
        <f>COUNTIFS('Compilado chamados'!$Y$5:$Y$1048576,"Encerrado",'Compilado chamados'!$X$5:$X$1048576,"&gt;="&amp;DATE(2026,4,1),'Compilado chamados'!$X$5:$X$1048576,"&lt;"&amp;EDATE(DATE(2026,4,1),1))</f>
        <v/>
      </c>
      <c r="N12" s="38" t="inlineStr">
        <is>
          <t>Cobrança e Contestação</t>
        </is>
      </c>
      <c r="O12" s="39">
        <f>COUNTIFS('Compilado chamados'!C:C,N12,'Compilado chamados'!Y:Y,"Encerrado")</f>
        <v/>
      </c>
      <c r="P12" s="39">
        <f>COUNTIFS('Compilado chamados'!C:C,N12,'Compilado chamados'!Y:Y,"Aberto")</f>
        <v/>
      </c>
      <c r="Q12" s="39">
        <f>COUNTIFS(
'Compilado chamados'!C:C,N12,
'Compilado chamados'!Y:Y,"Aberto",
'Compilado chamados'!O:O,"&gt;="&amp;TODAY()-30,
'Compilado chamados'!O:O,"&lt;"&amp;TODAY()+1
)</f>
        <v/>
      </c>
      <c r="U12" s="86" t="n"/>
    </row>
    <row r="13">
      <c r="B13" s="38" t="inlineStr">
        <is>
          <t>Mai/2026</t>
        </is>
      </c>
      <c r="C13" s="39">
        <f>COUNTIFS('Compilado chamados'!$Y$5:$Y$1048576,"Encerrado",'Compilado chamados'!$X$5:$X$1048576,"&gt;="&amp;DATE(2026,5,1),'Compilado chamados'!$X$5:$X$1048576,"&lt;"&amp;EDATE(DATE(2026,5,1),1))</f>
        <v/>
      </c>
      <c r="N13" s="38" t="inlineStr">
        <is>
          <t>Pagamentos, Boletos e Recebimentos</t>
        </is>
      </c>
      <c r="O13" s="39">
        <f>COUNTIFS('Compilado chamados'!C:C,N13,'Compilado chamados'!Y:Y,"Encerrado")</f>
        <v/>
      </c>
      <c r="P13" s="39">
        <f>COUNTIFS('Compilado chamados'!C:C,N13,'Compilado chamados'!Y:Y,"Aberto")</f>
        <v/>
      </c>
      <c r="Q13" s="39">
        <f>COUNTIFS(
'Compilado chamados'!C:C,N13,
'Compilado chamados'!Y:Y,"Aberto",
'Compilado chamados'!O:O,"&gt;="&amp;TODAY()-30,
'Compilado chamados'!O:O,"&lt;"&amp;TODAY()+1
)</f>
        <v/>
      </c>
    </row>
    <row r="14">
      <c r="B14" s="38" t="inlineStr">
        <is>
          <t>Jun/2026</t>
        </is>
      </c>
      <c r="C14" s="39">
        <f>COUNTIFS('Compilado chamados'!$Y$5:$Y$1048576,"Encerrado",'Compilado chamados'!$X$5:$X$1048576,"&gt;="&amp;DATE(2026,6,1),'Compilado chamados'!$X$5:$X$1048576,"&lt;"&amp;EDATE(DATE(2026,6,1),1))</f>
        <v/>
      </c>
      <c r="N14" s="60" t="inlineStr">
        <is>
          <t>Contratos, Comercial e Cadastro</t>
        </is>
      </c>
      <c r="O14" s="39">
        <f>COUNTIFS('Compilado chamados'!C:C,N14,'Compilado chamados'!Y:Y,"Encerrado")</f>
        <v/>
      </c>
      <c r="P14" s="39">
        <f>COUNTIFS('Compilado chamados'!C:C,N14,'Compilado chamados'!Y:Y,"Aberto")</f>
        <v/>
      </c>
      <c r="Q14" s="39">
        <f>COUNTIFS(
'Compilado chamados'!C:C,N14,
'Compilado chamados'!Y:Y,"Aberto",
'Compilado chamados'!O:O,"&gt;="&amp;TODAY()-30,
'Compilado chamados'!O:O,"&lt;"&amp;TODAY()+1
)</f>
        <v/>
      </c>
    </row>
    <row r="15">
      <c r="B15" s="38" t="inlineStr">
        <is>
          <t>Jul/2026</t>
        </is>
      </c>
      <c r="C15" s="39">
        <f>COUNTIFS('Compilado chamados'!$Y$5:$Y$1048576,"Encerrado",'Compilado chamados'!$X$5:$X$1048576,"&gt;="&amp;DATE(2026,7,1),'Compilado chamados'!$X$5:$X$1048576,"&lt;"&amp;EDATE(DATE(2026,7,1),1))</f>
        <v/>
      </c>
      <c r="N15" s="38" t="inlineStr">
        <is>
          <t>Atendimento Administrativo e Suporte</t>
        </is>
      </c>
      <c r="O15" s="39">
        <f>COUNTIFS('Compilado chamados'!C:C,N15,'Compilado chamados'!Y:Y,"Encerrado")</f>
        <v/>
      </c>
      <c r="P15" s="39">
        <f>COUNTIFS('Compilado chamados'!C:C,N15,'Compilado chamados'!Y:Y,"Aberto")</f>
        <v/>
      </c>
      <c r="Q15" s="39">
        <f>COUNTIFS(
'Compilado chamados'!C:C,N15,
'Compilado chamados'!Y:Y,"Aberto",
'Compilado chamados'!O:O,"&gt;="&amp;TODAY()-30,
'Compilado chamados'!O:O,"&lt;"&amp;TODAY()+1
)</f>
        <v/>
      </c>
    </row>
    <row r="16">
      <c r="B16" s="38" t="inlineStr">
        <is>
          <t>Ago/2026</t>
        </is>
      </c>
      <c r="C16" s="39">
        <f>COUNTIFS('Compilado chamados'!$Y$5:$Y$1048576,"Encerrado",'Compilado chamados'!$X$5:$X$1048576,"&gt;="&amp;DATE(2026,8,1),'Compilado chamados'!$X$5:$X$1048576,"&lt;"&amp;EDATE(DATE(2026,8,1),1))</f>
        <v/>
      </c>
      <c r="N16" s="38" t="inlineStr">
        <is>
          <t>Faturamento e Obrigações Fiscais</t>
        </is>
      </c>
      <c r="O16" s="39">
        <f>COUNTIFS('Compilado chamados'!C:C,N16,'Compilado chamados'!Y:Y,"Encerrado")</f>
        <v/>
      </c>
      <c r="P16" s="39">
        <f>COUNTIFS('Compilado chamados'!C:C,N16,'Compilado chamados'!Y:Y,"Aberto")</f>
        <v/>
      </c>
      <c r="Q16" s="39">
        <f>COUNTIFS(
'Compilado chamados'!C:C,N16,
'Compilado chamados'!Y:Y,"Aberto",
'Compilado chamados'!O:O,"&gt;="&amp;TODAY()-30,
'Compilado chamados'!O:O,"&lt;"&amp;TODAY()+1
)</f>
        <v/>
      </c>
    </row>
    <row r="17">
      <c r="B17" s="89" t="inlineStr">
        <is>
          <t>Set/2026</t>
        </is>
      </c>
      <c r="C17" s="39">
        <f>COUNTIFS('Compilado chamados'!$Y$5:$Y$1048576,"Encerrado",'Compilado chamados'!$X$5:$X$1048576,"&gt;="&amp;DATE(2026,9,1),'Compilado chamados'!$X$5:$X$1048576,"&lt;"&amp;EDATE(DATE(2026,9,1),1))</f>
        <v/>
      </c>
    </row>
    <row r="20" ht="15.5" customHeight="1">
      <c r="B20" s="140" t="inlineStr">
        <is>
          <t>Chamados por Responsável</t>
        </is>
      </c>
      <c r="C20" s="140" t="n"/>
      <c r="D20" s="140" t="n"/>
      <c r="E20" s="140" t="n"/>
      <c r="F20" s="140" t="n"/>
      <c r="G20" s="140" t="n"/>
      <c r="O20" s="86" t="n"/>
    </row>
    <row r="21" ht="21.75" customHeight="1">
      <c r="B21" s="108" t="inlineStr">
        <is>
          <t>Classificação</t>
        </is>
      </c>
      <c r="C21" s="108" t="inlineStr">
        <is>
          <t>Atendidos</t>
        </is>
      </c>
      <c r="D21" s="108" t="inlineStr">
        <is>
          <t>Encerrado Últ. 7 Dias</t>
        </is>
      </c>
      <c r="E21" s="108" t="inlineStr">
        <is>
          <t>Em Andamento</t>
        </is>
      </c>
      <c r="F21" s="108" t="inlineStr">
        <is>
          <t>Em Aberto</t>
        </is>
      </c>
      <c r="G21" s="108" t="inlineStr">
        <is>
          <t>Prioridade</t>
        </is>
      </c>
      <c r="N21" s="41" t="n"/>
      <c r="O21" s="41" t="n"/>
    </row>
    <row r="22">
      <c r="B22" s="38" t="inlineStr">
        <is>
          <t>Vanessa Araujo</t>
        </is>
      </c>
      <c r="C22" s="106">
        <f>COUNTIFS('Compilado chamados'!B:B,Dashboard!B22,'Compilado chamados'!Y:Y,"Encerrado")</f>
        <v/>
      </c>
      <c r="D22" s="106">
        <f>COUNTIFS(
'Compilado chamados'!B:B,Dashboard!B22,
'Compilado chamados'!Y:Y,"Encerrado",
'Compilado chamados'!X:X,"&gt;="&amp;TODAY()-7,
'Compilado chamados'!X:X,"&lt;"&amp;TODAY()+1
)</f>
        <v/>
      </c>
      <c r="E22" s="106">
        <f>COUNTIFS('Compilado chamados'!B:B,Dashboard!B22,'Compilado chamados'!L:L,"EM ANDAMENTO")</f>
        <v/>
      </c>
      <c r="F22" s="106">
        <f>COUNTIFS('Compilado chamados'!B:B,Dashboard!B22,'Compilado chamados'!Y:Y,"Aberto")</f>
        <v/>
      </c>
      <c r="G22" s="107">
        <f>COUNTIFS('Compilado chamados'!B:B,Dashboard!B22,'Compilado chamados'!M:M,"Alta")</f>
        <v/>
      </c>
      <c r="N22" s="37" t="n"/>
      <c r="O22" s="37" t="n"/>
    </row>
    <row r="23">
      <c r="B23" s="38" t="inlineStr">
        <is>
          <t>Stephany Lima</t>
        </is>
      </c>
      <c r="C23" s="106">
        <f>COUNTIFS('Compilado chamados'!B:B,Dashboard!B23,'Compilado chamados'!Y:Y,"Encerrado")</f>
        <v/>
      </c>
      <c r="D23" s="106">
        <f>COUNTIFS(
'Compilado chamados'!B:B,Dashboard!B23,
'Compilado chamados'!Y:Y,"Encerrado",
'Compilado chamados'!X:X,"&gt;="&amp;TODAY()-7,
'Compilado chamados'!X:X,"&lt;"&amp;TODAY()+1
)</f>
        <v/>
      </c>
      <c r="E23" s="106">
        <f>COUNTIFS('Compilado chamados'!B:B,Dashboard!B23,'Compilado chamados'!L:L,"EM ANDAMENTO")</f>
        <v/>
      </c>
      <c r="F23" s="106">
        <f>COUNTIFS('Compilado chamados'!B:B,Dashboard!B23,'Compilado chamados'!Y:Y,"Aberto")</f>
        <v/>
      </c>
      <c r="G23" s="107">
        <f>COUNTIFS('Compilado chamados'!B:B,Dashboard!B23,'Compilado chamados'!M:M,"Alta")</f>
        <v/>
      </c>
      <c r="N23" s="37" t="n"/>
      <c r="O23" s="37" t="n"/>
    </row>
    <row r="24">
      <c r="B24" s="38" t="inlineStr">
        <is>
          <t>Pamela de Sá</t>
        </is>
      </c>
      <c r="C24" s="106">
        <f>COUNTIFS('Compilado chamados'!B:B,Dashboard!B24,'Compilado chamados'!Y:Y,"Encerrado")</f>
        <v/>
      </c>
      <c r="D24" s="106">
        <f>COUNTIFS(
'Compilado chamados'!B:B,Dashboard!B24,
'Compilado chamados'!Y:Y,"Encerrado",
'Compilado chamados'!X:X,"&gt;="&amp;TODAY()-7,
'Compilado chamados'!X:X,"&lt;"&amp;TODAY()+1
)</f>
        <v/>
      </c>
      <c r="E24" s="106">
        <f>COUNTIFS('Compilado chamados'!B:B,Dashboard!B24,'Compilado chamados'!L:L,"EM ANDAMENTO")</f>
        <v/>
      </c>
      <c r="F24" s="106">
        <f>COUNTIFS('Compilado chamados'!B:B,Dashboard!B24,'Compilado chamados'!Y:Y,"Aberto")</f>
        <v/>
      </c>
      <c r="G24" s="107">
        <f>COUNTIFS('Compilado chamados'!B:B,Dashboard!B24,'Compilado chamados'!M:M,"Alta")</f>
        <v/>
      </c>
      <c r="N24" s="37" t="n"/>
      <c r="O24" s="37" t="n"/>
    </row>
    <row r="25">
      <c r="B25" s="38" t="inlineStr">
        <is>
          <t>Emilly Maria</t>
        </is>
      </c>
      <c r="C25" s="106">
        <f>COUNTIFS('Compilado chamados'!B:B,Dashboard!B25,'Compilado chamados'!Y:Y,"Encerrado")</f>
        <v/>
      </c>
      <c r="D25" s="106">
        <f>COUNTIFS(
'Compilado chamados'!B:B,Dashboard!B25,
'Compilado chamados'!Y:Y,"Encerrado",
'Compilado chamados'!X:X,"&gt;="&amp;TODAY()-7,
'Compilado chamados'!X:X,"&lt;"&amp;TODAY()+1
)</f>
        <v/>
      </c>
      <c r="E25" s="106">
        <f>COUNTIFS('Compilado chamados'!B:B,Dashboard!B25,'Compilado chamados'!L:L,"EM ANDAMENTO")</f>
        <v/>
      </c>
      <c r="F25" s="106">
        <f>COUNTIFS('Compilado chamados'!B:B,Dashboard!B25,'Compilado chamados'!Y:Y,"Aberto")</f>
        <v/>
      </c>
      <c r="G25" s="107">
        <f>COUNTIFS('Compilado chamados'!B:B,Dashboard!B25,'Compilado chamados'!M:M,"Alta")</f>
        <v/>
      </c>
      <c r="N25" s="37" t="n"/>
      <c r="O25" s="37" t="n"/>
    </row>
    <row r="26">
      <c r="B26" s="38" t="inlineStr">
        <is>
          <t>Amanda Silva</t>
        </is>
      </c>
      <c r="C26" s="106">
        <f>COUNTIFS('Compilado chamados'!B:B,Dashboard!B26,'Compilado chamados'!Y:Y,"Encerrado")</f>
        <v/>
      </c>
      <c r="D26" s="106">
        <f>COUNTIFS(
'Compilado chamados'!B:B,Dashboard!B26,
'Compilado chamados'!Y:Y,"Encerrado",
'Compilado chamados'!X:X,"&gt;="&amp;TODAY()-7,
'Compilado chamados'!X:X,"&lt;"&amp;TODAY()+1
)</f>
        <v/>
      </c>
      <c r="E26" s="106">
        <f>COUNTIFS('Compilado chamados'!B:B,Dashboard!B26,'Compilado chamados'!L:L,"EM ANDAMENTO")</f>
        <v/>
      </c>
      <c r="F26" s="106">
        <f>COUNTIFS('Compilado chamados'!B:B,Dashboard!B26,'Compilado chamados'!Y:Y,"Aberto")</f>
        <v/>
      </c>
      <c r="G26" s="107">
        <f>COUNTIFS('Compilado chamados'!B:B,Dashboard!B26,'Compilado chamados'!M:M,"Alta")</f>
        <v/>
      </c>
      <c r="I26" s="86" t="n"/>
      <c r="J26" s="86" t="n"/>
      <c r="K26" s="86" t="n"/>
      <c r="L26" s="86" t="n"/>
      <c r="M26" s="86" t="n"/>
      <c r="N26" s="37" t="n"/>
      <c r="O26" s="37" t="n"/>
    </row>
    <row r="27">
      <c r="I27" s="86" t="n"/>
      <c r="J27" s="86" t="n"/>
      <c r="K27" s="86" t="n"/>
      <c r="L27" s="41" t="n"/>
      <c r="M27" s="41" t="n"/>
      <c r="N27" s="37" t="n"/>
      <c r="O27" s="37" t="n"/>
    </row>
    <row r="28">
      <c r="I28" s="86" t="n"/>
      <c r="J28" s="86" t="n"/>
      <c r="K28" s="86" t="n"/>
      <c r="L28" s="37" t="n"/>
      <c r="M28" s="37" t="n"/>
      <c r="N28" s="37" t="n"/>
      <c r="O28" s="37" t="n"/>
    </row>
    <row r="29" ht="15.5" customHeight="1">
      <c r="B29" s="154" t="inlineStr">
        <is>
          <t>Atendidos nos Últimos 7 Dias</t>
        </is>
      </c>
      <c r="C29" s="154" t="n"/>
      <c r="D29" s="154" t="n"/>
      <c r="M29" s="37" t="n"/>
    </row>
    <row r="30">
      <c r="B30" s="41" t="inlineStr">
        <is>
          <t>Data</t>
        </is>
      </c>
      <c r="C30" s="41" t="inlineStr">
        <is>
          <t>Dia da Semana</t>
        </is>
      </c>
      <c r="D30" s="41" t="inlineStr">
        <is>
          <t>Atendidos</t>
        </is>
      </c>
      <c r="M30" s="37" t="n"/>
    </row>
    <row r="31" ht="15.5" customHeight="1">
      <c r="B31" s="40">
        <f>TODAY()-7</f>
        <v/>
      </c>
      <c r="C31" s="38">
        <f>TEXT(B31,"ddd")</f>
        <v/>
      </c>
      <c r="D31" s="38">
        <f>COUNTIFS('Compilado chamados'!$Y$5:$Y$1048576,"Encerrado",'Compilado chamados'!$X$5:$X$1048576,B31)</f>
        <v/>
      </c>
      <c r="M31" s="37" t="n"/>
      <c r="N31" s="139" t="inlineStr">
        <is>
          <t>Origem Chamados</t>
        </is>
      </c>
    </row>
    <row r="32">
      <c r="B32" s="40">
        <f>TODAY()-6</f>
        <v/>
      </c>
      <c r="C32" s="38">
        <f>TEXT(B32,"ddd")</f>
        <v/>
      </c>
      <c r="D32" s="38">
        <f>COUNTIFS('Compilado chamados'!$Y$5:$Y$1048576,"Encerrado",'Compilado chamados'!$X$5:$X$1048576,B32)</f>
        <v/>
      </c>
      <c r="M32" s="37" t="n"/>
      <c r="N32" s="38" t="inlineStr">
        <is>
          <t>Interno</t>
        </is>
      </c>
      <c r="O32" s="39">
        <f>COUNTIF('Compilado chamados'!AB:AB,N32)</f>
        <v/>
      </c>
    </row>
    <row r="33">
      <c r="B33" s="40">
        <f>TODAY()-5</f>
        <v/>
      </c>
      <c r="C33" s="38">
        <f>TEXT(B33,"ddd")</f>
        <v/>
      </c>
      <c r="D33" s="38">
        <f>COUNTIFS('Compilado chamados'!$Y$5:$Y$1048576,"Encerrado",'Compilado chamados'!$X$5:$X$1048576,B33)</f>
        <v/>
      </c>
      <c r="M33" s="37" t="n"/>
      <c r="N33" s="38" t="inlineStr">
        <is>
          <t>Externo</t>
        </is>
      </c>
      <c r="O33" s="39">
        <f>COUNTIF('Compilado chamados'!AB:AB,N33)</f>
        <v/>
      </c>
      <c r="P33" s="37" t="n"/>
    </row>
    <row r="34">
      <c r="B34" s="40">
        <f>TODAY()-4</f>
        <v/>
      </c>
      <c r="C34" s="38">
        <f>TEXT(B34,"ddd")</f>
        <v/>
      </c>
      <c r="D34" s="38">
        <f>COUNTIFS('Compilado chamados'!$Y$5:$Y$1048576,"Encerrado",'Compilado chamados'!$X$5:$X$1048576,B34)</f>
        <v/>
      </c>
      <c r="M34" s="37" t="n"/>
      <c r="R34" s="37" t="n"/>
    </row>
    <row r="35">
      <c r="B35" s="40">
        <f>TODAY()-3</f>
        <v/>
      </c>
      <c r="C35" s="38">
        <f>TEXT(B35,"ddd")</f>
        <v/>
      </c>
      <c r="D35" s="38">
        <f>COUNTIFS('Compilado chamados'!$Y$5:$Y$1048576,"Encerrado",'Compilado chamados'!$X$5:$X$1048576,B35)</f>
        <v/>
      </c>
    </row>
    <row r="36">
      <c r="B36" s="40">
        <f>TODAY()-2</f>
        <v/>
      </c>
      <c r="C36" s="38">
        <f>TEXT(B36,"ddd")</f>
        <v/>
      </c>
      <c r="D36" s="38">
        <f>COUNTIFS('Compilado chamados'!$Y$5:$Y$1048576,"Encerrado",'Compilado chamados'!$X$5:$X$1048576,B36)</f>
        <v/>
      </c>
    </row>
    <row r="37">
      <c r="B37" s="40">
        <f>TODAY()-1</f>
        <v/>
      </c>
      <c r="C37" s="38">
        <f>TEXT(B37,"ddd")</f>
        <v/>
      </c>
      <c r="D37" s="38">
        <f>COUNTIFS('Compilado chamados'!$Y$5:$Y$1048576,"Encerrado",'Compilado chamados'!$X$5:$X$1048576,B37)</f>
        <v/>
      </c>
    </row>
    <row r="38">
      <c r="B38" s="41" t="inlineStr">
        <is>
          <t>Total 7 dias</t>
        </is>
      </c>
      <c r="D38" s="41">
        <f>SUM(D31:D37)</f>
        <v/>
      </c>
    </row>
    <row r="45" ht="21.75" customHeight="1"/>
    <row r="47">
      <c r="F47" s="88" t="n"/>
      <c r="J47" s="37" t="n"/>
    </row>
    <row r="48">
      <c r="B48" s="37" t="n"/>
      <c r="C48" s="37" t="n"/>
      <c r="D48" s="37" t="n"/>
      <c r="E48" s="87" t="n"/>
      <c r="F48" s="88" t="n"/>
      <c r="J48" s="37" t="n"/>
    </row>
    <row r="49">
      <c r="B49" s="37" t="n"/>
      <c r="C49" s="37" t="n"/>
      <c r="D49" s="37" t="n"/>
      <c r="E49" s="87" t="n"/>
      <c r="F49" s="88" t="n"/>
      <c r="J49" s="37" t="n"/>
    </row>
    <row r="50">
      <c r="B50" s="37" t="n"/>
      <c r="C50" s="37" t="n"/>
      <c r="D50" s="37" t="n"/>
      <c r="E50" s="87" t="n"/>
      <c r="F50" s="88" t="n"/>
      <c r="J50" s="37" t="n"/>
    </row>
    <row r="51">
      <c r="B51" s="37" t="n"/>
      <c r="C51" s="37" t="n"/>
      <c r="D51" s="37" t="n"/>
      <c r="E51" s="87" t="n"/>
      <c r="F51" s="88" t="n"/>
      <c r="J51" s="37" t="n"/>
    </row>
    <row r="52">
      <c r="B52" s="37" t="n"/>
      <c r="C52" s="37" t="n"/>
      <c r="D52" s="37" t="n"/>
      <c r="E52" s="87" t="n"/>
      <c r="F52" s="88" t="n"/>
      <c r="J52" s="37" t="n"/>
    </row>
    <row r="53">
      <c r="B53" s="37" t="n"/>
      <c r="C53" s="37" t="n"/>
      <c r="D53" s="37" t="n"/>
      <c r="E53" s="87" t="n"/>
      <c r="F53" s="88" t="n"/>
      <c r="J53" s="37" t="n"/>
    </row>
    <row r="54">
      <c r="B54" s="37" t="n"/>
      <c r="C54" s="37" t="n"/>
      <c r="D54" s="37" t="n"/>
      <c r="E54" s="87" t="n"/>
      <c r="F54" s="88" t="n"/>
      <c r="J54" s="37" t="n"/>
    </row>
    <row r="55">
      <c r="B55" s="37" t="n"/>
      <c r="C55" s="37" t="n"/>
      <c r="D55" s="37" t="n"/>
      <c r="E55" s="87" t="n"/>
      <c r="F55" s="88" t="n"/>
      <c r="J55" s="37" t="n"/>
    </row>
    <row r="56">
      <c r="J56" s="37" t="n"/>
    </row>
    <row r="59" ht="21.75" customHeight="1"/>
    <row r="69">
      <c r="B69" s="93" t="n"/>
      <c r="C69" s="93" t="n"/>
      <c r="D69" s="93" t="n"/>
      <c r="E69" s="93" t="n"/>
      <c r="F69" s="93" t="n"/>
      <c r="G69" s="93" t="n"/>
    </row>
    <row r="70">
      <c r="H70" s="93" t="n"/>
      <c r="I70" s="93" t="n"/>
      <c r="J70" s="93" t="n"/>
    </row>
  </sheetData>
  <mergeCells count="22">
    <mergeCell ref="B4:L4"/>
    <mergeCell ref="B9:E9"/>
    <mergeCell ref="N9:Q9"/>
    <mergeCell ref="B6:C7"/>
    <mergeCell ref="F5:G5"/>
    <mergeCell ref="N6:O7"/>
    <mergeCell ref="N5:O5"/>
    <mergeCell ref="J6:L7"/>
    <mergeCell ref="D6:E7"/>
    <mergeCell ref="F6:G7"/>
    <mergeCell ref="N4:S4"/>
    <mergeCell ref="N31:O31"/>
    <mergeCell ref="J5:L5"/>
    <mergeCell ref="H6:I7"/>
    <mergeCell ref="B5:C5"/>
    <mergeCell ref="P6:Q7"/>
    <mergeCell ref="D5:E5"/>
    <mergeCell ref="R6:S7"/>
    <mergeCell ref="H5:I5"/>
    <mergeCell ref="P5:Q5"/>
    <mergeCell ref="R5:S5"/>
    <mergeCell ref="B2:J2"/>
  </mergeCells>
  <pageMargins left="0.75" right="0.75" top="1" bottom="1" header="0.511811023622047" footer="0.511811023622047"/>
  <pageSetup orientation="portrait" paperSize="9" horizontalDpi="300" verticalDpi="300"/>
  <headerFooter>
    <oddHeader/>
    <oddFooter>&amp;R&amp;"Aptos"&amp;10 &amp;K000000_x000d_# INFORMAÇÃO INTERNA</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tabColor theme="3" tint="0.09997863704336681"/>
    <outlinePr summaryBelow="1" summaryRight="1"/>
    <pageSetUpPr/>
  </sheetPr>
  <dimension ref="A1:BL35"/>
  <sheetViews>
    <sheetView showGridLines="0" tabSelected="1" topLeftCell="A13" zoomScale="59" zoomScaleNormal="85" workbookViewId="0">
      <selection activeCell="BD20" sqref="BD20"/>
    </sheetView>
  </sheetViews>
  <sheetFormatPr baseColWidth="8" defaultRowHeight="14.5"/>
  <cols>
    <col width="39.08984375" bestFit="1" customWidth="1" min="1" max="1"/>
    <col width="30.1796875" bestFit="1" customWidth="1" min="2" max="2"/>
    <col width="3.453125" customWidth="1" min="3" max="3"/>
    <col width="30.1796875" bestFit="1" customWidth="1" min="4" max="4"/>
    <col hidden="1" width="8.90625" customWidth="1" min="5" max="8"/>
    <col hidden="1" width="7.453125" customWidth="1" min="9" max="20"/>
    <col hidden="1" width="9.54296875" customWidth="1" min="21" max="21"/>
    <col hidden="1" width="7.453125" customWidth="1" min="22" max="25"/>
    <col hidden="1" width="7.54296875" customWidth="1" min="26" max="26"/>
    <col hidden="1" width="8.453125" customWidth="1" min="27" max="38"/>
    <col hidden="1" width="10.6328125" customWidth="1" min="39" max="39"/>
    <col hidden="1" width="11.1796875" customWidth="1" min="40" max="45"/>
    <col width="8.453125" bestFit="1" customWidth="1" min="46" max="46"/>
    <col width="7.81640625" bestFit="1" customWidth="1" min="47" max="62"/>
    <col width="8.08984375" bestFit="1" customWidth="1" min="63" max="63"/>
    <col width="9.90625" bestFit="1" customWidth="1" min="64" max="64"/>
  </cols>
  <sheetData>
    <row r="1">
      <c r="A1" s="155" t="inlineStr">
        <is>
          <t>Chamados em aberto por Categoria/Responsável</t>
        </is>
      </c>
      <c r="B1" s="173" t="n"/>
      <c r="C1" t="inlineStr">
        <is>
          <t>                                                                                                                                                                                                                                                                                                                                                                                                                                                                                                                                                                                                                                                                                                                                                                                                                                                                                                                                                                                                                                                                                                                                                                                                                                                                                                                                                                                                                                                                                                                                                                                                                                                                                                                                                                                                                                                                                                                                                                                                                                                                                                                                                                                                                                                                                                                                                                                                                                                                                                                                                                                                                                                                                                                                                                                                                                                                                                                                                                                                                                                                                                                                                                                                                                                                                                                                                                                                                                                                                                                                                                                                                                                                                                                                                                                                                                                                                                                                                                                                                                                                                                                                                                                                                                                                                                                                                                                                                                                                                                                                                                                                                                                                                                                                                                                                                                                                                                                                                                                                                                                                                                                                                                                                                                                                                                                                                                                                                                                                                                                                                                                                                                                                                                                                                                                                                                                                                                                                                                                                                                                                                                                                                                                                                                                                                                                                                                                                                                                                                                                                                                                                                                                                                                                                                                                                                                                                                                                                                                                                                                                                                                                                                                                                                                                                                                                                                                                                                                                                                                                                                                                                                                                                                                                                                                                                                                                                                                                                                                                                                                                                                                                                                                                                                                                                                                                                                                                                                                                                                                                                                                                                                                                                                                                                                                                                                                                                                                                                                                                                                                                                                                                                                                                                                                                                                                                                                                                                                                                                                                                                                                                                                                                                                                                                                                                                                                                                                                                                                                                                                                                                                                                                                                                                                                                                                                                                                                                                                                                                                                                                                                                                                                                                                                                                                                                                                                                                                                                                                                                                                                                                                                                                                                                                                                                                                                                                                                                                                                                                                                                                                                                                                                                                                                                                                                                                                                                                                                                                                                                                                                                                                                                                                                                                                                                                                                                                                                                                                                                                                                                                                                                                                                                                                                                                                                                                                                                                                                                                                                                                                                                                                                                                                                                                                                                                                                                                                                                                                                                                                                                                                                                                                                                                                                                                                                                                                                                                                                                                                                                                                                                                                                                                                                                                                                                                                                                                                                                                                                                                                                                                                                                                                                                                                                                                                                                                                                                                                                                                                                                                                                                                                                                                                                                                                                                                                                                                                                                                                                                                                                                                                                                                                                                                                                                                                                                                                                                                                                                                                                                                                                                                                                                                                                                                                                                                                                                                                                                                                                                                                       </t>
        </is>
      </c>
      <c r="D1" s="155" t="inlineStr">
        <is>
          <t>Atendimento por Dia/Responsável</t>
        </is>
      </c>
      <c r="E1" s="173" t="n"/>
    </row>
    <row r="3">
      <c r="A3" s="6" t="inlineStr">
        <is>
          <t>Status</t>
        </is>
      </c>
      <c r="B3" t="inlineStr">
        <is>
          <t>(Vários itens)</t>
        </is>
      </c>
      <c r="D3" s="6" t="inlineStr">
        <is>
          <t>Status</t>
        </is>
      </c>
      <c r="E3" t="inlineStr">
        <is>
          <t>FINALIZADO</t>
        </is>
      </c>
    </row>
    <row r="5">
      <c r="A5" s="6" t="inlineStr">
        <is>
          <t>Rótulos de Linha</t>
        </is>
      </c>
      <c r="B5" t="inlineStr">
        <is>
          <t>Contagem de Número do Chamado</t>
        </is>
      </c>
      <c r="D5" s="6" t="inlineStr">
        <is>
          <t>Contagem de Número do Chamado</t>
        </is>
      </c>
      <c r="E5" s="6" t="inlineStr">
        <is>
          <t>Rótulos de Coluna</t>
        </is>
      </c>
    </row>
    <row r="6">
      <c r="A6" s="7" t="inlineStr">
        <is>
          <t>Emilly Maria</t>
        </is>
      </c>
      <c r="B6" t="n">
        <v>35</v>
      </c>
      <c r="E6" t="inlineStr">
        <is>
          <t>&lt;09/01/2026</t>
        </is>
      </c>
      <c r="F6" t="inlineStr">
        <is>
          <t>jan</t>
        </is>
      </c>
      <c r="G6" t="inlineStr">
        <is>
          <t>mar</t>
        </is>
      </c>
      <c r="H6" t="inlineStr">
        <is>
          <t>abr</t>
        </is>
      </c>
      <c r="I6" t="inlineStr">
        <is>
          <t>mai</t>
        </is>
      </c>
      <c r="J6" t="inlineStr">
        <is>
          <t>jul</t>
        </is>
      </c>
      <c r="AA6" t="inlineStr">
        <is>
          <t>jul Total</t>
        </is>
      </c>
      <c r="AB6" t="inlineStr">
        <is>
          <t>ago</t>
        </is>
      </c>
      <c r="AT6" t="inlineStr">
        <is>
          <t>ago Total</t>
        </is>
      </c>
      <c r="AU6" t="inlineStr">
        <is>
          <t>set</t>
        </is>
      </c>
      <c r="BK6" t="inlineStr">
        <is>
          <t>set Total</t>
        </is>
      </c>
      <c r="BL6" t="inlineStr">
        <is>
          <t>Total Geral</t>
        </is>
      </c>
    </row>
    <row r="7">
      <c r="A7" s="8" t="inlineStr">
        <is>
          <t>Atendimento Administrativo e Suporte</t>
        </is>
      </c>
      <c r="B7" t="n">
        <v>3</v>
      </c>
      <c r="J7" t="inlineStr">
        <is>
          <t>10/jul</t>
        </is>
      </c>
      <c r="K7" t="inlineStr">
        <is>
          <t>11/jul</t>
        </is>
      </c>
      <c r="L7" t="inlineStr">
        <is>
          <t>13/jul</t>
        </is>
      </c>
      <c r="M7" t="inlineStr">
        <is>
          <t>14/jul</t>
        </is>
      </c>
      <c r="N7" t="inlineStr">
        <is>
          <t>15/jul</t>
        </is>
      </c>
      <c r="O7" t="inlineStr">
        <is>
          <t>16/jul</t>
        </is>
      </c>
      <c r="P7" t="inlineStr">
        <is>
          <t>17/jul</t>
        </is>
      </c>
      <c r="Q7" t="inlineStr">
        <is>
          <t>20/jul</t>
        </is>
      </c>
      <c r="R7" t="inlineStr">
        <is>
          <t>21/jul</t>
        </is>
      </c>
      <c r="S7" t="inlineStr">
        <is>
          <t>22/jul</t>
        </is>
      </c>
      <c r="T7" t="inlineStr">
        <is>
          <t>23/jul</t>
        </is>
      </c>
      <c r="U7" t="inlineStr">
        <is>
          <t>24/jul</t>
        </is>
      </c>
      <c r="V7" t="inlineStr">
        <is>
          <t>27/jul</t>
        </is>
      </c>
      <c r="W7" t="inlineStr">
        <is>
          <t>28/jul</t>
        </is>
      </c>
      <c r="X7" t="inlineStr">
        <is>
          <t>29/jul</t>
        </is>
      </c>
      <c r="Y7" t="inlineStr">
        <is>
          <t>30/jul</t>
        </is>
      </c>
      <c r="Z7" t="inlineStr">
        <is>
          <t>31/jul</t>
        </is>
      </c>
      <c r="AB7" t="inlineStr">
        <is>
          <t>03/ago</t>
        </is>
      </c>
      <c r="AC7" t="inlineStr">
        <is>
          <t>04/ago</t>
        </is>
      </c>
      <c r="AD7" t="inlineStr">
        <is>
          <t>05/ago</t>
        </is>
      </c>
      <c r="AE7" t="inlineStr">
        <is>
          <t>06/ago</t>
        </is>
      </c>
      <c r="AF7" t="inlineStr">
        <is>
          <t>07/ago</t>
        </is>
      </c>
      <c r="AG7" t="inlineStr">
        <is>
          <t>08/ago</t>
        </is>
      </c>
      <c r="AH7" t="inlineStr">
        <is>
          <t>10/ago</t>
        </is>
      </c>
      <c r="AI7" t="inlineStr">
        <is>
          <t>11/ago</t>
        </is>
      </c>
      <c r="AJ7" t="inlineStr">
        <is>
          <t>12/ago</t>
        </is>
      </c>
      <c r="AK7" t="inlineStr">
        <is>
          <t>13/ago</t>
        </is>
      </c>
      <c r="AL7" t="inlineStr">
        <is>
          <t>14/ago</t>
        </is>
      </c>
      <c r="AM7" t="inlineStr">
        <is>
          <t>18/ago</t>
        </is>
      </c>
      <c r="AN7" t="inlineStr">
        <is>
          <t>20/ago</t>
        </is>
      </c>
      <c r="AO7" t="inlineStr">
        <is>
          <t>24/ago</t>
        </is>
      </c>
      <c r="AP7" t="inlineStr">
        <is>
          <t>25/ago</t>
        </is>
      </c>
      <c r="AQ7" t="inlineStr">
        <is>
          <t>26/ago</t>
        </is>
      </c>
      <c r="AR7" t="inlineStr">
        <is>
          <t>27/ago</t>
        </is>
      </c>
      <c r="AS7" t="inlineStr">
        <is>
          <t>28/ago</t>
        </is>
      </c>
      <c r="AU7" t="inlineStr">
        <is>
          <t>02/set</t>
        </is>
      </c>
      <c r="AV7" t="inlineStr">
        <is>
          <t>03/set</t>
        </is>
      </c>
      <c r="AW7" t="inlineStr">
        <is>
          <t>04/set</t>
        </is>
      </c>
      <c r="AX7" t="inlineStr">
        <is>
          <t>08/set</t>
        </is>
      </c>
      <c r="AY7" t="inlineStr">
        <is>
          <t>09/set</t>
        </is>
      </c>
      <c r="AZ7" t="inlineStr">
        <is>
          <t>10/set</t>
        </is>
      </c>
      <c r="BA7" t="inlineStr">
        <is>
          <t>11/set</t>
        </is>
      </c>
      <c r="BB7" t="inlineStr">
        <is>
          <t>14/set</t>
        </is>
      </c>
      <c r="BC7" t="inlineStr">
        <is>
          <t>15/set</t>
        </is>
      </c>
      <c r="BD7" t="inlineStr">
        <is>
          <t>16/set</t>
        </is>
      </c>
      <c r="BE7" t="inlineStr">
        <is>
          <t>17/set</t>
        </is>
      </c>
      <c r="BF7" t="inlineStr">
        <is>
          <t>18/set</t>
        </is>
      </c>
      <c r="BG7" t="inlineStr">
        <is>
          <t>21/set</t>
        </is>
      </c>
      <c r="BH7" t="inlineStr">
        <is>
          <t>22/set</t>
        </is>
      </c>
      <c r="BI7" t="inlineStr">
        <is>
          <t>23/set</t>
        </is>
      </c>
      <c r="BJ7" t="inlineStr">
        <is>
          <t>24/set</t>
        </is>
      </c>
    </row>
    <row r="8">
      <c r="A8" s="8" t="inlineStr">
        <is>
          <t>Cancelamento e Reemissão de Nota Fiscal</t>
        </is>
      </c>
      <c r="B8" t="n">
        <v>13</v>
      </c>
      <c r="D8" s="6" t="inlineStr">
        <is>
          <t>Rótulos de Linha</t>
        </is>
      </c>
    </row>
    <row r="9">
      <c r="A9" s="8" t="inlineStr">
        <is>
          <t>Cobrança e Contestação</t>
        </is>
      </c>
      <c r="B9" t="n">
        <v>8</v>
      </c>
      <c r="D9" s="7" t="inlineStr">
        <is>
          <t>Emilly Maria</t>
        </is>
      </c>
      <c r="G9" t="n">
        <v>1</v>
      </c>
      <c r="I9" t="n">
        <v>1</v>
      </c>
      <c r="M9" t="n">
        <v>3</v>
      </c>
      <c r="N9" t="n">
        <v>1</v>
      </c>
      <c r="O9" t="n">
        <v>2</v>
      </c>
      <c r="P9" t="n">
        <v>2</v>
      </c>
      <c r="Q9" t="n">
        <v>1</v>
      </c>
      <c r="S9" t="n">
        <v>1</v>
      </c>
      <c r="T9" t="n">
        <v>2</v>
      </c>
      <c r="X9" t="n">
        <v>1</v>
      </c>
      <c r="Y9" t="n">
        <v>6</v>
      </c>
      <c r="Z9" t="n">
        <v>4</v>
      </c>
      <c r="AA9" t="n">
        <v>23</v>
      </c>
      <c r="AC9" t="n">
        <v>1</v>
      </c>
      <c r="AD9" t="n">
        <v>1</v>
      </c>
      <c r="AE9" t="n">
        <v>9</v>
      </c>
      <c r="AF9" t="n">
        <v>3</v>
      </c>
      <c r="AH9" t="n">
        <v>3</v>
      </c>
      <c r="AI9" t="n">
        <v>5</v>
      </c>
      <c r="AK9" t="n">
        <v>1</v>
      </c>
      <c r="AL9" t="n">
        <v>5</v>
      </c>
      <c r="AM9" t="n">
        <v>1</v>
      </c>
      <c r="AO9" t="n">
        <v>3</v>
      </c>
      <c r="AP9" t="n">
        <v>2</v>
      </c>
      <c r="AQ9" t="n">
        <v>1</v>
      </c>
      <c r="AT9" t="n">
        <v>35</v>
      </c>
      <c r="AU9" t="n">
        <v>1</v>
      </c>
      <c r="AV9" t="n">
        <v>3</v>
      </c>
      <c r="AW9" t="n">
        <v>2</v>
      </c>
      <c r="AX9" t="n">
        <v>2</v>
      </c>
      <c r="AZ9" t="n">
        <v>1</v>
      </c>
      <c r="BA9" t="n">
        <v>2</v>
      </c>
      <c r="BC9" t="n">
        <v>1</v>
      </c>
      <c r="BH9" t="n">
        <v>5</v>
      </c>
      <c r="BI9" t="n">
        <v>1</v>
      </c>
      <c r="BJ9" t="n">
        <v>2</v>
      </c>
      <c r="BK9" t="n">
        <v>20</v>
      </c>
      <c r="BL9" t="n">
        <v>80</v>
      </c>
    </row>
    <row r="10">
      <c r="A10" s="8" t="inlineStr">
        <is>
          <t>Contratos, Comercial e Cadastro</t>
        </is>
      </c>
      <c r="B10" t="n">
        <v>3</v>
      </c>
      <c r="D10" s="7" t="inlineStr">
        <is>
          <t>Fabiana Lisboa</t>
        </is>
      </c>
      <c r="T10" t="n">
        <v>1</v>
      </c>
      <c r="U10" t="n">
        <v>2</v>
      </c>
      <c r="V10" t="n">
        <v>2</v>
      </c>
      <c r="W10" t="n">
        <v>1</v>
      </c>
      <c r="X10" t="n">
        <v>2</v>
      </c>
      <c r="Y10" t="n">
        <v>4</v>
      </c>
      <c r="AA10" t="n">
        <v>12</v>
      </c>
      <c r="AE10" t="n">
        <v>2</v>
      </c>
      <c r="AH10" t="n">
        <v>1</v>
      </c>
      <c r="AI10" t="n">
        <v>4</v>
      </c>
      <c r="AL10" t="n">
        <v>1</v>
      </c>
      <c r="AT10" t="n">
        <v>8</v>
      </c>
      <c r="BL10" t="n">
        <v>20</v>
      </c>
    </row>
    <row r="11">
      <c r="A11" s="8" t="inlineStr">
        <is>
          <t>Faturamento e Obrigações Fiscais</t>
        </is>
      </c>
      <c r="B11" t="n">
        <v>2</v>
      </c>
      <c r="C11" t="inlineStr">
        <is>
          <t>                                                                                                                                                                                                                                                                                                                                                                                                                                                                                                                                                                                                                                                                                                                                                                                                                                                                                                                                                                                                                                                                                                                                                                                                                                                                                                                                                                                                                                                                                                                                                                                                                                                                                                                                                                                                                                                                                                                                                                                                                                                                                                                                                                                                                                                                                                                                                                                                                                                                                                                                                                                                                                                                                                                                                                                                                                                                                                                                                                                                                                                                                                                                                                                                                                                                                                                                                                                                                                                                                                                                                                                                                                                                                                                                                                                                                                                                                                                                                                                                                                                                                                                                                                                                                                                                                                                                                                                                                                                                                                                                                                                                                                                                                                                                                                                                                                                                                                                                                                                                                                                                                                                                                                                                                                                                                                                                                                                                                                                                                                                                                                                                                                                                                                                                                                                                                                                                                                                                                                                                                                                                                                                                                                                                                                                                                                                                                                                                                                                                                                                                                                                                                                                                                                                                                                                                                                                                                                                                              </t>
        </is>
      </c>
      <c r="D11" s="7" t="inlineStr">
        <is>
          <t>Pamela de Sá</t>
        </is>
      </c>
      <c r="P11" t="n">
        <v>1</v>
      </c>
      <c r="R11" t="n">
        <v>1</v>
      </c>
      <c r="S11" t="n">
        <v>1</v>
      </c>
      <c r="T11" t="n">
        <v>1</v>
      </c>
      <c r="W11" t="n">
        <v>2</v>
      </c>
      <c r="X11" t="n">
        <v>1</v>
      </c>
      <c r="Y11" t="n">
        <v>2</v>
      </c>
      <c r="Z11" t="n">
        <v>1</v>
      </c>
      <c r="AA11" t="n">
        <v>10</v>
      </c>
      <c r="AE11" t="n">
        <v>6</v>
      </c>
      <c r="AG11" t="n">
        <v>3</v>
      </c>
      <c r="AO11" t="n">
        <v>1</v>
      </c>
      <c r="AP11" t="n">
        <v>3</v>
      </c>
      <c r="AS11" t="n">
        <v>1</v>
      </c>
      <c r="AT11" t="n">
        <v>14</v>
      </c>
      <c r="AU11" t="n">
        <v>1</v>
      </c>
      <c r="BC11" t="n">
        <v>2</v>
      </c>
      <c r="BK11" t="n">
        <v>3</v>
      </c>
      <c r="BL11" t="n">
        <v>27</v>
      </c>
    </row>
    <row r="12">
      <c r="A12" s="8" t="inlineStr">
        <is>
          <t>Pagamentos, Boletos e Recebimentos</t>
        </is>
      </c>
      <c r="B12" t="n">
        <v>6</v>
      </c>
      <c r="C12" t="inlineStr">
        <is>
          <t>                                                                                                                                                                                                                                                                                                                                                                                                                                                                                                                                                                                                                                                                                                                                                                                                                                                                                                                                                                                                                                                                                                                                                                                                                                                                                                                                                                                                                                                                                                                                                                                                                                                                                                                                                                                                                                                                                                                                                                                                                                                                                                                                                                                                                                                                                                                                                                                                                                                                                                                                                                                                                                                                                                                                                                                                                                                                                                                                                                                                                                                                                                                                                                                                                                                                                                                                                                                                                                                                                                                                                                                                                                                                                                                                                                                                                                                                                                                                                                                                                                                                                                                                                                                                                                                                                                                                                                                                                                                                                                                                                                                                                                                                                                                                                                                                                                                                                                                                                                                                                                                                                                                                                                                                                                                                                                                                                                                                                                                                                                                                                                                                                                                                                                                                                                                                                                                                                                                                                                                                                                                                                                                                                                                                                                                                                                                                                                                                                                                                                                                                                                                                                                                                                                                                                                                                                                                                                                                                                                                                                                                                                                                                                                                                                                                                                                                                                                                                                                                                                                                                                                                                                                                                                                                                                                                                                                                                                                                                                                                                                                                                                                                                                                                                                                                                                                                                                                                                                                                                                                                                                                                                                                                                                                                                                                                                                                                                                                                                                                                                                                                                                                                                                                                                                                                                                                                                                                                                                                                                                                                                                                                                                                                                                                                                                                                                                                                                                                                                                                                                                                                                                                                                                                                                                                                                                                                                                                                                                                                                                                                                                                                                                                                                                                                                                                                                                                                                                                                                                                                                                                                                                                                                                                                                                                                                                                                                                                                                                                                                                                                                                                                                                                                                                                                     </t>
        </is>
      </c>
      <c r="D12" s="7" t="inlineStr">
        <is>
          <t>Stephany Lima</t>
        </is>
      </c>
      <c r="F12" t="n">
        <v>1</v>
      </c>
      <c r="H12" t="n">
        <v>1</v>
      </c>
      <c r="I12" t="n">
        <v>1</v>
      </c>
      <c r="J12" t="n">
        <v>1</v>
      </c>
      <c r="L12" t="n">
        <v>8</v>
      </c>
      <c r="M12" t="n">
        <v>2</v>
      </c>
      <c r="N12" t="n">
        <v>3</v>
      </c>
      <c r="Q12" t="n">
        <v>1</v>
      </c>
      <c r="R12" t="n">
        <v>1</v>
      </c>
      <c r="T12" t="n">
        <v>1</v>
      </c>
      <c r="U12" t="n">
        <v>1</v>
      </c>
      <c r="X12" t="n">
        <v>3</v>
      </c>
      <c r="Y12" t="n">
        <v>3</v>
      </c>
      <c r="Z12" t="n">
        <v>1</v>
      </c>
      <c r="AA12" t="n">
        <v>25</v>
      </c>
      <c r="AC12" t="n">
        <v>3</v>
      </c>
      <c r="AD12" t="n">
        <v>1</v>
      </c>
      <c r="AE12" t="n">
        <v>3</v>
      </c>
      <c r="AF12" t="n">
        <v>4</v>
      </c>
      <c r="AH12" t="n">
        <v>5</v>
      </c>
      <c r="AI12" t="n">
        <v>4</v>
      </c>
      <c r="AJ12" t="n">
        <v>5</v>
      </c>
      <c r="AN12" t="n">
        <v>2</v>
      </c>
      <c r="AQ12" t="n">
        <v>1</v>
      </c>
      <c r="AT12" t="n">
        <v>28</v>
      </c>
      <c r="AU12" t="n">
        <v>1</v>
      </c>
      <c r="AV12" t="n">
        <v>3</v>
      </c>
      <c r="AW12" t="n">
        <v>1</v>
      </c>
      <c r="AX12" t="n">
        <v>4</v>
      </c>
      <c r="AY12" t="n">
        <v>1</v>
      </c>
      <c r="BB12" t="n">
        <v>2</v>
      </c>
      <c r="BD12" t="n">
        <v>2</v>
      </c>
      <c r="BE12" t="n">
        <v>1</v>
      </c>
      <c r="BG12" t="n">
        <v>1</v>
      </c>
      <c r="BH12" t="n">
        <v>4</v>
      </c>
      <c r="BI12" t="n">
        <v>1</v>
      </c>
      <c r="BJ12" t="n">
        <v>1</v>
      </c>
      <c r="BK12" t="n">
        <v>22</v>
      </c>
      <c r="BL12" t="n">
        <v>78</v>
      </c>
    </row>
    <row r="13">
      <c r="A13" s="7" t="inlineStr">
        <is>
          <t>Pamela de Sá</t>
        </is>
      </c>
      <c r="B13" t="n">
        <v>36</v>
      </c>
      <c r="D13" s="7" t="inlineStr">
        <is>
          <t>Vanessa Araujo</t>
        </is>
      </c>
      <c r="K13" t="n">
        <v>1</v>
      </c>
      <c r="U13" t="n">
        <v>1</v>
      </c>
      <c r="W13" t="n">
        <v>1</v>
      </c>
      <c r="Y13" t="n">
        <v>1</v>
      </c>
      <c r="AA13" t="n">
        <v>4</v>
      </c>
      <c r="AH13" t="n">
        <v>1</v>
      </c>
      <c r="AI13" t="n">
        <v>1</v>
      </c>
      <c r="AQ13" t="n">
        <v>1</v>
      </c>
      <c r="AT13" t="n">
        <v>3</v>
      </c>
      <c r="BF13" t="n">
        <v>1</v>
      </c>
      <c r="BK13" t="n">
        <v>1</v>
      </c>
      <c r="BL13" t="n">
        <v>8</v>
      </c>
    </row>
    <row r="14">
      <c r="A14" s="8" t="inlineStr">
        <is>
          <t>Atendimento Administrativo e Suporte</t>
        </is>
      </c>
      <c r="B14" t="n">
        <v>4</v>
      </c>
      <c r="D14" s="7" t="inlineStr">
        <is>
          <t>Amanda Silva</t>
        </is>
      </c>
      <c r="E14" t="n">
        <v>1</v>
      </c>
      <c r="I14" t="n">
        <v>1</v>
      </c>
      <c r="AB14" t="n">
        <v>1</v>
      </c>
      <c r="AC14" t="n">
        <v>2</v>
      </c>
      <c r="AD14" t="n">
        <v>1</v>
      </c>
      <c r="AE14" t="n">
        <v>1</v>
      </c>
      <c r="AR14" t="n">
        <v>3</v>
      </c>
      <c r="AT14" t="n">
        <v>8</v>
      </c>
      <c r="AU14" t="n">
        <v>6</v>
      </c>
      <c r="AW14" t="n">
        <v>1</v>
      </c>
      <c r="AX14" t="n">
        <v>1</v>
      </c>
      <c r="BA14" t="n">
        <v>3</v>
      </c>
      <c r="BB14" t="n">
        <v>2</v>
      </c>
      <c r="BC14" t="n">
        <v>7</v>
      </c>
      <c r="BD14" t="n">
        <v>1</v>
      </c>
      <c r="BF14" t="n">
        <v>3</v>
      </c>
      <c r="BG14" t="n">
        <v>1</v>
      </c>
      <c r="BH14" t="n">
        <v>1</v>
      </c>
      <c r="BI14" t="n">
        <v>3</v>
      </c>
      <c r="BJ14" t="n">
        <v>1</v>
      </c>
      <c r="BK14" t="n">
        <v>30</v>
      </c>
      <c r="BL14" t="n">
        <v>40</v>
      </c>
    </row>
    <row r="15">
      <c r="A15" s="8" t="inlineStr">
        <is>
          <t>Cancelamento e Reemissão de Nota Fiscal</t>
        </is>
      </c>
      <c r="B15" t="n">
        <v>9</v>
      </c>
      <c r="D15" s="7" t="inlineStr">
        <is>
          <t>Total Geral</t>
        </is>
      </c>
      <c r="E15" t="n">
        <v>1</v>
      </c>
      <c r="F15" t="n">
        <v>1</v>
      </c>
      <c r="G15" t="n">
        <v>1</v>
      </c>
      <c r="H15" t="n">
        <v>1</v>
      </c>
      <c r="I15" t="n">
        <v>3</v>
      </c>
      <c r="J15" t="n">
        <v>1</v>
      </c>
      <c r="K15" t="n">
        <v>1</v>
      </c>
      <c r="L15" t="n">
        <v>8</v>
      </c>
      <c r="M15" t="n">
        <v>5</v>
      </c>
      <c r="N15" t="n">
        <v>4</v>
      </c>
      <c r="O15" t="n">
        <v>2</v>
      </c>
      <c r="P15" t="n">
        <v>3</v>
      </c>
      <c r="Q15" t="n">
        <v>2</v>
      </c>
      <c r="R15" t="n">
        <v>2</v>
      </c>
      <c r="S15" t="n">
        <v>2</v>
      </c>
      <c r="T15" t="n">
        <v>5</v>
      </c>
      <c r="U15" t="n">
        <v>4</v>
      </c>
      <c r="V15" t="n">
        <v>2</v>
      </c>
      <c r="W15" t="n">
        <v>4</v>
      </c>
      <c r="X15" t="n">
        <v>7</v>
      </c>
      <c r="Y15" t="n">
        <v>16</v>
      </c>
      <c r="Z15" t="n">
        <v>6</v>
      </c>
      <c r="AA15" t="n">
        <v>74</v>
      </c>
      <c r="AB15" t="n">
        <v>1</v>
      </c>
      <c r="AC15" t="n">
        <v>6</v>
      </c>
      <c r="AD15" t="n">
        <v>3</v>
      </c>
      <c r="AE15" t="n">
        <v>21</v>
      </c>
      <c r="AF15" t="n">
        <v>7</v>
      </c>
      <c r="AG15" t="n">
        <v>3</v>
      </c>
      <c r="AH15" t="n">
        <v>10</v>
      </c>
      <c r="AI15" t="n">
        <v>14</v>
      </c>
      <c r="AJ15" t="n">
        <v>5</v>
      </c>
      <c r="AK15" t="n">
        <v>1</v>
      </c>
      <c r="AL15" t="n">
        <v>6</v>
      </c>
      <c r="AM15" t="n">
        <v>1</v>
      </c>
      <c r="AN15" t="n">
        <v>2</v>
      </c>
      <c r="AO15" t="n">
        <v>4</v>
      </c>
      <c r="AP15" t="n">
        <v>5</v>
      </c>
      <c r="AQ15" t="n">
        <v>3</v>
      </c>
      <c r="AR15" t="n">
        <v>3</v>
      </c>
      <c r="AS15" t="n">
        <v>1</v>
      </c>
      <c r="AT15" t="n">
        <v>96</v>
      </c>
      <c r="AU15" t="n">
        <v>9</v>
      </c>
      <c r="AV15" t="n">
        <v>6</v>
      </c>
      <c r="AW15" t="n">
        <v>4</v>
      </c>
      <c r="AX15" t="n">
        <v>7</v>
      </c>
      <c r="AY15" t="n">
        <v>1</v>
      </c>
      <c r="AZ15" t="n">
        <v>1</v>
      </c>
      <c r="BA15" t="n">
        <v>5</v>
      </c>
      <c r="BB15" t="n">
        <v>4</v>
      </c>
      <c r="BC15" t="n">
        <v>10</v>
      </c>
      <c r="BD15" t="n">
        <v>3</v>
      </c>
      <c r="BE15" t="n">
        <v>1</v>
      </c>
      <c r="BF15" t="n">
        <v>4</v>
      </c>
      <c r="BG15" t="n">
        <v>2</v>
      </c>
      <c r="BH15" t="n">
        <v>10</v>
      </c>
      <c r="BI15" t="n">
        <v>5</v>
      </c>
      <c r="BJ15" t="n">
        <v>4</v>
      </c>
      <c r="BK15" t="n">
        <v>76</v>
      </c>
      <c r="BL15" t="n">
        <v>253</v>
      </c>
    </row>
    <row r="16">
      <c r="A16" s="8" t="inlineStr">
        <is>
          <t>Cobrança e Contestação</t>
        </is>
      </c>
      <c r="B16" t="n">
        <v>8</v>
      </c>
    </row>
    <row r="17">
      <c r="A17" s="8" t="inlineStr">
        <is>
          <t>Contratos, Comercial e Cadastro</t>
        </is>
      </c>
      <c r="B17" t="n">
        <v>6</v>
      </c>
    </row>
    <row r="18">
      <c r="A18" s="8" t="inlineStr">
        <is>
          <t>Faturamento e Obrigações Fiscais</t>
        </is>
      </c>
      <c r="B18" t="n">
        <v>4</v>
      </c>
    </row>
    <row r="19">
      <c r="A19" s="8" t="inlineStr">
        <is>
          <t>Pagamentos, Boletos e Recebimentos</t>
        </is>
      </c>
      <c r="B19" t="n">
        <v>4</v>
      </c>
    </row>
    <row r="20">
      <c r="A20" s="8" t="inlineStr">
        <is>
          <t>#N/D</t>
        </is>
      </c>
      <c r="B20" t="n">
        <v>1</v>
      </c>
    </row>
    <row r="21">
      <c r="A21" s="7" t="inlineStr">
        <is>
          <t>Stephany Lima</t>
        </is>
      </c>
      <c r="B21" t="n">
        <v>57</v>
      </c>
    </row>
    <row r="22">
      <c r="A22" s="8" t="inlineStr">
        <is>
          <t>Atendimento Administrativo e Suporte</t>
        </is>
      </c>
      <c r="B22" t="n">
        <v>1</v>
      </c>
    </row>
    <row r="23">
      <c r="A23" s="8" t="inlineStr">
        <is>
          <t>Cancelamento e Reemissão de Nota Fiscal</t>
        </is>
      </c>
      <c r="B23" t="n">
        <v>25</v>
      </c>
    </row>
    <row r="24">
      <c r="A24" s="8" t="inlineStr">
        <is>
          <t>Cobrança e Contestação</t>
        </is>
      </c>
      <c r="B24" t="n">
        <v>19</v>
      </c>
    </row>
    <row r="25">
      <c r="A25" s="8" t="inlineStr">
        <is>
          <t>Contratos, Comercial e Cadastro</t>
        </is>
      </c>
      <c r="B25" t="n">
        <v>5</v>
      </c>
    </row>
    <row r="26">
      <c r="A26" s="8" t="inlineStr">
        <is>
          <t>Faturamento e Obrigações Fiscais</t>
        </is>
      </c>
      <c r="B26" t="n">
        <v>2</v>
      </c>
    </row>
    <row r="27">
      <c r="A27" s="8" t="inlineStr">
        <is>
          <t>Pagamentos, Boletos e Recebimentos</t>
        </is>
      </c>
      <c r="B27" t="n">
        <v>5</v>
      </c>
    </row>
    <row r="28">
      <c r="A28" s="7" t="inlineStr">
        <is>
          <t>Amanda Silva</t>
        </is>
      </c>
      <c r="B28" t="n">
        <v>20</v>
      </c>
    </row>
    <row r="29">
      <c r="A29" s="8" t="inlineStr">
        <is>
          <t>Atendimento Administrativo e Suporte</t>
        </is>
      </c>
      <c r="B29" t="n">
        <v>3</v>
      </c>
    </row>
    <row r="30">
      <c r="A30" s="8" t="inlineStr">
        <is>
          <t>Cancelamento e Reemissão de Nota Fiscal</t>
        </is>
      </c>
      <c r="B30" t="n">
        <v>8</v>
      </c>
    </row>
    <row r="31">
      <c r="A31" s="8" t="inlineStr">
        <is>
          <t>Cobrança e Contestação</t>
        </is>
      </c>
      <c r="B31" t="n">
        <v>1</v>
      </c>
    </row>
    <row r="32">
      <c r="A32" s="8" t="inlineStr">
        <is>
          <t>Contratos, Comercial e Cadastro</t>
        </is>
      </c>
      <c r="B32" t="n">
        <v>1</v>
      </c>
    </row>
    <row r="33">
      <c r="A33" s="8" t="inlineStr">
        <is>
          <t>Faturamento e Obrigações Fiscais</t>
        </is>
      </c>
      <c r="B33" t="n">
        <v>1</v>
      </c>
    </row>
    <row r="34">
      <c r="A34" s="8" t="inlineStr">
        <is>
          <t>Pagamentos, Boletos e Recebimentos</t>
        </is>
      </c>
      <c r="B34" t="n">
        <v>6</v>
      </c>
    </row>
    <row r="35">
      <c r="A35" s="7" t="inlineStr">
        <is>
          <t>Total Geral</t>
        </is>
      </c>
      <c r="B35" t="n">
        <v>148</v>
      </c>
    </row>
  </sheetData>
  <mergeCells count="2">
    <mergeCell ref="D1:E1"/>
    <mergeCell ref="A1:B1"/>
  </mergeCells>
  <pageMargins left="0.511811024" right="0.511811024" top="0.787401575" bottom="0.787401575" header="0.31496062" footer="0.31496062"/>
</worksheet>
</file>

<file path=xl/worksheets/sheet4.xml><?xml version="1.0" encoding="utf-8"?>
<worksheet xmlns="http://schemas.openxmlformats.org/spreadsheetml/2006/main">
  <sheetPr>
    <outlinePr summaryBelow="1" summaryRight="1"/>
    <pageSetUpPr/>
  </sheetPr>
  <dimension ref="B1:Z35"/>
  <sheetViews>
    <sheetView showGridLines="0" zoomScale="80" zoomScaleNormal="80" workbookViewId="0">
      <pane xSplit="6" ySplit="2" topLeftCell="G26" activePane="bottomRight" state="frozen"/>
      <selection pane="topRight" activeCell="E1" sqref="E1"/>
      <selection pane="bottomLeft" activeCell="A3" sqref="A3"/>
      <selection pane="bottomRight" activeCell="H34" sqref="H34"/>
    </sheetView>
  </sheetViews>
  <sheetFormatPr baseColWidth="8" defaultColWidth="8.54296875" defaultRowHeight="12.5"/>
  <cols>
    <col width="2.54296875" customWidth="1" style="13" min="1" max="1"/>
    <col width="7.54296875" bestFit="1" customWidth="1" style="13" min="2" max="2"/>
    <col width="16.6328125" bestFit="1" customWidth="1" style="13" min="3" max="3"/>
    <col width="12.453125" bestFit="1" customWidth="1" style="13" min="4" max="4"/>
    <col width="10.54296875" bestFit="1" customWidth="1" style="13" min="5" max="5"/>
    <col width="43.54296875" customWidth="1" style="26" min="6" max="6"/>
    <col width="15.453125" bestFit="1" customWidth="1" style="29" min="7" max="7"/>
    <col width="19.453125" bestFit="1" customWidth="1" style="13" min="8" max="8"/>
    <col width="18.453125" bestFit="1" customWidth="1" style="13" min="9" max="9"/>
    <col width="56.453125" customWidth="1" style="28" min="10" max="10"/>
    <col width="12.6328125" customWidth="1" style="13" min="11" max="11"/>
    <col width="15.54296875" bestFit="1" customWidth="1" style="13" min="12" max="12"/>
    <col width="15.54296875" customWidth="1" style="13" min="13" max="13"/>
    <col width="22.54296875" bestFit="1" customWidth="1" style="13" min="14" max="14"/>
    <col width="11.54296875" bestFit="1" customWidth="1" style="83" min="15" max="15"/>
    <col width="16" bestFit="1" customWidth="1" style="13" min="16" max="16"/>
    <col width="17.54296875" bestFit="1" customWidth="1" style="13" min="17" max="17"/>
    <col width="11.54296875" bestFit="1" customWidth="1" style="83" min="18" max="18"/>
    <col width="17.453125" bestFit="1" customWidth="1" style="13" min="19" max="19"/>
    <col width="11.453125" bestFit="1" customWidth="1" style="13" min="20" max="20"/>
    <col width="11.54296875" bestFit="1" customWidth="1" style="83" min="21" max="21"/>
    <col width="17.453125" bestFit="1" customWidth="1" style="13" min="22" max="22"/>
    <col width="11.453125" bestFit="1" customWidth="1" style="13" min="23" max="23"/>
    <col width="8.54296875" customWidth="1" style="13" min="24" max="16384"/>
  </cols>
  <sheetData>
    <row r="1" ht="13" customHeight="1">
      <c r="B1" s="161" t="n"/>
      <c r="C1" s="161" t="n"/>
      <c r="D1" s="161" t="n"/>
      <c r="E1" s="161" t="inlineStr">
        <is>
          <t>Solicitação</t>
        </is>
      </c>
      <c r="O1" s="157" t="inlineStr">
        <is>
          <t>Aprovação 1° nivel (Everton</t>
        </is>
      </c>
      <c r="R1" s="158" t="inlineStr">
        <is>
          <t>Aprovação 2° nivel (Tatebe)</t>
        </is>
      </c>
      <c r="U1" s="159" t="inlineStr">
        <is>
          <t>Aprovação 3° nivel (Calil)</t>
        </is>
      </c>
    </row>
    <row r="2" ht="13" customFormat="1" customHeight="1" s="18">
      <c r="B2" s="161" t="inlineStr">
        <is>
          <t>#</t>
        </is>
      </c>
      <c r="C2" s="161" t="inlineStr">
        <is>
          <t>Concluído</t>
        </is>
      </c>
      <c r="D2" s="161" t="inlineStr">
        <is>
          <t>Status</t>
        </is>
      </c>
      <c r="E2" s="161" t="inlineStr">
        <is>
          <t>Data</t>
        </is>
      </c>
      <c r="F2" s="30" t="inlineStr">
        <is>
          <t>Assunto e-mail</t>
        </is>
      </c>
      <c r="G2" s="30" t="inlineStr">
        <is>
          <t>Chamado</t>
        </is>
      </c>
      <c r="H2" s="161" t="inlineStr">
        <is>
          <t>D.A Comercial</t>
        </is>
      </c>
      <c r="I2" s="161" t="inlineStr">
        <is>
          <t>Natureza</t>
        </is>
      </c>
      <c r="J2" s="43" t="inlineStr">
        <is>
          <t>Contexto</t>
        </is>
      </c>
      <c r="K2" s="161" t="inlineStr">
        <is>
          <t xml:space="preserve">R$ </t>
        </is>
      </c>
      <c r="L2" s="161" t="inlineStr">
        <is>
          <t>Solicitante</t>
        </is>
      </c>
      <c r="M2" s="161" t="inlineStr">
        <is>
          <t>Ofensor</t>
        </is>
      </c>
      <c r="N2" s="161" t="inlineStr">
        <is>
          <t>Alçada necessária</t>
        </is>
      </c>
      <c r="O2" s="82" t="inlineStr">
        <is>
          <t>Data2</t>
        </is>
      </c>
      <c r="P2" s="157" t="inlineStr">
        <is>
          <t>Aprovador</t>
        </is>
      </c>
      <c r="Q2" s="157" t="inlineStr">
        <is>
          <t>Obs</t>
        </is>
      </c>
      <c r="R2" s="84" t="inlineStr">
        <is>
          <t>Data4</t>
        </is>
      </c>
      <c r="S2" s="158" t="inlineStr">
        <is>
          <t>Aprovador5</t>
        </is>
      </c>
      <c r="T2" s="158" t="inlineStr">
        <is>
          <t>Obs6</t>
        </is>
      </c>
      <c r="U2" s="159" t="inlineStr">
        <is>
          <t>Data7</t>
        </is>
      </c>
      <c r="V2" s="160" t="inlineStr">
        <is>
          <t>Aprovador8</t>
        </is>
      </c>
      <c r="W2" s="160" t="inlineStr">
        <is>
          <t>Obs9</t>
        </is>
      </c>
      <c r="X2" s="13" t="n"/>
      <c r="Y2" s="13" t="n"/>
      <c r="Z2" s="13" t="n"/>
    </row>
    <row r="3" ht="37.5" customFormat="1" customHeight="1" s="94">
      <c r="B3" s="120" t="n">
        <v>1</v>
      </c>
      <c r="C3" s="120" t="b">
        <v>0</v>
      </c>
      <c r="D3" s="120">
        <f>IF(AND(P3="OK",OR(S3="OK",S3="N/A"),OR(V3="OK",V3="N/A")),"Aprovado",IF(OR(P3="Reprovado",S3="Reprovado",V3="Reprovado"),"Reprovado","Pendente"))</f>
        <v/>
      </c>
      <c r="E3" s="15" t="n">
        <v>46231</v>
      </c>
      <c r="F3" s="16" t="inlineStr">
        <is>
          <t>Aprovação - Cancelamento de notas - MOITINHO AUTOMOVEIS LTDA 22.134.988/0001-14 - 20192438</t>
        </is>
      </c>
      <c r="G3" s="22">
        <f>RIGHT(Tabela1[[#This Row],[Assunto e-mail]],8)</f>
        <v/>
      </c>
      <c r="H3" s="17" t="inlineStr">
        <is>
          <t>OK</t>
        </is>
      </c>
      <c r="I3" s="17" t="inlineStr">
        <is>
          <t>Cancelamento de NF</t>
        </is>
      </c>
      <c r="J3" s="21" t="inlineStr">
        <is>
          <t>Erro sistemico, o SF enviou ao billing tarifa diferente do contrato</t>
        </is>
      </c>
      <c r="K3" s="25" t="n">
        <v>36586.11</v>
      </c>
      <c r="L3" s="17" t="inlineStr">
        <is>
          <t>Fabiana</t>
        </is>
      </c>
      <c r="M3" s="17" t="n"/>
      <c r="N3" s="17">
        <f>IF(K3&lt;10000,"Everton",IF(K3&lt;=50000,"Everton + Tatebe","Everton + Tatebe + Calil"))</f>
        <v/>
      </c>
      <c r="O3" s="15" t="n">
        <v>46232</v>
      </c>
      <c r="P3" s="17" t="inlineStr">
        <is>
          <t>OK</t>
        </is>
      </c>
      <c r="Q3" s="17" t="inlineStr">
        <is>
          <t>-</t>
        </is>
      </c>
      <c r="R3" s="20" t="n">
        <v>46259</v>
      </c>
      <c r="S3" s="17" t="inlineStr">
        <is>
          <t>OK</t>
        </is>
      </c>
      <c r="T3" s="17">
        <f>IF(K3&lt;10000,"N/A","-")</f>
        <v/>
      </c>
      <c r="U3" s="17">
        <f>IF(K3&lt;=50000,"N/A","")</f>
        <v/>
      </c>
      <c r="V3" s="17">
        <f>IF(K3&lt;=50000,"N/A","")</f>
        <v/>
      </c>
      <c r="W3" s="17">
        <f>IF(K3&lt;=50000,"N/A","-")</f>
        <v/>
      </c>
    </row>
    <row r="4" ht="37.5" customHeight="1">
      <c r="B4" s="27">
        <f>B3+1</f>
        <v/>
      </c>
      <c r="C4" s="120" t="b">
        <v>0</v>
      </c>
      <c r="D4" s="27">
        <f>IF(AND(P4="OK",OR(S4="OK",S4="N/A"),OR(V4="OK",V4="N/A")),"Aprovado",IF(OR(P4="Reprovado",S4="Reprovado",V4="Reprovado"),"Reprovado","Pendente"))</f>
        <v/>
      </c>
      <c r="E4" s="95" t="n">
        <v>46232</v>
      </c>
      <c r="F4" s="28" t="inlineStr">
        <is>
          <t>Aprovação - Cancelamento de notas - OBJETIVO 1220 COMERCIO DE COSMETICO-30.318.916/0001-55 | 21602868</t>
        </is>
      </c>
      <c r="G4" s="29">
        <f>RIGHT(Tabela1[[#This Row],[Assunto e-mail]],8)</f>
        <v/>
      </c>
      <c r="H4" s="96" t="inlineStr">
        <is>
          <t>OK</t>
        </is>
      </c>
      <c r="I4" s="96" t="inlineStr">
        <is>
          <t>Cancelamento de NF</t>
        </is>
      </c>
      <c r="J4" s="28" t="inlineStr">
        <is>
          <t>Estrategia comercial, cancelamento de 2 meses como desconto para o cliente</t>
        </is>
      </c>
      <c r="K4" s="174" t="n">
        <v>16214.4</v>
      </c>
      <c r="L4" s="96" t="inlineStr">
        <is>
          <t>Emilly</t>
        </is>
      </c>
      <c r="M4" s="96" t="n"/>
      <c r="N4" s="96">
        <f>IF(K4&lt;10000,"Everton",IF(K4&lt;=50000,"Everton + Tatebe","Everton + Tatebe + Calil"))</f>
        <v/>
      </c>
      <c r="O4" s="95" t="n">
        <v>46233</v>
      </c>
      <c r="P4" s="96" t="inlineStr">
        <is>
          <t>OK</t>
        </is>
      </c>
      <c r="Q4" s="96" t="inlineStr">
        <is>
          <t>-</t>
        </is>
      </c>
      <c r="R4" s="95" t="n">
        <v>46244</v>
      </c>
      <c r="S4" s="96" t="inlineStr">
        <is>
          <t>OK</t>
        </is>
      </c>
      <c r="T4" s="96">
        <f>IF(K4&lt;10000,"N/A","-")</f>
        <v/>
      </c>
      <c r="U4" s="96">
        <f>IF(K4&lt;=50000,"N/A","")</f>
        <v/>
      </c>
      <c r="V4" s="96">
        <f>IF(K4&lt;=50000,"N/A","")</f>
        <v/>
      </c>
      <c r="W4" s="96">
        <f>IF(K4&lt;=50000,"N/A","-")</f>
        <v/>
      </c>
    </row>
    <row r="5" ht="37.5" customFormat="1" customHeight="1" s="94">
      <c r="B5" s="120">
        <f>B4+1</f>
        <v/>
      </c>
      <c r="C5" s="120" t="b">
        <v>0</v>
      </c>
      <c r="D5" s="120">
        <f>IF(AND(P5="OK",OR(S5="OK",S5="N/A"),OR(V5="OK",V5="N/A")),"Aprovado",IF(OR(P5="Reprovado",S5="Reprovado",V5="Reprovado"),"Reprovado","Pendente"))</f>
        <v/>
      </c>
      <c r="E5" s="20" t="n">
        <v>46232</v>
      </c>
      <c r="F5" s="21" t="inlineStr">
        <is>
          <t>Aprovação - Cancelamento de notas - ELO CONSULTORIA E SOLUCOES LTDA-54.709.015/0001-52 | 22101893</t>
        </is>
      </c>
      <c r="G5" s="22">
        <f>RIGHT(Tabela1[[#This Row],[Assunto e-mail]],8)</f>
        <v/>
      </c>
      <c r="H5" s="17" t="inlineStr">
        <is>
          <t>OK</t>
        </is>
      </c>
      <c r="I5" s="17" t="inlineStr">
        <is>
          <t>Cancelamento de NF</t>
        </is>
      </c>
      <c r="J5" s="21" t="inlineStr">
        <is>
          <t>Contrato fora do padrão, cobrança de ISS padrão que não consta no contrato</t>
        </is>
      </c>
      <c r="K5" s="175" t="n">
        <v>8163.27</v>
      </c>
      <c r="L5" s="17" t="inlineStr">
        <is>
          <t>Emilly</t>
        </is>
      </c>
      <c r="M5" s="17" t="n"/>
      <c r="N5" s="17">
        <f>IF(K5&lt;10000,"Everton",IF(K5&lt;=50000,"Everton + Tatebe","Everton + Tatebe + Calil"))</f>
        <v/>
      </c>
      <c r="O5" s="20" t="n">
        <v>46233</v>
      </c>
      <c r="P5" s="17" t="inlineStr">
        <is>
          <t>OK</t>
        </is>
      </c>
      <c r="Q5" s="22" t="inlineStr">
        <is>
          <t>-</t>
        </is>
      </c>
      <c r="R5" s="20">
        <f>IF(K5&lt;10000,"N/A","")</f>
        <v/>
      </c>
      <c r="S5" s="17">
        <f>IF(K5&lt;10000,"N/A","")</f>
        <v/>
      </c>
      <c r="T5" s="17">
        <f>IF(K5&lt;10000,"N/A","-")</f>
        <v/>
      </c>
      <c r="U5" s="17">
        <f>IF(K5&lt;=50000,"N/A","")</f>
        <v/>
      </c>
      <c r="V5" s="17">
        <f>IF(K5&lt;=50000,"N/A","")</f>
        <v/>
      </c>
      <c r="W5" s="17">
        <f>IF(K5&lt;=50000,"N/A","-")</f>
        <v/>
      </c>
    </row>
    <row r="6" ht="50" customHeight="1">
      <c r="B6" s="27">
        <f>B5+1</f>
        <v/>
      </c>
      <c r="C6" s="120" t="b">
        <v>0</v>
      </c>
      <c r="D6" s="27">
        <f>IF(AND(P6="OK",OR(S6="OK",S6="N/A"),OR(V6="OK",V6="N/A")),"Aprovado",IF(OR(P6="Reprovado",S6="Reprovado",V6="Reprovado"),"Reprovado","Pendente"))</f>
        <v/>
      </c>
      <c r="E6" s="95" t="n">
        <v>46226</v>
      </c>
      <c r="F6" s="97" t="inlineStr">
        <is>
          <t>Aprovação - Cancelamento de notas - ELEVE DISTRIBUIDORA DE PRODUTOS NUTRICOSMETICOS LTDA-31.178.848/0001-39 |21338462</t>
        </is>
      </c>
      <c r="G6" s="29">
        <f>RIGHT(Tabela1[[#This Row],[Assunto e-mail]],8)</f>
        <v/>
      </c>
      <c r="H6" s="96" t="inlineStr">
        <is>
          <t>OK</t>
        </is>
      </c>
      <c r="I6" s="96" t="inlineStr">
        <is>
          <t>Cancelamento de NF</t>
        </is>
      </c>
      <c r="J6" s="28" t="inlineStr">
        <is>
          <t>Cancelamento não tempestivo pela comercial na tentativa de reverter a decisão do cliente</t>
        </is>
      </c>
      <c r="K6" s="174" t="n">
        <v>178.42</v>
      </c>
      <c r="L6" s="96" t="inlineStr">
        <is>
          <t>Emilly</t>
        </is>
      </c>
      <c r="M6" s="96" t="n"/>
      <c r="N6" s="96">
        <f>IF(K6&lt;10000,"Everton",IF(K6&lt;=50000,"Everton + Tatebe","Everton + Tatebe + Calil"))</f>
        <v/>
      </c>
      <c r="O6" s="95" t="n">
        <v>46233</v>
      </c>
      <c r="P6" s="96" t="inlineStr">
        <is>
          <t>OK</t>
        </is>
      </c>
      <c r="Q6" s="96" t="inlineStr">
        <is>
          <t>-</t>
        </is>
      </c>
      <c r="R6" s="95">
        <f>IF(K6&lt;10000,"N/A","")</f>
        <v/>
      </c>
      <c r="S6" s="96">
        <f>IF(K6&lt;10000,"N/A","")</f>
        <v/>
      </c>
      <c r="T6" s="96">
        <f>IF(K6&lt;10000,"N/A","-")</f>
        <v/>
      </c>
      <c r="U6" s="96">
        <f>IF(K6&lt;=50000,"N/A","")</f>
        <v/>
      </c>
      <c r="V6" s="96">
        <f>IF(K6&lt;=50000,"N/A","")</f>
        <v/>
      </c>
      <c r="W6" s="96">
        <f>IF(K6&lt;=50000,"N/A","-")</f>
        <v/>
      </c>
    </row>
    <row r="7" ht="37.5" customFormat="1" customHeight="1" s="94">
      <c r="B7" s="120">
        <f>B6+1</f>
        <v/>
      </c>
      <c r="C7" s="120" t="b">
        <v>0</v>
      </c>
      <c r="D7" s="120">
        <f>IF(AND(P7="OK",OR(S7="OK",S7="N/A"),OR(V7="OK",V7="N/A")),"Aprovado",IF(OR(P7="Reprovado",S7="Reprovado",V7="Reprovado"),"Reprovado","Pendente"))</f>
        <v/>
      </c>
      <c r="E7" s="15" t="n">
        <v>46231</v>
      </c>
      <c r="F7" s="21" t="inlineStr">
        <is>
          <t>Aprovação - Cancelamento de notas - DIRETIVA IMPORTACAO E DISTRIBUICAO- 52.833.913/0001-92 | 23024837</t>
        </is>
      </c>
      <c r="G7" s="22">
        <f>RIGHT(Tabela1[[#This Row],[Assunto e-mail]],8)</f>
        <v/>
      </c>
      <c r="H7" s="17" t="inlineStr">
        <is>
          <t>OK</t>
        </is>
      </c>
      <c r="I7" s="17" t="inlineStr">
        <is>
          <t>Cancelamento de NF</t>
        </is>
      </c>
      <c r="J7" s="21" t="inlineStr">
        <is>
          <t>Erro sistemico, após o cancelamento do cliente houve cobrança do Min. Mensal</t>
        </is>
      </c>
      <c r="K7" s="175" t="n">
        <v>6428.58</v>
      </c>
      <c r="L7" s="17" t="inlineStr">
        <is>
          <t>Emilly</t>
        </is>
      </c>
      <c r="M7" s="17" t="n"/>
      <c r="N7" s="17">
        <f>IF(K7&lt;10000,"Everton",IF(K7&lt;=50000,"Everton + Tatebe","Everton + Tatebe + Calil"))</f>
        <v/>
      </c>
      <c r="O7" s="20" t="n">
        <v>46233</v>
      </c>
      <c r="P7" s="17" t="inlineStr">
        <is>
          <t>OK</t>
        </is>
      </c>
      <c r="Q7" s="17" t="inlineStr">
        <is>
          <t>-</t>
        </is>
      </c>
      <c r="R7" s="20">
        <f>IF(K7&lt;10000,"N/A","")</f>
        <v/>
      </c>
      <c r="S7" s="17">
        <f>IF(K7&lt;10000,"N/A","")</f>
        <v/>
      </c>
      <c r="T7" s="17">
        <f>IF(K7&lt;10000,"N/A","-")</f>
        <v/>
      </c>
      <c r="U7" s="17">
        <f>IF(K7&lt;=50000,"N/A","")</f>
        <v/>
      </c>
      <c r="V7" s="17">
        <f>IF(K7&lt;=50000,"N/A","")</f>
        <v/>
      </c>
      <c r="W7" s="17">
        <f>IF(K7&lt;=50000,"N/A","-")</f>
        <v/>
      </c>
    </row>
    <row r="8" ht="25" customHeight="1">
      <c r="B8" s="27">
        <f>B7+1</f>
        <v/>
      </c>
      <c r="C8" s="120" t="b">
        <v>0</v>
      </c>
      <c r="D8" s="27">
        <f>IF(AND(P8="OK",OR(S8="OK",S8="N/A"),OR(V8="OK",V8="N/A")),"Aprovado",IF(OR(P8="Reprovado",S8="Reprovado",V8="Reprovado"),"Reprovado","Pendente"))</f>
        <v/>
      </c>
      <c r="E8" s="95" t="n">
        <v>46212</v>
      </c>
      <c r="F8" s="97" t="inlineStr">
        <is>
          <t>Aprovar o cancelamento de NFs | Cliente: WISHPAG LTDA - Chamado 18915650</t>
        </is>
      </c>
      <c r="G8" s="29">
        <f>RIGHT(Tabela1[[#This Row],[Assunto e-mail]],8)</f>
        <v/>
      </c>
      <c r="H8" s="96" t="inlineStr">
        <is>
          <t>OK</t>
        </is>
      </c>
      <c r="I8" s="96" t="inlineStr">
        <is>
          <t>Cancelamento de NF</t>
        </is>
      </c>
      <c r="J8" s="28" t="inlineStr">
        <is>
          <t>Cancelamento não tempestivo pela comercial</t>
        </is>
      </c>
      <c r="K8" s="174" t="n">
        <v>160574.6</v>
      </c>
      <c r="L8" s="96" t="inlineStr">
        <is>
          <t>Vanessa</t>
        </is>
      </c>
      <c r="M8" s="96" t="n"/>
      <c r="N8" s="96">
        <f>IF(K8&lt;10000,"Everton",IF(K8&lt;=50000,"Everton + Tatebe","Everton + Tatebe + Calil"))</f>
        <v/>
      </c>
      <c r="O8" s="95" t="n">
        <v>46216</v>
      </c>
      <c r="P8" s="96" t="inlineStr">
        <is>
          <t>OK</t>
        </is>
      </c>
      <c r="Q8" s="96" t="inlineStr">
        <is>
          <t>-</t>
        </is>
      </c>
      <c r="R8" s="95" t="n">
        <v>46226</v>
      </c>
      <c r="S8" s="96" t="inlineStr">
        <is>
          <t>OK</t>
        </is>
      </c>
      <c r="T8" s="96">
        <f>IF(K8&lt;10000,"N/A","-")</f>
        <v/>
      </c>
      <c r="U8" s="96">
        <f>IF(K8&lt;=50000,"N/A","")</f>
        <v/>
      </c>
      <c r="V8" s="96">
        <f>IF(K8&lt;=50000,"N/A","")</f>
        <v/>
      </c>
      <c r="W8" s="96">
        <f>IF(K8&lt;=50000,"N/A","-")</f>
        <v/>
      </c>
    </row>
    <row r="9" ht="37.5" customFormat="1" customHeight="1" s="94">
      <c r="B9" s="120">
        <f>B8+1</f>
        <v/>
      </c>
      <c r="C9" s="120" t="b">
        <v>0</v>
      </c>
      <c r="D9" s="120">
        <f>IF(AND(P9="OK",OR(S9="OK",S9="N/A"),OR(V9="OK",V9="N/A")),"Aprovado",IF(OR(P9="Reprovado",S9="Reprovado",V9="Reprovado"),"Reprovado","Pendente"))</f>
        <v/>
      </c>
      <c r="E9" s="15" t="n">
        <v>46233</v>
      </c>
      <c r="F9" s="21" t="inlineStr">
        <is>
          <t>Aprovação - Cancelamento de notas -ALFA AGENCIA DE VIAGENS LTDA -  07.141.168/0001-66 | 19467525</t>
        </is>
      </c>
      <c r="G9" s="22">
        <f>RIGHT(Tabela1[[#This Row],[Assunto e-mail]],8)</f>
        <v/>
      </c>
      <c r="H9" s="17" t="inlineStr">
        <is>
          <t>N/A</t>
        </is>
      </c>
      <c r="I9" s="17" t="inlineStr">
        <is>
          <t>Cancelamento de NF</t>
        </is>
      </c>
      <c r="J9" s="21" t="inlineStr">
        <is>
          <t>Solicitação vencida, chamado de congeladomento do contrato após a emissão da NF</t>
        </is>
      </c>
      <c r="K9" s="175" t="n">
        <v>4636.73</v>
      </c>
      <c r="L9" s="17" t="inlineStr">
        <is>
          <t>Emilly</t>
        </is>
      </c>
      <c r="M9" s="17" t="n"/>
      <c r="N9" s="17">
        <f>IF(K9&lt;10000,"Everton",IF(K9&lt;=50000,"Everton + Tatebe","Everton + Tatebe + Calil"))</f>
        <v/>
      </c>
      <c r="O9" s="20" t="n">
        <v>46233</v>
      </c>
      <c r="P9" s="17" t="inlineStr">
        <is>
          <t>OK</t>
        </is>
      </c>
      <c r="Q9" s="17" t="inlineStr">
        <is>
          <t>-</t>
        </is>
      </c>
      <c r="R9" s="20">
        <f>IF(K9&lt;10000,"N/A","")</f>
        <v/>
      </c>
      <c r="S9" s="17">
        <f>IF(K9&lt;10000,"N/A","")</f>
        <v/>
      </c>
      <c r="T9" s="17">
        <f>IF(K9&lt;10000,"N/A","-")</f>
        <v/>
      </c>
      <c r="U9" s="17">
        <f>IF(K9&lt;=50000,"N/A","")</f>
        <v/>
      </c>
      <c r="V9" s="17">
        <f>IF(K9&lt;=50000,"N/A","")</f>
        <v/>
      </c>
      <c r="W9" s="17">
        <f>IF(K9&lt;=50000,"N/A","-")</f>
        <v/>
      </c>
    </row>
    <row r="10" ht="37.5" customHeight="1">
      <c r="B10" s="27">
        <f>B9+1</f>
        <v/>
      </c>
      <c r="C10" s="120" t="b">
        <v>0</v>
      </c>
      <c r="D10" s="27">
        <f>IF(AND(P10="OK",OR(S10="OK",S10="N/A"),OR(V10="OK",V10="N/A")),"Aprovado",IF(OR(P10="Reprovado",S10="Reprovado",V10="Reprovado"),"Reprovado","Pendente"))</f>
        <v/>
      </c>
      <c r="E10" s="95" t="n">
        <v>46227</v>
      </c>
      <c r="F10" s="26" t="inlineStr">
        <is>
          <t>Aprovação - Cancelamento de notas - NEXTION PAY TECNOLOGIA LTDA 50.726.492/0001-75 - 21573732</t>
        </is>
      </c>
      <c r="G10" s="29">
        <f>RIGHT(Tabela1[[#This Row],[Assunto e-mail]],8)</f>
        <v/>
      </c>
      <c r="H10" s="96" t="inlineStr">
        <is>
          <t>OK</t>
        </is>
      </c>
      <c r="I10" s="96" t="inlineStr">
        <is>
          <t>Cancelamento de NF</t>
        </is>
      </c>
      <c r="J10" s="98" t="inlineStr">
        <is>
          <t>Solicitação de cancelamento não efetivada, gerando emissão indevida de NFs para cliente identificado como fraude.</t>
        </is>
      </c>
      <c r="K10" s="174" t="n">
        <v>156876.52</v>
      </c>
      <c r="L10" s="29" t="inlineStr">
        <is>
          <t>Fabiana/
Vanessa</t>
        </is>
      </c>
      <c r="M10" s="29" t="n"/>
      <c r="N10" s="96">
        <f>IF(K10&lt;10000,"Everton",IF(K10&lt;=50000,"Everton + Tatebe","Everton + Tatebe + Calil"))</f>
        <v/>
      </c>
      <c r="O10" s="95" t="n">
        <v>46241</v>
      </c>
      <c r="P10" s="96" t="inlineStr">
        <is>
          <t>OK</t>
        </is>
      </c>
      <c r="Q10" s="96" t="inlineStr">
        <is>
          <t>Sob revisão do texto</t>
        </is>
      </c>
      <c r="R10" s="95">
        <f>IF(K10&lt;10000,"N/A","")</f>
        <v/>
      </c>
      <c r="S10" s="96">
        <f>IF(K10&lt;10000,"N/A","")</f>
        <v/>
      </c>
      <c r="T10" s="96">
        <f>IF(K10&lt;10000,"N/A","-")</f>
        <v/>
      </c>
      <c r="U10" s="96">
        <f>IF(K10&lt;=50000,"N/A","")</f>
        <v/>
      </c>
      <c r="V10" s="96">
        <f>IF(K10&lt;=50000,"N/A","")</f>
        <v/>
      </c>
      <c r="W10" s="96">
        <f>IF(K10&lt;=50000,"N/A","-")</f>
        <v/>
      </c>
    </row>
    <row r="11" ht="25" customFormat="1" customHeight="1" s="94">
      <c r="B11" s="120">
        <f>B10+1</f>
        <v/>
      </c>
      <c r="C11" s="120" t="b">
        <v>0</v>
      </c>
      <c r="D11" s="120">
        <f>IF(AND(P11="OK",OR(S11="OK",S11="N/A"),OR(V11="OK",V11="N/A")),"Aprovado",IF(OR(P11="Reprovado",S11="Reprovado",V11="Reprovado"),"Reprovado","Pendente"))</f>
        <v/>
      </c>
      <c r="E11" s="15" t="n">
        <v>46227</v>
      </c>
      <c r="F11" s="21" t="inlineStr">
        <is>
          <t>Aprovação - Cancelamento de notas - VOAI TECH LTDA-17.891.555/0001-73 | 21029459</t>
        </is>
      </c>
      <c r="G11" s="22">
        <f>RIGHT(Tabela1[[#This Row],[Assunto e-mail]],8)</f>
        <v/>
      </c>
      <c r="H11" s="17" t="inlineStr">
        <is>
          <t>OK</t>
        </is>
      </c>
      <c r="I11" s="17" t="inlineStr">
        <is>
          <t>Cancelamento de NF</t>
        </is>
      </c>
      <c r="J11" s="21" t="inlineStr">
        <is>
          <t>Cadastro incorreto, o SF envio para o Billing produtos que não estão em contrato</t>
        </is>
      </c>
      <c r="K11" s="175" t="n">
        <v>1840.8</v>
      </c>
      <c r="L11" s="17" t="inlineStr">
        <is>
          <t>Emilly</t>
        </is>
      </c>
      <c r="M11" s="17" t="n"/>
      <c r="N11" s="17">
        <f>IF(K11&lt;10000,"Everton",IF(K11&lt;=50000,"Everton + Tatebe","Everton + Tatebe + Calil"))</f>
        <v/>
      </c>
      <c r="O11" s="20" t="n">
        <v>46233</v>
      </c>
      <c r="P11" s="17" t="inlineStr">
        <is>
          <t>OK</t>
        </is>
      </c>
      <c r="Q11" s="17" t="inlineStr">
        <is>
          <t>-</t>
        </is>
      </c>
      <c r="R11" s="20">
        <f>IF(K11&lt;10000,"N/A","")</f>
        <v/>
      </c>
      <c r="S11" s="17">
        <f>IF(K11&lt;10000,"N/A","")</f>
        <v/>
      </c>
      <c r="T11" s="17">
        <f>IF(K11&lt;10000,"N/A","-")</f>
        <v/>
      </c>
      <c r="U11" s="17">
        <f>IF(K11&lt;=50000,"N/A","")</f>
        <v/>
      </c>
      <c r="V11" s="17">
        <f>IF(K11&lt;=50000,"N/A","")</f>
        <v/>
      </c>
      <c r="W11" s="17">
        <f>IF(K11&lt;=50000,"N/A","-")</f>
        <v/>
      </c>
    </row>
    <row r="12" ht="50" customHeight="1">
      <c r="B12" s="27">
        <f>B11+1</f>
        <v/>
      </c>
      <c r="C12" s="120" t="b">
        <v>0</v>
      </c>
      <c r="D12" s="27">
        <f>IF(AND(P12="OK",OR(S12="OK",S12="N/A"),OR(V12="OK",V12="N/A")),"Aprovado",IF(OR(P12="Reprovado",S12="Reprovado",V12="Reprovado"),"Reprovado","Pendente"))</f>
        <v/>
      </c>
      <c r="E12" s="95" t="n">
        <v>46217</v>
      </c>
      <c r="F12" s="97" t="inlineStr">
        <is>
          <t>Aprovação - Cancelamento de notas fiscais - FAROL COMUNICACAO E SERVICOS DE INFORMATICA LTDA 21.011.165/0001-39 - 21124852</t>
        </is>
      </c>
      <c r="G12" s="29">
        <f>RIGHT(Tabela1[[#This Row],[Assunto e-mail]],8)</f>
        <v/>
      </c>
      <c r="H12" s="96" t="inlineStr">
        <is>
          <t>OK</t>
        </is>
      </c>
      <c r="I12" s="96" t="inlineStr">
        <is>
          <t>Cancelamento de NF</t>
        </is>
      </c>
      <c r="J12" s="28" t="inlineStr">
        <is>
          <t>Cancelamento não tempestivo pela comercial na tentativa de reverter a decisão do cliente</t>
        </is>
      </c>
      <c r="K12" s="174">
        <f>3*973.14+174.54</f>
        <v/>
      </c>
      <c r="L12" s="96" t="inlineStr">
        <is>
          <t>Stephany</t>
        </is>
      </c>
      <c r="M12" s="96" t="n"/>
      <c r="N12" s="96">
        <f>IF(K12&lt;10000,"Everton",IF(K12&lt;=50000,"Everton + Tatebe","Everton + Tatebe + Calil"))</f>
        <v/>
      </c>
      <c r="O12" s="95" t="n">
        <v>46233</v>
      </c>
      <c r="P12" s="96" t="inlineStr">
        <is>
          <t>OK</t>
        </is>
      </c>
      <c r="Q12" s="96" t="inlineStr">
        <is>
          <t>-</t>
        </is>
      </c>
      <c r="R12" s="95">
        <f>IF(K12&lt;10000,"N/A","")</f>
        <v/>
      </c>
      <c r="S12" s="96">
        <f>IF(K12&lt;10000,"N/A","")</f>
        <v/>
      </c>
      <c r="T12" s="96">
        <f>IF(K12&lt;10000,"N/A","-")</f>
        <v/>
      </c>
      <c r="U12" s="96">
        <f>IF(K12&lt;=50000,"N/A","")</f>
        <v/>
      </c>
      <c r="V12" s="96">
        <f>IF(K12&lt;=50000,"N/A","")</f>
        <v/>
      </c>
      <c r="W12" s="96">
        <f>IF(K12&lt;=50000,"N/A","-")</f>
        <v/>
      </c>
    </row>
    <row r="13" ht="37.5" customFormat="1" customHeight="1" s="94">
      <c r="B13" s="120">
        <f>B12+1</f>
        <v/>
      </c>
      <c r="C13" s="120" t="b">
        <v>0</v>
      </c>
      <c r="D13" s="120">
        <f>IF(AND(P13="OK",OR(S13="OK",S13="N/A"),OR(V13="OK",V13="N/A")),"Aprovado",IF(OR(P13="Reprovado",S13="Reprovado",V13="Reprovado"),"Reprovado","Pendente"))</f>
        <v/>
      </c>
      <c r="E13" s="15" t="n">
        <v>46162</v>
      </c>
      <c r="F13" s="21" t="inlineStr">
        <is>
          <t>Aprovação - Cancelamento de notas - PLANNE SOFTWARE LTDA-28.580.044/0001-57 |20697638</t>
        </is>
      </c>
      <c r="G13" s="22">
        <f>RIGHT(Tabela1[[#This Row],[Assunto e-mail]],8)</f>
        <v/>
      </c>
      <c r="H13" s="17" t="inlineStr">
        <is>
          <t>OK</t>
        </is>
      </c>
      <c r="I13" s="17" t="inlineStr">
        <is>
          <t>Cancelamento de NF</t>
        </is>
      </c>
      <c r="J13" s="21" t="inlineStr">
        <is>
          <t>O cliente foi cobrado por um serviço que não chegou a ser implantado nem utilizado devido a falhas na integração e ausência de suporte.</t>
        </is>
      </c>
      <c r="K13" s="175" t="n">
        <v>6020.08</v>
      </c>
      <c r="L13" s="17" t="inlineStr">
        <is>
          <t>Emilly</t>
        </is>
      </c>
      <c r="M13" s="17" t="n"/>
      <c r="N13" s="17">
        <f>IF(K13&lt;10000,"Everton",IF(K13&lt;=50000,"Everton + Tatebe","Everton + Tatebe + Calil"))</f>
        <v/>
      </c>
      <c r="O13" s="20" t="n">
        <v>46241</v>
      </c>
      <c r="P13" s="17" t="inlineStr">
        <is>
          <t>OK</t>
        </is>
      </c>
      <c r="Q13" s="17" t="n"/>
      <c r="R13" s="20">
        <f>IF(K13&lt;10000,"N/A","")</f>
        <v/>
      </c>
      <c r="S13" s="17">
        <f>IF(K13&lt;10000,"N/A","")</f>
        <v/>
      </c>
      <c r="T13" s="17">
        <f>IF(K13&lt;10000,"N/A","-")</f>
        <v/>
      </c>
      <c r="U13" s="17">
        <f>IF(K13&lt;=50000,"N/A","")</f>
        <v/>
      </c>
      <c r="V13" s="17">
        <f>IF(K13&lt;=50000,"N/A","")</f>
        <v/>
      </c>
      <c r="W13" s="17">
        <f>IF(K13&lt;=50000,"N/A","-")</f>
        <v/>
      </c>
    </row>
    <row r="14" ht="37.5" customHeight="1">
      <c r="B14" s="27">
        <f>B13+1</f>
        <v/>
      </c>
      <c r="C14" s="120" t="b">
        <v>0</v>
      </c>
      <c r="D14" s="27">
        <f>IF(AND(P14="OK",OR(S14="OK",S14="N/A"),OR(V14="OK",V14="N/A")),"Aprovado",IF(OR(P14="Reprovado",S14="Reprovado",V14="Reprovado"),"Reprovado","Pendente"))</f>
        <v/>
      </c>
      <c r="E14" s="95" t="n">
        <v>46232</v>
      </c>
      <c r="F14" s="26" t="inlineStr">
        <is>
          <t>Aprovação - Cancelamento de notas - AMERICANAS S.A - EM RECUPERACAO JUD 00.776.574/2019-92 - 23457203</t>
        </is>
      </c>
      <c r="G14" s="29">
        <f>RIGHT(Tabela1[[#This Row],[Assunto e-mail]],8)</f>
        <v/>
      </c>
      <c r="H14" s="96" t="inlineStr">
        <is>
          <t>OK</t>
        </is>
      </c>
      <c r="I14" s="96" t="inlineStr">
        <is>
          <t>Cancelamento de NF</t>
        </is>
      </c>
      <c r="J14" s="28" t="inlineStr">
        <is>
          <t>Após a alteração de CNPJ, o cliente ficou impossibilitado de realizar os pagamentos, gerando as NFs em discussão para cancelamento até a conclusão do termo de cessão.</t>
        </is>
      </c>
      <c r="K14" s="174" t="n">
        <v>50579.53</v>
      </c>
      <c r="L14" s="96" t="inlineStr">
        <is>
          <t>Vanessa</t>
        </is>
      </c>
      <c r="M14" s="96" t="n"/>
      <c r="N14" s="96">
        <f>IF(K14&lt;10000,"Everton",IF(K14&lt;=50000,"Everton + Tatebe","Everton + Tatebe + Calil"))</f>
        <v/>
      </c>
      <c r="O14" s="95" t="n">
        <v>46241</v>
      </c>
      <c r="P14" s="96" t="inlineStr">
        <is>
          <t>OK</t>
        </is>
      </c>
      <c r="Q14" s="96" t="n"/>
      <c r="R14" s="95" t="n">
        <v>46248</v>
      </c>
      <c r="S14" s="96" t="inlineStr">
        <is>
          <t>OK</t>
        </is>
      </c>
      <c r="T14" s="96">
        <f>IF(K14&lt;10000,"N/A","-")</f>
        <v/>
      </c>
      <c r="U14" s="96">
        <f>IF(K14&lt;=50000,"N/A","")</f>
        <v/>
      </c>
      <c r="V14" s="96">
        <f>IF(K14&lt;=50000,"N/A","")</f>
        <v/>
      </c>
      <c r="W14" s="96">
        <f>IF(K14&lt;=50000,"N/A","-")</f>
        <v/>
      </c>
    </row>
    <row r="15" ht="37.5" customFormat="1" customHeight="1" s="94">
      <c r="B15" s="120">
        <f>B14+1</f>
        <v/>
      </c>
      <c r="C15" s="120" t="b">
        <v>0</v>
      </c>
      <c r="D15" s="120">
        <f>IF(AND(P15="OK",OR(S15="OK",S15="N/A"),OR(V15="OK",V15="N/A")),"Aprovado",IF(OR(P15="Reprovado",S15="Reprovado",V15="Reprovado"),"Reprovado","Pendente"))</f>
        <v/>
      </c>
      <c r="E15" s="15" t="n">
        <v>46232</v>
      </c>
      <c r="F15" s="21" t="inlineStr">
        <is>
          <t>Aprovação - Cancelamento de notas - GOODSTORAGE HOLDING PARTICIPACOES -18.897.459/0001-03 | 25248269</t>
        </is>
      </c>
      <c r="G15" s="22">
        <f>RIGHT(Tabela1[[#This Row],[Assunto e-mail]],8)</f>
        <v/>
      </c>
      <c r="H15" s="17" t="inlineStr">
        <is>
          <t>OK</t>
        </is>
      </c>
      <c r="I15" s="17" t="inlineStr">
        <is>
          <t>Cancelamento de NF</t>
        </is>
      </c>
      <c r="J15" s="21" t="inlineStr">
        <is>
          <t>Erro sistêmico</t>
        </is>
      </c>
      <c r="K15" s="175" t="n">
        <v>19897.96</v>
      </c>
      <c r="L15" s="17" t="inlineStr">
        <is>
          <t>Emilly</t>
        </is>
      </c>
      <c r="M15" s="17" t="n"/>
      <c r="N15" s="17">
        <f>IF(K15&lt;10000,"Everton",IF(K15&lt;=50000,"Everton + Tatebe","Everton + Tatebe + Calil"))</f>
        <v/>
      </c>
      <c r="O15" s="20" t="n">
        <v>46241</v>
      </c>
      <c r="P15" s="17" t="inlineStr">
        <is>
          <t>OK</t>
        </is>
      </c>
      <c r="Q15" s="17" t="n"/>
      <c r="R15" s="20" t="n">
        <v>46255</v>
      </c>
      <c r="S15" s="17" t="inlineStr">
        <is>
          <t>OK</t>
        </is>
      </c>
      <c r="T15" s="17">
        <f>IF(K15&lt;10000,"N/A","-")</f>
        <v/>
      </c>
      <c r="U15" s="17">
        <f>IF(K15&lt;=50000,"N/A","")</f>
        <v/>
      </c>
      <c r="V15" s="17">
        <f>IF(K15&lt;=50000,"N/A","")</f>
        <v/>
      </c>
      <c r="W15" s="17">
        <f>IF(K15&lt;=50000,"N/A","-")</f>
        <v/>
      </c>
    </row>
    <row r="16" ht="37.5" customHeight="1">
      <c r="B16" s="27">
        <f>B15+1</f>
        <v/>
      </c>
      <c r="C16" s="120" t="b">
        <v>0</v>
      </c>
      <c r="D16" s="27">
        <f>IF(AND(P16="OK",OR(S16="OK",S16="N/A"),OR(V16="OK",V16="N/A")),"Aprovado",IF(OR(P16="Reprovado",S16="Reprovado",V16="Reprovado"),"Reprovado","Pendente"))</f>
        <v/>
      </c>
      <c r="E16" s="99" t="n">
        <v>46234</v>
      </c>
      <c r="F16" s="28" t="inlineStr">
        <is>
          <t>Aprovação - Cancelamento de notas - GSE COMERCIO DE ROUPAS LTDA-22.675.768/0001-06 | 18822614</t>
        </is>
      </c>
      <c r="G16" s="29">
        <f>RIGHT(Tabela1[[#This Row],[Assunto e-mail]],8)</f>
        <v/>
      </c>
      <c r="H16" s="96" t="inlineStr">
        <is>
          <t>OK</t>
        </is>
      </c>
      <c r="I16" s="96" t="inlineStr">
        <is>
          <t>Cancelamento de NF</t>
        </is>
      </c>
      <c r="J16" s="28" t="inlineStr">
        <is>
          <t>Solicitação de cancelamento integral não tratada corretamente, resultando em cobrança indevida após janeiro/2025.</t>
        </is>
      </c>
      <c r="K16" s="174" t="n">
        <v>12425.86</v>
      </c>
      <c r="L16" s="96" t="inlineStr">
        <is>
          <t>Emilly</t>
        </is>
      </c>
      <c r="M16" s="96" t="n"/>
      <c r="N16" s="96">
        <f>IF(K16&lt;10000,"Everton",IF(K16&lt;=50000,"Everton + Tatebe","Everton + Tatebe + Calil"))</f>
        <v/>
      </c>
      <c r="O16" s="95" t="n">
        <v>46241</v>
      </c>
      <c r="P16" s="96" t="inlineStr">
        <is>
          <t>OK</t>
        </is>
      </c>
      <c r="Q16" s="96" t="n"/>
      <c r="R16" s="95" t="n">
        <v>46255</v>
      </c>
      <c r="S16" s="96" t="inlineStr">
        <is>
          <t>OK</t>
        </is>
      </c>
      <c r="T16" s="96">
        <f>IF(K16&lt;10000,"N/A","-")</f>
        <v/>
      </c>
      <c r="U16" s="96">
        <f>IF(K16&lt;=50000,"N/A","")</f>
        <v/>
      </c>
      <c r="V16" s="96">
        <f>IF(K16&lt;=50000,"N/A","")</f>
        <v/>
      </c>
      <c r="W16" s="96">
        <f>IF(K16&lt;=50000,"N/A","-")</f>
        <v/>
      </c>
    </row>
    <row r="17" ht="46" customFormat="1" customHeight="1" s="94">
      <c r="B17" s="120">
        <f>B16+1</f>
        <v/>
      </c>
      <c r="C17" s="120" t="b">
        <v>0</v>
      </c>
      <c r="D17" s="120">
        <f>IF(AND(P17="OK",OR(S17="OK",S17="N/A"),OR(V17="OK",V17="N/A")),"Aprovado",IF(OR(P17="Reprovado",S17="Reprovado",V17="Reprovado"),"Reprovado","Pendente"))</f>
        <v/>
      </c>
      <c r="E17" s="15" t="n">
        <v>46239</v>
      </c>
      <c r="F17" s="21" t="inlineStr">
        <is>
          <t>Aprovação - Cancelamento de notas-LUX INVEST CAPITAL LTDA- 34.383.831/0001-01 | 25264548- 25247817</t>
        </is>
      </c>
      <c r="G17" s="22">
        <f>RIGHT(Tabela1[[#This Row],[Assunto e-mail]],8)</f>
        <v/>
      </c>
      <c r="H17" s="17" t="inlineStr">
        <is>
          <t>OK</t>
        </is>
      </c>
      <c r="I17" s="17" t="inlineStr">
        <is>
          <t>Cancelamento de NF</t>
        </is>
      </c>
      <c r="J17" s="44" t="inlineStr">
        <is>
          <t>Duplicidade contratual gerou faturamento indevido ao cliente.  O contrato de produtos foi cancelado, mantendo apenas o Split ativo.  Solicita-se o cancelamento de 9 NFs emitidas por erro comercial, incluindo a multa contratual.</t>
        </is>
      </c>
      <c r="K17" s="175" t="n">
        <v>45000</v>
      </c>
      <c r="L17" s="17" t="inlineStr">
        <is>
          <t>Emilly</t>
        </is>
      </c>
      <c r="M17" s="17" t="n"/>
      <c r="N17" s="17">
        <f>IF(K17&lt;10000,"Everton",IF(K17&lt;=50000,"Everton + Tatebe","Everton + Tatebe + Calil"))</f>
        <v/>
      </c>
      <c r="O17" s="20" t="n">
        <v>46241</v>
      </c>
      <c r="P17" s="17" t="inlineStr">
        <is>
          <t>OK</t>
        </is>
      </c>
      <c r="Q17" s="17" t="n"/>
      <c r="R17" s="20" t="n">
        <v>46244</v>
      </c>
      <c r="S17" s="17" t="inlineStr">
        <is>
          <t>OK</t>
        </is>
      </c>
      <c r="T17" s="17">
        <f>IF(K17&lt;10000,"N/A","-")</f>
        <v/>
      </c>
      <c r="U17" s="17">
        <f>IF(K17&lt;=50000,"N/A","")</f>
        <v/>
      </c>
      <c r="V17" s="17">
        <f>IF(K17&lt;=50000,"N/A","")</f>
        <v/>
      </c>
      <c r="W17" s="17">
        <f>IF(K17&lt;=50000,"N/A","-")</f>
        <v/>
      </c>
    </row>
    <row r="18" ht="37.5" customHeight="1">
      <c r="B18" s="27">
        <f>B17+1</f>
        <v/>
      </c>
      <c r="C18" s="120" t="b">
        <v>0</v>
      </c>
      <c r="D18" s="27">
        <f>IF(AND(P18="OK",OR(S18="OK",S18="N/A"),OR(V18="OK",V18="N/A")),"Aprovado",IF(OR(P18="Reprovado",S18="Reprovado",V18="Reprovado"),"Reprovado","Pendente"))</f>
        <v/>
      </c>
      <c r="E18" s="99" t="n">
        <v>46240</v>
      </c>
      <c r="F18" s="28" t="inlineStr">
        <is>
          <t>Aprovação - Cancelamento de notas -PHARMADELLE FORMULAS LTDA- 21.570.535/0001-78 | 19809905</t>
        </is>
      </c>
      <c r="G18" s="29" t="inlineStr">
        <is>
          <t xml:space="preserve">19809905
</t>
        </is>
      </c>
      <c r="H18" s="96" t="inlineStr">
        <is>
          <t>OK</t>
        </is>
      </c>
      <c r="I18" s="96" t="inlineStr">
        <is>
          <t>Cancelamento de NF</t>
        </is>
      </c>
      <c r="J18" s="28" t="inlineStr">
        <is>
          <t>O cliente solicitou o cancelamento em outubro/2023, entretanto, o processo não foi realizado.</t>
        </is>
      </c>
      <c r="K18" s="174" t="n">
        <v>3244.62</v>
      </c>
      <c r="L18" s="96" t="inlineStr">
        <is>
          <t>Emilly</t>
        </is>
      </c>
      <c r="M18" s="96" t="n"/>
      <c r="N18" s="96">
        <f>IF(K18&lt;10000,"Everton",IF(K18&lt;=50000,"Everton + Tatebe","Everton + Tatebe + Calil"))</f>
        <v/>
      </c>
      <c r="O18" s="95" t="n">
        <v>46241</v>
      </c>
      <c r="P18" s="96" t="inlineStr">
        <is>
          <t>OK</t>
        </is>
      </c>
      <c r="Q18" s="96" t="n"/>
      <c r="R18" s="95">
        <f>IF(K18&lt;10000,"N/A","")</f>
        <v/>
      </c>
      <c r="S18" s="96">
        <f>IF(K18&lt;10000,"N/A","")</f>
        <v/>
      </c>
      <c r="T18" s="96">
        <f>IF(K18&lt;10000,"N/A","-")</f>
        <v/>
      </c>
      <c r="U18" s="96">
        <f>IF(K18&lt;=50000,"N/A","")</f>
        <v/>
      </c>
      <c r="V18" s="96">
        <f>IF(K18&lt;=50000,"N/A","")</f>
        <v/>
      </c>
      <c r="W18" s="96">
        <f>IF(K18&lt;=50000,"N/A","-")</f>
        <v/>
      </c>
    </row>
    <row r="19" ht="37.5" customFormat="1" customHeight="1" s="94">
      <c r="B19" s="120">
        <f>B18+1</f>
        <v/>
      </c>
      <c r="C19" s="120" t="b">
        <v>0</v>
      </c>
      <c r="D19" s="120">
        <f>IF(AND(P19="OK",OR(S19="OK",S19="N/A"),OR(V19="OK",V19="N/A")),"Aprovado",IF(OR(P19="Reprovado",S19="Reprovado",V19="Reprovado"),"Reprovado","Pendente"))</f>
        <v/>
      </c>
      <c r="E19" s="15" t="n">
        <v>46241</v>
      </c>
      <c r="F19" s="21" t="inlineStr">
        <is>
          <t>Aprovação - Cancelamento de notas -MAGALUPAY INSTITUICAO DE PAGAMENTO- 13.884.775/0001-19 |25319444</t>
        </is>
      </c>
      <c r="G19" s="22">
        <f>RIGHT(Tabela1[[#This Row],[Assunto e-mail]],8)</f>
        <v/>
      </c>
      <c r="H19" s="17" t="inlineStr">
        <is>
          <t>OK</t>
        </is>
      </c>
      <c r="I19" s="17" t="inlineStr">
        <is>
          <t>Cancelamento de NF</t>
        </is>
      </c>
      <c r="J19" s="21" t="inlineStr">
        <is>
          <t>Cancelamento solicitado em decorrência da ausência de solicitação tempestiva de cancelamento do produto, impossibilitando o cancelamento da NF dentro do prazo legal.</t>
        </is>
      </c>
      <c r="K19" s="175" t="n">
        <v>48773.21</v>
      </c>
      <c r="L19" s="17" t="inlineStr">
        <is>
          <t>Emilly</t>
        </is>
      </c>
      <c r="M19" s="17" t="inlineStr">
        <is>
          <t>Comercial</t>
        </is>
      </c>
      <c r="N19" s="17">
        <f>IF(K19&lt;10000,"Everton",IF(K19&lt;=50000,"Everton + Tatebe","Everton + Tatebe + Calil"))</f>
        <v/>
      </c>
      <c r="O19" s="20" t="n"/>
      <c r="P19" s="17" t="n"/>
      <c r="Q19" s="17" t="n"/>
      <c r="R19" s="20" t="n">
        <v>46248</v>
      </c>
      <c r="S19" s="49" t="inlineStr">
        <is>
          <t>OK</t>
        </is>
      </c>
      <c r="T19" s="17">
        <f>IF(K19&lt;10000,"N/A","-")</f>
        <v/>
      </c>
      <c r="U19" s="17">
        <f>IF(K19&lt;=50000,"N/A","")</f>
        <v/>
      </c>
      <c r="V19" s="17">
        <f>IF(K19&lt;=50000,"N/A","")</f>
        <v/>
      </c>
      <c r="W19" s="17">
        <f>IF(K19&lt;=50000,"N/A","-")</f>
        <v/>
      </c>
    </row>
    <row r="20" ht="37.5" customHeight="1">
      <c r="B20" s="27">
        <f>B19+1</f>
        <v/>
      </c>
      <c r="C20" s="120" t="b">
        <v>0</v>
      </c>
      <c r="D20" s="27">
        <f>IF(AND(P20="OK",OR(S20="OK",S20="N/A"),OR(V20="OK",V20="N/A")),"Aprovado",IF(OR(P20="Reprovado",S20="Reprovado",V20="Reprovado"),"Reprovado","Pendente"))</f>
        <v/>
      </c>
      <c r="E20" s="99" t="n">
        <v>46239</v>
      </c>
      <c r="F20" s="28" t="inlineStr">
        <is>
          <t>Aprovação - Cancelamento de notas - VOLTATTO SUPRIMENTOS LTDA- 59.557.054/0001-03 | 24289294</t>
        </is>
      </c>
      <c r="G20" s="29">
        <f>RIGHT(Tabela1[[#This Row],[Assunto e-mail]],8)</f>
        <v/>
      </c>
      <c r="H20" s="96" t="n"/>
      <c r="I20" s="96" t="inlineStr">
        <is>
          <t>Cancelamento de NF</t>
        </is>
      </c>
      <c r="J20" s="28" t="inlineStr">
        <is>
          <t>Identificamos que, em decorrência de um erro sistêmico, a nota foi emitida em duplicidade.</t>
        </is>
      </c>
      <c r="K20" s="174" t="n">
        <v>248.98</v>
      </c>
      <c r="L20" s="96" t="inlineStr">
        <is>
          <t>Emilly</t>
        </is>
      </c>
      <c r="M20" s="96" t="inlineStr">
        <is>
          <t>Financeiro</t>
        </is>
      </c>
      <c r="N20" s="96">
        <f>IF(K20&lt;10000,"Everton",IF(K20&lt;=50000,"Everton + Tatebe","Everton + Tatebe + Calil"))</f>
        <v/>
      </c>
      <c r="O20" s="95" t="n">
        <v>46267</v>
      </c>
      <c r="P20" s="96" t="inlineStr">
        <is>
          <t>OK</t>
        </is>
      </c>
      <c r="Q20" s="96" t="n"/>
      <c r="R20" s="95">
        <f>IF(K20&lt;10000,"N/A","")</f>
        <v/>
      </c>
      <c r="S20" s="96">
        <f>IF(K20&lt;10000,"N/A","")</f>
        <v/>
      </c>
      <c r="T20" s="96">
        <f>IF(K20&lt;10000,"N/A","-")</f>
        <v/>
      </c>
      <c r="U20" s="96">
        <f>IF(K20&lt;=50000,"N/A","")</f>
        <v/>
      </c>
      <c r="V20" s="96">
        <f>IF(K20&lt;=50000,"N/A","")</f>
        <v/>
      </c>
      <c r="W20" s="96">
        <f>IF(K20&lt;=50000,"N/A","-")</f>
        <v/>
      </c>
    </row>
    <row r="21" ht="50" customFormat="1" customHeight="1" s="94">
      <c r="B21" s="120">
        <f>B20+1</f>
        <v/>
      </c>
      <c r="C21" s="120" t="b">
        <v>0</v>
      </c>
      <c r="D21" s="120">
        <f>IF(AND(P21="OK",OR(S21="OK",S21="N/A"),OR(V21="OK",V21="N/A")),"Aprovado",IF(OR(P21="Reprovado",S21="Reprovado",V21="Reprovado"),"Reprovado","Pendente"))</f>
        <v/>
      </c>
      <c r="E21" s="15" t="n">
        <v>46247</v>
      </c>
      <c r="F21" s="21" t="inlineStr">
        <is>
          <t>Aprovação - Cancelamento de notas - GIORDANI TURISMO LTDA | Chamado: 2620110481154</t>
        </is>
      </c>
      <c r="G21" s="22" t="n">
        <v>24912277</v>
      </c>
      <c r="H21" s="17" t="inlineStr">
        <is>
          <t>OK</t>
        </is>
      </c>
      <c r="I21" s="17" t="inlineStr">
        <is>
          <t>Cancelamento de NF</t>
        </is>
      </c>
      <c r="J21" s="21" t="inlineStr">
        <is>
          <t>A área de Cobrança identificou que a NF 0118088 foi emitida em duplicidade para o cliente GIORDANI TURISMO LTDA. Conforme validação realizada pela equipe responsável, a nota correta é a NF 0118002</t>
        </is>
      </c>
      <c r="K21" s="175" t="n">
        <v>6266.85</v>
      </c>
      <c r="L21" s="17" t="inlineStr">
        <is>
          <t>Fabiana</t>
        </is>
      </c>
      <c r="M21" s="17" t="inlineStr">
        <is>
          <t>Financeiro</t>
        </is>
      </c>
      <c r="N21" s="17">
        <f>IF(K21&lt;10000,"Everton",IF(K21&lt;=50000,"Everton + Tatebe","Everton + Tatebe + Calil"))</f>
        <v/>
      </c>
      <c r="O21" s="20" t="n"/>
      <c r="P21" s="17" t="n"/>
      <c r="Q21" s="17" t="n"/>
      <c r="R21" s="20" t="n">
        <v>46248</v>
      </c>
      <c r="S21" s="49" t="inlineStr">
        <is>
          <t>OK</t>
        </is>
      </c>
      <c r="T21" s="17">
        <f>IF(K21&lt;10000,"N/A","-")</f>
        <v/>
      </c>
      <c r="U21" s="17">
        <f>IF(K21&lt;=50000,"N/A","")</f>
        <v/>
      </c>
      <c r="V21" s="17">
        <f>IF(K21&lt;=50000,"N/A","")</f>
        <v/>
      </c>
      <c r="W21" s="17">
        <f>IF(K21&lt;=50000,"N/A","-")</f>
        <v/>
      </c>
    </row>
    <row r="22" ht="37.5" customHeight="1">
      <c r="B22" s="27">
        <f>B21+1</f>
        <v/>
      </c>
      <c r="C22" s="120" t="b">
        <v>0</v>
      </c>
      <c r="D22" s="27">
        <f>IF(AND(P22="OK",OR(S22="OK",S22="N/A"),OR(V22="OK",V22="N/A")),"Aprovado",IF(OR(P22="Reprovado",S22="Reprovado",V22="Reprovado"),"Reprovado","Pendente"))</f>
        <v/>
      </c>
      <c r="E22" s="99" t="n">
        <v>46260</v>
      </c>
      <c r="F22" s="28" t="inlineStr">
        <is>
          <t>Cancelamento de NF COMERC FINANCIAL TRADING COMERCIALIZADORA DE ENERGIA LTDA</t>
        </is>
      </c>
      <c r="H22" s="96" t="n"/>
      <c r="I22" s="96" t="inlineStr">
        <is>
          <t>Cancelamento de NF</t>
        </is>
      </c>
      <c r="J22" s="28" t="inlineStr">
        <is>
          <t>O cliente possui dois CNPJs, porém o contrato vigente está vinculado apenas a um deles. Por equívoco, a nota fiscal de setup foi emitida também para o CNPJ sem relação contratual ativa.</t>
        </is>
      </c>
      <c r="K22" s="174" t="n">
        <v>4236.49</v>
      </c>
      <c r="L22" s="96" t="inlineStr">
        <is>
          <t xml:space="preserve">Pamela </t>
        </is>
      </c>
      <c r="M22" s="96" t="inlineStr">
        <is>
          <t>Financeiro</t>
        </is>
      </c>
      <c r="N22" s="96">
        <f>IF(K22&lt;10000,"Everton",IF(K22&lt;=50000,"Everton + Tatebe","Everton + Tatebe + Calil"))</f>
        <v/>
      </c>
      <c r="O22" s="95" t="n"/>
      <c r="P22" s="96" t="n"/>
      <c r="Q22" s="96" t="n"/>
      <c r="R22" s="95">
        <f>IF(K22&lt;10000,"N/A","")</f>
        <v/>
      </c>
      <c r="S22" s="96">
        <f>IF(K22&lt;10000,"N/A","")</f>
        <v/>
      </c>
      <c r="T22" s="96">
        <f>IF(K22&lt;10000,"N/A","-")</f>
        <v/>
      </c>
      <c r="U22" s="96">
        <f>IF(K22&lt;=50000,"N/A","")</f>
        <v/>
      </c>
      <c r="V22" s="96">
        <f>IF(K22&lt;=50000,"N/A","")</f>
        <v/>
      </c>
      <c r="W22" s="96">
        <f>IF(K22&lt;=50000,"N/A","-")</f>
        <v/>
      </c>
    </row>
    <row r="23" ht="75" customFormat="1" customHeight="1" s="94">
      <c r="B23" s="120">
        <f>B22+1</f>
        <v/>
      </c>
      <c r="C23" s="120" t="b">
        <v>1</v>
      </c>
      <c r="D23" s="120">
        <f>IF(AND(P23="OK",OR(S23="OK",S23="N/A"),OR(V23="OK",V23="N/A")),"Aprovado",IF(OR(P23="Reprovado",S23="Reprovado",V23="Reprovado"),"Reprovado","Pendente"))</f>
        <v/>
      </c>
      <c r="E23" s="15" t="n">
        <v>46259</v>
      </c>
      <c r="F23" s="21" t="inlineStr">
        <is>
          <t>Aprovação - Cancelamento de notas - CENTRO CULTURAL AFRORIO - 11.697.918/0001-58 | 25578004</t>
        </is>
      </c>
      <c r="G23" s="22">
        <f>RIGHT(Tabela1[[#This Row],[Assunto e-mail]],8)</f>
        <v/>
      </c>
      <c r="H23" s="17" t="inlineStr">
        <is>
          <t>OK</t>
        </is>
      </c>
      <c r="I23" s="17" t="inlineStr">
        <is>
          <t>Cancelamento de NF</t>
        </is>
      </c>
      <c r="J23" s="21" t="inlineStr">
        <is>
          <t xml:space="preserve">O contrato foi cancelado e houve aprovação formal da área comercial para o cancelamento integral das cobranças. O cadastro do cliente foi encerrado por decisão interna decorrente de apontamentos de risco identificados impossibilitando a continuidade da relação comercial.
</t>
        </is>
      </c>
      <c r="K23" s="175" t="n">
        <v>18428.78</v>
      </c>
      <c r="L23" s="17" t="inlineStr">
        <is>
          <t>Amanda</t>
        </is>
      </c>
      <c r="M23" s="17" t="inlineStr">
        <is>
          <t>Comercial</t>
        </is>
      </c>
      <c r="N23" s="17">
        <f>IF(K23&lt;10000,"Everton",IF(K23&lt;=50000,"Everton + Tatebe","Everton + Tatebe + Calil"))</f>
        <v/>
      </c>
      <c r="O23" s="20" t="n">
        <v>46267</v>
      </c>
      <c r="P23" s="17" t="inlineStr">
        <is>
          <t>OK</t>
        </is>
      </c>
      <c r="Q23" s="17" t="n"/>
      <c r="R23" s="20" t="n">
        <v>46279</v>
      </c>
      <c r="S23" s="17" t="inlineStr">
        <is>
          <t>OK</t>
        </is>
      </c>
      <c r="T23" s="17">
        <f>IF(K23&lt;10000,"N/A","-")</f>
        <v/>
      </c>
      <c r="U23" s="17">
        <f>IF(K23&lt;=50000,"N/A","")</f>
        <v/>
      </c>
      <c r="V23" s="17">
        <f>IF(K23&lt;=50000,"N/A","")</f>
        <v/>
      </c>
      <c r="W23" s="17">
        <f>IF(K23&lt;=50000,"N/A","-")</f>
        <v/>
      </c>
    </row>
    <row r="24" ht="50" customHeight="1">
      <c r="B24" s="27">
        <f>B23+1</f>
        <v/>
      </c>
      <c r="C24" s="120" t="b">
        <v>1</v>
      </c>
      <c r="D24" s="27">
        <f>IF(AND(P24="OK",OR(S24="OK",S24="N/A"),OR(V24="OK",V24="N/A")),"Aprovado",IF(OR(P24="Reprovado",S24="Reprovado",V24="Reprovado"),"Reprovado","Pendente"))</f>
        <v/>
      </c>
      <c r="E24" s="99" t="n">
        <v>46259</v>
      </c>
      <c r="F24" s="28" t="inlineStr">
        <is>
          <t>Aprovação - Cancelamento de notas - UNINTER EDUCACIONAL S/A - 02.261.854/0001-57 | 26341250</t>
        </is>
      </c>
      <c r="G24" s="29">
        <f>RIGHT(Tabela1[[#This Row],[Assunto e-mail]],8)</f>
        <v/>
      </c>
      <c r="H24" s="96" t="inlineStr">
        <is>
          <t>OK</t>
        </is>
      </c>
      <c r="I24" s="96" t="inlineStr">
        <is>
          <t>Cancelamento de NF</t>
        </is>
      </c>
      <c r="J24" s="28" t="inlineStr">
        <is>
          <t>O cliente formalizou o pedido de cancelamento contratual em maio/2023, porém o processo foi concluído apenas em dezembro/2024. Em decorrência dessa falha operacional, permaneceram sendo geradas cobranças de mensalidade mínima.</t>
        </is>
      </c>
      <c r="K24" s="174" t="n">
        <v>21617.57</v>
      </c>
      <c r="L24" s="96" t="inlineStr">
        <is>
          <t>Amanda</t>
        </is>
      </c>
      <c r="M24" s="96" t="inlineStr">
        <is>
          <t>Comercial</t>
        </is>
      </c>
      <c r="N24" s="96">
        <f>IF(K24&lt;10000,"Everton",IF(K24&lt;=50000,"Everton + Tatebe","Everton + Tatebe + Calil"))</f>
        <v/>
      </c>
      <c r="O24" s="95" t="n">
        <v>46267</v>
      </c>
      <c r="P24" s="96" t="inlineStr">
        <is>
          <t>OK</t>
        </is>
      </c>
      <c r="Q24" s="96" t="n"/>
      <c r="R24" s="95" t="n">
        <v>46279</v>
      </c>
      <c r="S24" s="96" t="inlineStr">
        <is>
          <t>OK</t>
        </is>
      </c>
      <c r="T24" s="96">
        <f>IF(K24&lt;10000,"N/A","-")</f>
        <v/>
      </c>
      <c r="U24" s="96">
        <f>IF(K24&lt;=50000,"N/A","")</f>
        <v/>
      </c>
      <c r="V24" s="96">
        <f>IF(K24&lt;=50000,"N/A","")</f>
        <v/>
      </c>
      <c r="W24" s="96">
        <f>IF(K24&lt;=50000,"N/A","-")</f>
        <v/>
      </c>
    </row>
    <row r="25" ht="62.5" customFormat="1" customHeight="1" s="94">
      <c r="B25" s="120">
        <f>B24+1</f>
        <v/>
      </c>
      <c r="C25" s="120" t="b">
        <v>0</v>
      </c>
      <c r="D25" s="120">
        <f>IF(AND(P25="OK",OR(S25="OK",S25="N/A"),OR(V25="OK",V25="N/A")),"Aprovado",IF(OR(P25="Reprovado",S25="Reprovado",V25="Reprovado"),"Reprovado","Pendente"))</f>
        <v/>
      </c>
      <c r="E25" s="15" t="n">
        <v>46259</v>
      </c>
      <c r="F25" s="21" t="inlineStr">
        <is>
          <t>Aprovação -  EDITORA SANAR S.A - 18.990.682/0001-92  - 18244519</t>
        </is>
      </c>
      <c r="G25" s="22">
        <f>RIGHT(Tabela1[[#This Row],[Assunto e-mail]],8)</f>
        <v/>
      </c>
      <c r="H25" s="17" t="inlineStr">
        <is>
          <t>OK</t>
        </is>
      </c>
      <c r="I25" s="17" t="inlineStr">
        <is>
          <t>Cancelamento de NF</t>
        </is>
      </c>
      <c r="J25" s="21" t="inlineStr">
        <is>
          <t>O cliente solicitou o cancelamento do contrato na época, porém a solicitação não foi formalizada pelos gestores responsáveis. Em função dessa ausência de formalização, o contrato permaneceu ativo em nossos sistemas, ocasionando a continuidade da emissão das notas fiscais de forma indevida.</t>
        </is>
      </c>
      <c r="K25" s="175" t="n">
        <v>39695.55</v>
      </c>
      <c r="L25" s="17" t="inlineStr">
        <is>
          <t>Stephany</t>
        </is>
      </c>
      <c r="M25" s="17" t="inlineStr">
        <is>
          <t>Comercial</t>
        </is>
      </c>
      <c r="N25" s="17">
        <f>IF(K25&lt;10000,"Everton",IF(K25&lt;=50000,"Everton + Tatebe","Everton + Tatebe + Calil"))</f>
        <v/>
      </c>
      <c r="O25" s="20" t="n">
        <v>46267</v>
      </c>
      <c r="P25" s="17" t="inlineStr">
        <is>
          <t>OK</t>
        </is>
      </c>
      <c r="Q25" s="17" t="n"/>
      <c r="R25" s="20" t="n">
        <v>46279</v>
      </c>
      <c r="S25" s="17" t="inlineStr">
        <is>
          <t>OK</t>
        </is>
      </c>
      <c r="T25" s="17">
        <f>IF(K25&lt;10000,"N/A","-")</f>
        <v/>
      </c>
      <c r="U25" s="17">
        <f>IF(K25&lt;=50000,"N/A","")</f>
        <v/>
      </c>
      <c r="V25" s="17">
        <f>IF(K25&lt;=50000,"N/A","")</f>
        <v/>
      </c>
      <c r="W25" s="17">
        <f>IF(K25&lt;=50000,"N/A","-")</f>
        <v/>
      </c>
    </row>
    <row r="26" ht="50" customHeight="1">
      <c r="B26" s="27">
        <f>B25+1</f>
        <v/>
      </c>
      <c r="C26" s="120" t="b">
        <v>1</v>
      </c>
      <c r="D26" s="27">
        <f>IF(AND(P26="OK",OR(S26="OK",S26="N/A"),OR(V26="OK",V26="N/A")),"Aprovado",IF(OR(P26="Reprovado",S26="Reprovado",V26="Reprovado"),"Reprovado","Pendente"))</f>
        <v/>
      </c>
      <c r="E26" s="99" t="n">
        <v>46261</v>
      </c>
      <c r="F26" s="28" t="inlineStr">
        <is>
          <t>Aprovação - Cancelamento de notas - INFRACOMMERCE SYNAPCOM COMERCI - 27.932.734/0001-65 | 26412747</t>
        </is>
      </c>
      <c r="G26" s="29">
        <f>RIGHT(Tabela1[[#This Row],[Assunto e-mail]],8)</f>
        <v/>
      </c>
      <c r="H26" s="96" t="inlineStr">
        <is>
          <t>OK</t>
        </is>
      </c>
      <c r="I26" s="96" t="inlineStr">
        <is>
          <t>Cancelamento de NF</t>
        </is>
      </c>
      <c r="J26" s="28" t="inlineStr">
        <is>
          <t>As notas foram emitidas após a data de cancelamento do contrato (26/06/2023) devido à não conclusão do processo de cancelamento pelo time comercial à época. Dessa forma, houve faturamento indevido após o encerramento contratual.</t>
        </is>
      </c>
      <c r="K26" s="174" t="n">
        <v>44986.46</v>
      </c>
      <c r="L26" s="96" t="inlineStr">
        <is>
          <t>Amanda</t>
        </is>
      </c>
      <c r="M26" s="96" t="inlineStr">
        <is>
          <t>Comercial</t>
        </is>
      </c>
      <c r="N26" s="96">
        <f>IF(K26&lt;10000,"Everton",IF(K26&lt;=50000,"Everton + Tatebe","Everton + Tatebe + Calil"))</f>
        <v/>
      </c>
      <c r="O26" s="95" t="n">
        <v>46267</v>
      </c>
      <c r="P26" s="96" t="inlineStr">
        <is>
          <t>OK</t>
        </is>
      </c>
      <c r="Q26" s="96" t="n"/>
      <c r="R26" s="95" t="n">
        <v>46279</v>
      </c>
      <c r="S26" s="96" t="inlineStr">
        <is>
          <t>OK</t>
        </is>
      </c>
      <c r="T26" s="96">
        <f>IF(K26&lt;10000,"N/A","-")</f>
        <v/>
      </c>
      <c r="U26" s="96">
        <f>IF(K26&lt;=50000,"N/A","")</f>
        <v/>
      </c>
      <c r="V26" s="96">
        <f>IF(K26&lt;=50000,"N/A","")</f>
        <v/>
      </c>
      <c r="W26" s="96">
        <f>IF(K26&lt;=50000,"N/A","-")</f>
        <v/>
      </c>
    </row>
    <row r="27" ht="125" customFormat="1" customHeight="1" s="94">
      <c r="B27" s="120">
        <f>B26+1</f>
        <v/>
      </c>
      <c r="C27" s="120" t="b">
        <v>0</v>
      </c>
      <c r="D27" s="120">
        <f>IF(AND(P27="OK",OR(S27="OK",S27="N/A"),OR(V27="OK",V27="N/A")),"Aprovado",IF(OR(P27="Reprovado",S27="Reprovado",V27="Reprovado"),"Reprovado","Pendente"))</f>
        <v/>
      </c>
      <c r="E27" s="15" t="n">
        <v>46262</v>
      </c>
      <c r="F27" s="21" t="inlineStr">
        <is>
          <t>Cancelamento de NFs DIAS FINANCE LTDA</t>
        </is>
      </c>
      <c r="G27" s="22" t="n"/>
      <c r="H27" s="17" t="inlineStr">
        <is>
          <t>OK</t>
        </is>
      </c>
      <c r="I27" s="17" t="inlineStr">
        <is>
          <t>Cancelamento de NF</t>
        </is>
      </c>
      <c r="J27" s="21" t="inlineStr">
        <is>
          <t>A Nota Fiscal foi emitida para cobrança de multa contratual em decorrência do cancelamento do contrato do cliente LGS DIAS, realizado em 12/02/2026, quando ainda restavam 11 dias para o término do período contratual de 12 meses.
Contudo, conforme alinhamento prévio entre o time Comercial e o cliente, foi acordado que o cancelamento ocorreria sem a aplicação de multa contratual. Dessa forma, a cobrança foi emitida indevidamente, não havendo obrigação de pagamento por parte do cliente.</t>
        </is>
      </c>
      <c r="K27" s="175" t="n">
        <v>91587.67</v>
      </c>
      <c r="L27" s="17" t="inlineStr">
        <is>
          <t xml:space="preserve">Pamela </t>
        </is>
      </c>
      <c r="M27" s="17" t="inlineStr">
        <is>
          <t>Comercial</t>
        </is>
      </c>
      <c r="N27" s="17">
        <f>IF(K27&lt;10000,"Everton",IF(K27&lt;=50000,"Everton + Tatebe","Everton + Tatebe + Calil"))</f>
        <v/>
      </c>
      <c r="O27" s="20" t="n"/>
      <c r="P27" s="17" t="n"/>
      <c r="Q27" s="17" t="n"/>
      <c r="R27" s="20">
        <f>IF(K27&lt;10000,"N/A","")</f>
        <v/>
      </c>
      <c r="S27" s="17">
        <f>IF(K27&lt;10000,"N/A","")</f>
        <v/>
      </c>
      <c r="T27" s="17">
        <f>IF(K27&lt;10000,"N/A","-")</f>
        <v/>
      </c>
      <c r="U27" s="17">
        <f>IF(K27&lt;=50000,"N/A","")</f>
        <v/>
      </c>
      <c r="V27" s="17">
        <f>IF(K27&lt;=50000,"N/A","")</f>
        <v/>
      </c>
      <c r="W27" s="17">
        <f>IF(K27&lt;=50000,"N/A","-")</f>
        <v/>
      </c>
    </row>
    <row r="28" ht="62.5" customHeight="1">
      <c r="B28" s="27">
        <f>B27+1</f>
        <v/>
      </c>
      <c r="C28" s="120" t="b">
        <v>0</v>
      </c>
      <c r="D28" s="27">
        <f>IF(AND(P28="OK",OR(S28="OK",S28="N/A"),OR(V28="OK",V28="N/A")),"Aprovado",IF(OR(P28="Reprovado",S28="Reprovado",V28="Reprovado"),"Reprovado","Pendente"))</f>
        <v/>
      </c>
      <c r="E28" s="99" t="n">
        <v>46259</v>
      </c>
      <c r="F28" s="28" t="inlineStr">
        <is>
          <t>Aprovação - Cancelamento de notas - N. R. BENNESBY COMERCIO DE UTE - 37.882.316/0001-64 | 26346273</t>
        </is>
      </c>
      <c r="G28" s="29">
        <f>RIGHT(Tabela1[[#This Row],[Assunto e-mail]],8)</f>
        <v/>
      </c>
      <c r="H28" s="96" t="inlineStr">
        <is>
          <t>OK</t>
        </is>
      </c>
      <c r="I28" s="96" t="inlineStr">
        <is>
          <t>Cancelamento de NF</t>
        </is>
      </c>
      <c r="J28" s="28" t="inlineStr">
        <is>
          <t>Histórico de problemas operacionais reportados pelo cliente desde o início da relação comercial, incluindo intercorrências relacionadas à integração Shopify, antifraude e gestão de pedidos, que motivaram sucessivas solicitações de cancelamento e suspensão das cobranças.</t>
        </is>
      </c>
      <c r="K28" s="174" t="n">
        <v>121129.73</v>
      </c>
      <c r="L28" s="96" t="inlineStr">
        <is>
          <t>Amanda</t>
        </is>
      </c>
      <c r="M28" s="96" t="inlineStr">
        <is>
          <t>Operação</t>
        </is>
      </c>
      <c r="N28" s="96">
        <f>IF(K28&lt;10000,"Everton",IF(K28&lt;=50000,"Everton + Tatebe","Everton + Tatebe + Calil"))</f>
        <v/>
      </c>
      <c r="O28" s="95" t="n">
        <v>46267</v>
      </c>
      <c r="P28" s="96" t="inlineStr">
        <is>
          <t>OK</t>
        </is>
      </c>
      <c r="Q28" s="96" t="n"/>
      <c r="R28" s="95" t="n">
        <v>46279</v>
      </c>
      <c r="S28" s="96" t="inlineStr">
        <is>
          <t>OK</t>
        </is>
      </c>
      <c r="T28" s="96">
        <f>IF(K28&lt;10000,"N/A","-")</f>
        <v/>
      </c>
      <c r="U28" s="96">
        <f>IF(K28&lt;=50000,"N/A","")</f>
        <v/>
      </c>
      <c r="V28" s="96">
        <f>IF(K28&lt;=50000,"N/A","")</f>
        <v/>
      </c>
      <c r="W28" s="96">
        <f>IF(K28&lt;=50000,"N/A","-")</f>
        <v/>
      </c>
    </row>
    <row r="29" ht="87.5" customFormat="1" customHeight="1" s="94">
      <c r="B29" s="109">
        <f>B28+1</f>
        <v/>
      </c>
      <c r="C29" s="120" t="b">
        <v>0</v>
      </c>
      <c r="D29" s="109">
        <f>IF(AND(P29="OK",OR(S29="OK",S29="N/A"),OR(V29="OK",V29="N/A")),"Aprovado",IF(OR(P29="Reprovado",S29="Reprovado",V29="Reprovado"),"Reprovado","Pendente"))</f>
        <v/>
      </c>
      <c r="E29" s="110" t="n"/>
      <c r="F29" s="111" t="inlineStr">
        <is>
          <t>Aprovação - Cancelamento/baixa de notas ficais - GUEDES &amp; PAIXAO LTDA 16928871003630 - 18604102</t>
        </is>
      </c>
      <c r="G29" s="112">
        <f>RIGHT(Tabela1[[#This Row],[Assunto e-mail]],8)</f>
        <v/>
      </c>
      <c r="H29" s="113" t="inlineStr">
        <is>
          <t>ok</t>
        </is>
      </c>
      <c r="I29" s="113" t="inlineStr">
        <is>
          <t>Cancelamento de NF e Baixa</t>
        </is>
      </c>
      <c r="J29" s="111" t="inlineStr">
        <is>
          <t>Solicito, por gentileza, o seu DA, pois houve um atraso na implantação e, em tratativa realizada pelo time Comercial com o cliente, foi acordado o pagamento de 50% do valor devido.
O time de Cobrança informou que o cliente efetuou o pagamento das notas fiscais contempladas no acordo. 
Dessa forma, precisamos realizar a baixa das notas fiscais relacionadas abaixo, que totalizam R$ 40.308,26.</t>
        </is>
      </c>
      <c r="K29" s="176" t="n">
        <v>40308.26</v>
      </c>
      <c r="L29" s="113" t="inlineStr">
        <is>
          <t>Stephany</t>
        </is>
      </c>
      <c r="M29" s="113" t="inlineStr">
        <is>
          <t>Operação</t>
        </is>
      </c>
      <c r="N29" s="17">
        <f>IF(K29&lt;10000,"Everton",IF(K29&lt;=50000,"Everton + Tatebe","Everton + Tatebe + Calil"))</f>
        <v/>
      </c>
      <c r="O29" s="20" t="n"/>
      <c r="P29" s="17" t="n"/>
      <c r="Q29" s="17" t="n"/>
      <c r="R29" s="20">
        <f>IF(K29&lt;10000,"N/A","")</f>
        <v/>
      </c>
      <c r="S29" s="17">
        <f>IF(K29&lt;10000,"N/A","")</f>
        <v/>
      </c>
      <c r="T29" s="17">
        <f>IF(K29&lt;10000,"N/A","-")</f>
        <v/>
      </c>
      <c r="U29" s="17">
        <f>IF(K29&lt;=50000,"N/A","")</f>
        <v/>
      </c>
      <c r="V29" s="17">
        <f>IF(K29&lt;=50000,"N/A","")</f>
        <v/>
      </c>
      <c r="W29" s="17">
        <f>IF(K29&lt;=50000,"N/A","-")</f>
        <v/>
      </c>
    </row>
    <row r="30" ht="87.5" customHeight="1">
      <c r="B30" s="27">
        <f>B29+1</f>
        <v/>
      </c>
      <c r="C30" s="120" t="b">
        <v>0</v>
      </c>
      <c r="D30" s="27">
        <f>IF(AND(P30="OK",OR(S30="OK",S30="N/A"),OR(V30="OK",V30="N/A")),"Aprovado",IF(OR(P30="Reprovado",S30="Reprovado",V30="Reprovado"),"Reprovado","Pendente"))</f>
        <v/>
      </c>
      <c r="E30" s="99" t="n"/>
      <c r="F30" s="28" t="inlineStr">
        <is>
          <t>Aprovação - Cancelamento - FRUITFY INTERMEDIACOES E PAGAMENTOS 57315333000127 - 24820605</t>
        </is>
      </c>
      <c r="G30" s="29">
        <f>RIGHT(Tabela1[[#This Row],[Assunto e-mail]],8)</f>
        <v/>
      </c>
      <c r="H30" s="96" t="inlineStr">
        <is>
          <t>ok</t>
        </is>
      </c>
      <c r="I30" s="96" t="inlineStr">
        <is>
          <t>Cancelamento de NF</t>
        </is>
      </c>
      <c r="J30" s="28" t="inlineStr">
        <is>
          <t>O cliente informou que enfrentou problemas durante a implementação da solução e declarou que não realizaria os pagamentos enquanto a implantação não estivesse concluída e aderente a tudo o que foi prometido e comercializado.
Diante da negativa de pagamento e considerando o risco de ajuizamento, a Cielo optou pelo descredenciamento do cliente e pelo cancelamento das notas fiscais mencionadas.</t>
        </is>
      </c>
      <c r="K30" s="174" t="n">
        <v>1969.4</v>
      </c>
      <c r="L30" s="96" t="inlineStr">
        <is>
          <t>Stephany</t>
        </is>
      </c>
      <c r="M30" s="96" t="inlineStr">
        <is>
          <t>Operação</t>
        </is>
      </c>
      <c r="N30" s="96">
        <f>IF(K30&lt;10000,"Everton",IF(K30&lt;=50000,"Everton + Tatebe","Everton + Tatebe + Calil"))</f>
        <v/>
      </c>
      <c r="O30" s="95" t="n"/>
      <c r="P30" s="96" t="n"/>
      <c r="Q30" s="96" t="n"/>
      <c r="R30" s="95">
        <f>IF(K30&lt;10000,"N/A","")</f>
        <v/>
      </c>
      <c r="S30" s="96">
        <f>IF(K30&lt;10000,"N/A","")</f>
        <v/>
      </c>
      <c r="T30" s="96">
        <f>IF(K30&lt;10000,"N/A","-")</f>
        <v/>
      </c>
      <c r="U30" s="96">
        <f>IF(K30&lt;=50000,"N/A","")</f>
        <v/>
      </c>
      <c r="V30" s="96">
        <f>IF(K30&lt;=50000,"N/A","")</f>
        <v/>
      </c>
      <c r="W30" s="96">
        <f>IF(K30&lt;=50000,"N/A","-")</f>
        <v/>
      </c>
    </row>
    <row r="31" ht="37.5" customFormat="1" customHeight="1" s="94">
      <c r="B31" s="120">
        <f>B30+1</f>
        <v/>
      </c>
      <c r="C31" s="120" t="b">
        <v>0</v>
      </c>
      <c r="D31" s="120">
        <f>IF(AND(P31="OK",OR(S31="OK",S31="N/A"),OR(V31="OK",V31="N/A")),"Aprovado",IF(OR(P31="Reprovado",S31="Reprovado",V31="Reprovado"),"Reprovado","Pendente"))</f>
        <v/>
      </c>
      <c r="E31" s="15" t="n"/>
      <c r="F31" s="21" t="inlineStr">
        <is>
          <t>Aprovação - Cancelamento de notas fiscais  - DENTAL S. SEBASTIAO LTDA - 09.228.091/0001-91 - 27115064</t>
        </is>
      </c>
      <c r="G31" s="22" t="n">
        <v>27115064</v>
      </c>
      <c r="H31" s="17" t="inlineStr">
        <is>
          <t>ok</t>
        </is>
      </c>
      <c r="I31" s="17" t="inlineStr">
        <is>
          <t>Cancelamento de NF</t>
        </is>
      </c>
      <c r="J31" s="21" t="inlineStr">
        <is>
          <t>Aprovação - Cancelamento de notas fiscais  - DENTAL S. SEBASTIAO LTDA - 09.228.091/0001-91</t>
        </is>
      </c>
      <c r="K31" s="175" t="n">
        <v>5102.04</v>
      </c>
      <c r="L31" s="17" t="inlineStr">
        <is>
          <t>Stephany</t>
        </is>
      </c>
      <c r="M31" s="17" t="n"/>
      <c r="N31" s="17">
        <f>IF(K31&lt;10000,"Everton",IF(K31&lt;=50000,"Everton + Tatebe","Everton + Tatebe + Calil"))</f>
        <v/>
      </c>
      <c r="O31" s="20" t="n"/>
      <c r="P31" s="17" t="n"/>
      <c r="Q31" s="17" t="n"/>
      <c r="R31" s="20">
        <f>IF(K31&lt;10000,"N/A","")</f>
        <v/>
      </c>
      <c r="S31" s="17">
        <f>IF(K31&lt;10000,"N/A","")</f>
        <v/>
      </c>
      <c r="T31" s="17">
        <f>IF(K31&lt;10000,"N/A","-")</f>
        <v/>
      </c>
      <c r="U31" s="17">
        <f>IF(K31&lt;=50000,"N/A","")</f>
        <v/>
      </c>
      <c r="V31" s="17">
        <f>IF(K31&lt;=50000,"N/A","")</f>
        <v/>
      </c>
      <c r="W31" s="17">
        <f>IF(K31&lt;=50000,"N/A","-")</f>
        <v/>
      </c>
    </row>
    <row r="32" ht="75" customHeight="1">
      <c r="B32" s="27">
        <f>B31+1</f>
        <v/>
      </c>
      <c r="C32" s="120" t="b">
        <v>0</v>
      </c>
      <c r="D32" s="27">
        <f>IF(AND(P32="OK",OR(S32="OK",S32="N/A"),OR(V32="OK",V32="N/A")),"Aprovado",IF(OR(P32="Reprovado",S32="Reprovado",V32="Reprovado"),"Reprovado","Pendente"))</f>
        <v/>
      </c>
      <c r="E32" s="99" t="n"/>
      <c r="F32" s="28" t="inlineStr">
        <is>
          <t>Aprovação - Cancelamento de notas - VOLTBRAS ELETROPOSTOS AGENCIAMENTO LTDA - 32.150.686/0001-93 | 25704891</t>
        </is>
      </c>
      <c r="G32" s="29">
        <f>RIGHT(Tabela1[[#This Row],[Assunto e-mail]],8)</f>
        <v/>
      </c>
      <c r="H32" s="96" t="inlineStr">
        <is>
          <t>OK</t>
        </is>
      </c>
      <c r="I32" s="96" t="inlineStr">
        <is>
          <t>Cancelamento de NF</t>
        </is>
      </c>
      <c r="J32" s="28" t="inlineStr">
        <is>
          <t>A integração da solução não foi concluída por questões técnicas, impossibilitando sua efetiva utilização pelo cliente. Além disso, após análise contratual, não foi identificada cláusula específica que estabeleça a obrigatoriedade do pagamento do SETUP nessa situação, motivo pelo qual o cliente formalizou contestação da cobrança por meio de notificação extrajudicial.</t>
        </is>
      </c>
      <c r="K32" s="174" t="n">
        <v>22974.01</v>
      </c>
      <c r="L32" s="96" t="inlineStr">
        <is>
          <t>Amanda</t>
        </is>
      </c>
      <c r="M32" s="96" t="inlineStr">
        <is>
          <t>Operação</t>
        </is>
      </c>
      <c r="N32" s="96">
        <f>IF(K32&lt;10000,"Everton",IF(K32&lt;=50000,"Everton + Tatebe","Everton + Tatebe + Calil"))</f>
        <v/>
      </c>
      <c r="O32" s="95" t="n"/>
      <c r="P32" s="96" t="n"/>
      <c r="Q32" s="96" t="n"/>
      <c r="R32" s="95">
        <f>IF(K32&lt;10000,"N/A","")</f>
        <v/>
      </c>
      <c r="S32" s="96">
        <f>IF(K32&lt;10000,"N/A","")</f>
        <v/>
      </c>
      <c r="T32" s="96">
        <f>IF(K32&lt;10000,"N/A","-")</f>
        <v/>
      </c>
      <c r="U32" s="96">
        <f>IF(K32&lt;=50000,"N/A","")</f>
        <v/>
      </c>
      <c r="V32" s="96">
        <f>IF(K32&lt;=50000,"N/A","")</f>
        <v/>
      </c>
      <c r="W32" s="96">
        <f>IF(K32&lt;=50000,"N/A","-")</f>
        <v/>
      </c>
    </row>
    <row r="33" ht="62.5" customHeight="1">
      <c r="B33" s="120">
        <f>B32+1</f>
        <v/>
      </c>
      <c r="C33" s="120" t="b">
        <v>0</v>
      </c>
      <c r="D33" s="120">
        <f>IF(AND(P33="OK",OR(S33="OK",S33="N/A"),OR(V33="OK",V33="N/A")),"Aprovado",IF(OR(P33="Reprovado",S33="Reprovado",V33="Reprovado"),"Reprovado","Pendente"))</f>
        <v/>
      </c>
      <c r="E33" s="15" t="n"/>
      <c r="F33" s="21" t="inlineStr">
        <is>
          <t>Aprovação - Cancelamento de notas - JJGC. IND. E COM. MATERIAS DENTARIOS S/A - 00.489.050/0001-84 e 00.489.050/0002-65 | 26895066</t>
        </is>
      </c>
      <c r="G33" s="22">
        <f>RIGHT(Tabela1[[#This Row],[Assunto e-mail]],8)</f>
        <v/>
      </c>
      <c r="H33" s="17" t="inlineStr">
        <is>
          <t>OK</t>
        </is>
      </c>
      <c r="I33" s="96" t="inlineStr">
        <is>
          <t>Cancelamento de NF</t>
        </is>
      </c>
      <c r="J33" s="21" t="inlineStr">
        <is>
          <t xml:space="preserve">O cliente formalizou a solicitação de cancelamento antes da primeira emissão de nota fiscal, para ambos os CNPJ's. Na época a gerente responsável (Isabella Lestingi), chegou a abrir no SF o cancelamento do contrato, mas não foi encaminhado para o financeiro. </t>
        </is>
      </c>
      <c r="K33" s="175" t="n">
        <v>63688.79</v>
      </c>
      <c r="L33" s="96" t="inlineStr">
        <is>
          <t>Amanda</t>
        </is>
      </c>
      <c r="M33" s="96" t="inlineStr">
        <is>
          <t>Comercial</t>
        </is>
      </c>
      <c r="N33" s="17">
        <f>IF(K33&lt;10000,"Everton",IF(K33&lt;=50000,"Everton + Tatebe","Everton + Tatebe + Calil"))</f>
        <v/>
      </c>
      <c r="O33" s="20" t="n"/>
      <c r="P33" s="17" t="n"/>
      <c r="Q33" s="17" t="n"/>
      <c r="R33" s="20">
        <f>IF(K32&lt;10000,"N/A","")</f>
        <v/>
      </c>
      <c r="S33" s="17">
        <f>IF(K32&lt;10000,"N/A","")</f>
        <v/>
      </c>
      <c r="T33" s="17">
        <f>IF(K33&lt;10000,"N/A","-")</f>
        <v/>
      </c>
      <c r="U33" s="20">
        <f>IF(K33&lt;=50000,"N/A","")</f>
        <v/>
      </c>
      <c r="V33" s="17">
        <f>IF(K33&lt;=50000,"N/A","")</f>
        <v/>
      </c>
      <c r="W33" s="17">
        <f>IF(K33&lt;=50000,"N/A","-")</f>
        <v/>
      </c>
    </row>
    <row r="34" ht="62.5" customHeight="1">
      <c r="B34" s="27">
        <f>B33+1</f>
        <v/>
      </c>
      <c r="C34" s="120" t="b">
        <v>1</v>
      </c>
      <c r="D34" s="27" t="inlineStr">
        <is>
          <t>Aprovado</t>
        </is>
      </c>
      <c r="E34" s="99" t="n"/>
      <c r="F34" s="28" t="inlineStr">
        <is>
          <t>Valores em aberto - Azzas 2154</t>
        </is>
      </c>
      <c r="G34" s="29" t="n">
        <v>26988914</v>
      </c>
      <c r="H34" s="96" t="inlineStr">
        <is>
          <t>OK</t>
        </is>
      </c>
      <c r="I34" s="96" t="inlineStr">
        <is>
          <t>Cancelamento de NF</t>
        </is>
      </c>
      <c r="J34" s="28" t="inlineStr">
        <is>
          <t>A cliente informou que o pagamento individual das 78 notas gera um esforço operacional elevado, pois cada nota precisa estar vinculada a um boleto específico. Por esse motivo, solicitou a consolidação dos valores em 5 novos documentos fiscais e respectivos boletos.</t>
        </is>
      </c>
      <c r="K34" s="174" t="n">
        <v>389359.12</v>
      </c>
      <c r="L34" s="96" t="inlineStr">
        <is>
          <t>Vanessa</t>
        </is>
      </c>
      <c r="M34" s="96" t="inlineStr">
        <is>
          <t>Cobrança</t>
        </is>
      </c>
      <c r="N34" s="96">
        <f>IF(K34&lt;10000,"Everton",IF(K34&lt;=50000,"Everton + Tatebe","Everton + Tatebe + Calil"))</f>
        <v/>
      </c>
      <c r="O34" s="95" t="n"/>
      <c r="P34" s="96" t="n"/>
      <c r="Q34" s="96" t="n"/>
      <c r="R34" s="95" t="n"/>
      <c r="S34" s="96" t="n"/>
      <c r="T34" s="96">
        <f>IF(K34&lt;10000,"N/A","-")</f>
        <v/>
      </c>
      <c r="U34" s="95" t="n">
        <v>46281</v>
      </c>
      <c r="V34" s="96" t="inlineStr">
        <is>
          <t>OK</t>
        </is>
      </c>
      <c r="W34" s="96">
        <f>IF(K34&lt;=50000,"N/A","-")</f>
        <v/>
      </c>
    </row>
    <row r="35">
      <c r="B35" s="27">
        <f>B34+1</f>
        <v/>
      </c>
      <c r="C35" s="120" t="b">
        <v>0</v>
      </c>
      <c r="D35" s="27">
        <f>IF(AND(P35="OK",OR(S35="OK",S35="N/A"),OR(V35="OK",V35="N/A")),"Aprovado",IF(OR(P35="Reprovado",S35="Reprovado",V35="Reprovado"),"Reprovado","Pendente"))</f>
        <v/>
      </c>
      <c r="E35" s="99" t="n">
        <v>46286</v>
      </c>
      <c r="F35" s="28" t="n"/>
      <c r="G35" s="29" t="n">
        <v>27241800</v>
      </c>
      <c r="H35" s="96" t="n"/>
      <c r="I35" s="96" t="inlineStr">
        <is>
          <t>Cancelamento de NF</t>
        </is>
      </c>
      <c r="J35" s="28" t="inlineStr">
        <is>
          <t>Emissão em duplicidade</t>
        </is>
      </c>
      <c r="K35" s="174" t="n">
        <v>202.04</v>
      </c>
      <c r="L35" s="96" t="inlineStr">
        <is>
          <t>Amanda</t>
        </is>
      </c>
      <c r="M35" s="96" t="inlineStr">
        <is>
          <t>Financeiro</t>
        </is>
      </c>
      <c r="N35" s="96">
        <f>IF(K35&lt;10000,"Everton",IF(K35&lt;=50000,"Everton + Tatebe","Everton + Tatebe + Calil"))</f>
        <v/>
      </c>
      <c r="O35" s="95" t="n"/>
      <c r="P35" s="96" t="n"/>
      <c r="Q35" s="96" t="n"/>
      <c r="R35" s="95">
        <f>IF(K34&lt;10000,"N/A","")</f>
        <v/>
      </c>
      <c r="S35" s="96">
        <f>IF(K34&lt;10000,"N/A","")</f>
        <v/>
      </c>
      <c r="T35" s="96">
        <f>IF(K35&lt;10000,"N/A","-")</f>
        <v/>
      </c>
      <c r="U35" s="95">
        <f>IF(K35&lt;=50000,"N/A","")</f>
        <v/>
      </c>
      <c r="V35" s="96">
        <f>IF(K35&lt;=50000,"N/A","")</f>
        <v/>
      </c>
      <c r="W35" s="96">
        <f>IF(K35&lt;=50000,"N/A","-")</f>
        <v/>
      </c>
    </row>
  </sheetData>
  <mergeCells count="4">
    <mergeCell ref="U1:W1"/>
    <mergeCell ref="O1:Q1"/>
    <mergeCell ref="R1:T1"/>
    <mergeCell ref="E1:N1"/>
  </mergeCells>
  <conditionalFormatting sqref="N2:N1048576">
    <cfRule type="cellIs" priority="23" operator="equal" dxfId="30">
      <formula>$N$8</formula>
    </cfRule>
    <cfRule type="cellIs" priority="24" operator="equal" dxfId="31">
      <formula>$N$5</formula>
    </cfRule>
    <cfRule type="cellIs" priority="25" operator="equal" dxfId="29">
      <formula>$N$3</formula>
    </cfRule>
  </conditionalFormatting>
  <pageMargins left="0.511811024" right="0.511811024" top="0.787401575" bottom="0.787401575" header="0.31496062" footer="0.31496062"/>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1:T45"/>
  <sheetViews>
    <sheetView showGridLines="0" zoomScale="85" zoomScaleNormal="85" workbookViewId="0">
      <selection activeCell="G6" sqref="G6"/>
    </sheetView>
  </sheetViews>
  <sheetFormatPr baseColWidth="8" defaultColWidth="9.453125" defaultRowHeight="18.5"/>
  <cols>
    <col width="4.453125" customWidth="1" style="162" min="1" max="1"/>
    <col width="38.453125" bestFit="1" customWidth="1" style="162" min="2" max="2"/>
    <col width="22.453125" bestFit="1" customWidth="1" style="162" min="3" max="3"/>
    <col width="10.453125" bestFit="1" customWidth="1" style="162" min="4" max="4"/>
    <col width="12.54296875" bestFit="1" customWidth="1" style="162" min="5" max="5"/>
    <col width="22.453125" bestFit="1" customWidth="1" style="162" min="6" max="6"/>
    <col width="12.453125" bestFit="1" customWidth="1" style="162" min="7" max="7"/>
    <col width="4.54296875" customWidth="1" style="162" min="8" max="8"/>
    <col width="48.453125" bestFit="1" customWidth="1" min="9" max="9"/>
    <col width="10.54296875" customWidth="1" min="10" max="12"/>
    <col width="1.54296875" customWidth="1" style="162" min="13" max="13"/>
    <col width="12.54296875" bestFit="1" customWidth="1" style="162" min="14" max="14"/>
    <col width="14.453125" bestFit="1" customWidth="1" style="162" min="15" max="15"/>
    <col width="19.453125" bestFit="1" customWidth="1" style="162" min="16" max="16"/>
    <col width="11.453125" bestFit="1" customWidth="1" style="162" min="17" max="17"/>
    <col width="3.453125" customWidth="1" style="162" min="18" max="18"/>
    <col width="21.453125" bestFit="1" customWidth="1" style="162" min="19" max="19"/>
    <col width="39.36328125" bestFit="1" customWidth="1" style="162" min="20" max="20"/>
    <col width="14.54296875" bestFit="1" customWidth="1" style="162" min="21" max="97"/>
    <col width="8.54296875" bestFit="1" customWidth="1" style="162" min="98" max="98"/>
    <col width="14.54296875" bestFit="1" customWidth="1" style="162" min="99" max="134"/>
    <col width="13.453125" bestFit="1" customWidth="1" style="162" min="135" max="136"/>
    <col width="12.453125" bestFit="1" customWidth="1" style="162" min="137" max="137"/>
    <col width="13.453125" bestFit="1" customWidth="1" style="162" min="138" max="146"/>
    <col width="19.54296875" bestFit="1" customWidth="1" style="162" min="147" max="147"/>
    <col width="20.453125" bestFit="1" customWidth="1" style="162" min="148" max="148"/>
    <col width="13.453125" bestFit="1" customWidth="1" style="162" min="149" max="150"/>
    <col width="24.54296875" bestFit="1" customWidth="1" style="162" min="151" max="151"/>
    <col width="12.453125" bestFit="1" customWidth="1" style="162" min="152" max="152"/>
    <col width="9.453125" customWidth="1" style="162" min="153" max="16384"/>
  </cols>
  <sheetData>
    <row r="1">
      <c r="B1" s="9" t="inlineStr">
        <is>
          <t>Qtde. Total chamados Status</t>
        </is>
      </c>
      <c r="I1" s="9" t="inlineStr">
        <is>
          <t>Qtde. Total chamados por categoria</t>
        </is>
      </c>
      <c r="S1" s="45" t="inlineStr">
        <is>
          <t>Mês/Ano</t>
        </is>
      </c>
      <c r="T1" s="162" t="inlineStr">
        <is>
          <t>jul/2026</t>
        </is>
      </c>
    </row>
    <row r="2">
      <c r="I2" s="6" t="inlineStr">
        <is>
          <t>Status</t>
        </is>
      </c>
      <c r="J2" t="inlineStr">
        <is>
          <t>PENDENTE</t>
        </is>
      </c>
      <c r="S2" s="45" t="inlineStr">
        <is>
          <t>Data de abertura</t>
        </is>
      </c>
      <c r="T2" s="162" t="inlineStr">
        <is>
          <t>(Tudo)</t>
        </is>
      </c>
    </row>
    <row r="3">
      <c r="B3" s="34" t="n"/>
    </row>
    <row r="4">
      <c r="B4" s="162" t="e">
        <v>#VALUE!</v>
      </c>
      <c r="J4" s="6" t="inlineStr">
        <is>
          <t>Rótulos de Coluna</t>
        </is>
      </c>
      <c r="N4" s="33" t="inlineStr">
        <is>
          <t>PENDENTE</t>
        </is>
      </c>
      <c r="O4" s="33" t="inlineStr">
        <is>
          <t>FINALIZADO</t>
        </is>
      </c>
      <c r="P4" s="33" t="inlineStr">
        <is>
          <t>EM ANDAMENTO</t>
        </is>
      </c>
      <c r="Q4" s="33" t="inlineStr">
        <is>
          <t>A INICIAR</t>
        </is>
      </c>
      <c r="S4" s="45" t="inlineStr">
        <is>
          <t>Rótulos de Linha</t>
        </is>
      </c>
      <c r="T4" s="162" t="inlineStr">
        <is>
          <t>Contagem de Número do Chamado</t>
        </is>
      </c>
    </row>
    <row r="5" ht="61.4" customHeight="1">
      <c r="J5" t="inlineStr">
        <is>
          <t>2025</t>
        </is>
      </c>
      <c r="K5" t="inlineStr">
        <is>
          <t>2026</t>
        </is>
      </c>
      <c r="L5" t="inlineStr">
        <is>
          <t>-</t>
        </is>
      </c>
      <c r="N5">
        <f>GETPIVOTDATA("Número do Chamado",$B$4,"Status","PENDENTE")</f>
        <v/>
      </c>
      <c r="O5">
        <f>-GETPIVOTDATA("Número do Chamado",$B$4,"Status","FINALIZADO")</f>
        <v/>
      </c>
      <c r="P5">
        <f>GETPIVOTDATA("Número do Chamado",$B$4,"Status","EM ANDAMENTO")</f>
        <v/>
      </c>
      <c r="Q5">
        <f>SUM(N5:P5)</f>
        <v/>
      </c>
      <c r="S5" s="4" t="inlineStr">
        <is>
          <t>Emilly Maria</t>
        </is>
      </c>
      <c r="T5" s="162" t="n">
        <v>20</v>
      </c>
    </row>
    <row r="6">
      <c r="S6" s="4" t="inlineStr">
        <is>
          <t>Fabiana Lisboa</t>
        </is>
      </c>
      <c r="T6" s="162" t="n">
        <v>12</v>
      </c>
    </row>
    <row r="7">
      <c r="S7" s="4" t="inlineStr">
        <is>
          <t>Pamela de Sá</t>
        </is>
      </c>
      <c r="T7" s="162" t="n">
        <v>24</v>
      </c>
    </row>
    <row r="8">
      <c r="S8" s="4" t="inlineStr">
        <is>
          <t>Stephany Lima</t>
        </is>
      </c>
      <c r="T8" s="162" t="n">
        <v>37</v>
      </c>
    </row>
    <row r="9">
      <c r="I9" s="90" t="inlineStr">
        <is>
          <t>Contagem de Número de protocolo</t>
        </is>
      </c>
      <c r="J9" s="90" t="n">
        <v>11</v>
      </c>
      <c r="K9" s="90" t="n">
        <v>84</v>
      </c>
      <c r="L9" s="90" t="n">
        <v>95</v>
      </c>
      <c r="M9" s="163" t="n"/>
      <c r="S9" s="4" t="inlineStr">
        <is>
          <t>Vanessa Araujo</t>
        </is>
      </c>
      <c r="T9" s="162" t="n">
        <v>4</v>
      </c>
    </row>
    <row r="10">
      <c r="S10" s="4" t="inlineStr">
        <is>
          <t>Total Geral</t>
        </is>
      </c>
      <c r="T10" s="162" t="n">
        <v>97</v>
      </c>
    </row>
    <row r="17">
      <c r="B17" s="9" t="inlineStr">
        <is>
          <t>Qtde. Chamados por categoria x responsável</t>
        </is>
      </c>
    </row>
    <row r="18">
      <c r="B18" s="6" t="inlineStr">
        <is>
          <t>Status</t>
        </is>
      </c>
      <c r="C18" t="inlineStr">
        <is>
          <t>PENDENTE</t>
        </is>
      </c>
    </row>
    <row r="19">
      <c r="B19" s="6" t="inlineStr">
        <is>
          <t>Data de abertura</t>
        </is>
      </c>
      <c r="C19" t="inlineStr">
        <is>
          <t>(Vários itens)</t>
        </is>
      </c>
    </row>
    <row r="21">
      <c r="B21" s="6" t="inlineStr">
        <is>
          <t>Rótulos de Linha</t>
        </is>
      </c>
      <c r="C21" t="inlineStr">
        <is>
          <t>Contagem  Chamado</t>
        </is>
      </c>
    </row>
    <row r="22">
      <c r="B22" s="7" t="inlineStr">
        <is>
          <t>Emilly Maria</t>
        </is>
      </c>
      <c r="C22" t="n">
        <v>13</v>
      </c>
    </row>
    <row r="23">
      <c r="B23" s="7" t="inlineStr">
        <is>
          <t>Fabiana Lisboa</t>
        </is>
      </c>
      <c r="C23" t="n">
        <v>10</v>
      </c>
    </row>
    <row r="24">
      <c r="B24" s="7" t="inlineStr">
        <is>
          <t>Pamela de Sá</t>
        </is>
      </c>
      <c r="C24" t="n">
        <v>23</v>
      </c>
    </row>
    <row r="25">
      <c r="B25" s="7" t="inlineStr">
        <is>
          <t>Stephany Lima</t>
        </is>
      </c>
      <c r="C25" t="n">
        <v>32</v>
      </c>
    </row>
    <row r="26">
      <c r="B26" s="7" t="inlineStr">
        <is>
          <t>Vanessa Araujo</t>
        </is>
      </c>
      <c r="C26" t="n">
        <v>6</v>
      </c>
    </row>
    <row r="27">
      <c r="B27" s="7" t="inlineStr">
        <is>
          <t>Total Geral</t>
        </is>
      </c>
      <c r="C27" t="n">
        <v>84</v>
      </c>
    </row>
    <row r="45">
      <c r="D45" t="inlineStr">
        <is>
          <t>Amanda verificar</t>
        </is>
      </c>
    </row>
  </sheetData>
  <autoFilter ref="B21:C65"/>
  <pageMargins left="0.511811024" right="0.511811024" top="0.787401575" bottom="0.787401575" header="0.31496062" footer="0.31496062"/>
</worksheet>
</file>

<file path=xl/worksheets/sheet6.xml><?xml version="1.0" encoding="utf-8"?>
<worksheet xmlns="http://schemas.openxmlformats.org/spreadsheetml/2006/main">
  <sheetPr>
    <outlinePr summaryBelow="1" summaryRight="1"/>
    <pageSetUpPr/>
  </sheetPr>
  <dimension ref="A1:AO415"/>
  <sheetViews>
    <sheetView showGridLines="0" zoomScale="70" zoomScaleNormal="70" workbookViewId="0">
      <selection activeCell="C5" sqref="C5"/>
    </sheetView>
  </sheetViews>
  <sheetFormatPr baseColWidth="8" defaultColWidth="8.54296875" defaultRowHeight="14.5"/>
  <cols>
    <col width="12.54296875" bestFit="1" customWidth="1" style="2" min="1" max="1"/>
    <col width="19" customWidth="1" style="2" min="2" max="2"/>
    <col width="39.54296875" customWidth="1" style="2" min="3" max="3"/>
    <col width="22.36328125" customWidth="1" style="2" min="4" max="4"/>
    <col width="23.453125" bestFit="1" customWidth="1" style="2" min="5" max="5"/>
    <col width="22.6328125" customWidth="1" style="2" min="6" max="6"/>
    <col width="72.453125" bestFit="1" customWidth="1" style="2" min="7" max="7"/>
    <col width="29.6328125" customWidth="1" style="2" min="8" max="8"/>
    <col width="87.6328125" bestFit="1" customWidth="1" style="50" min="9" max="9"/>
    <col width="19" customWidth="1" style="2" min="10" max="10"/>
    <col width="10.26953125" customWidth="1" style="2" min="11" max="11"/>
    <col width="49.54296875" customWidth="1" style="32" min="12" max="12"/>
    <col width="14.453125" bestFit="1" customWidth="1" style="47" min="13" max="13"/>
    <col outlineLevel="1" width="112.453125" customWidth="1" style="2" min="14" max="14"/>
    <col width="18.453125" customWidth="1" style="2" min="15" max="15"/>
    <col width="42.453125" bestFit="1" customWidth="1" style="2" min="16" max="16"/>
    <col width="12" bestFit="1" customWidth="1" style="2" min="17" max="17"/>
    <col outlineLevel="1" width="36" customWidth="1" style="2" min="18" max="18"/>
    <col outlineLevel="1" width="47" customWidth="1" style="2" min="19" max="20"/>
    <col outlineLevel="1" collapsed="1" width="67.54296875" customWidth="1" style="2" min="21" max="21"/>
    <col width="126.453125" customWidth="1" style="2" min="22" max="22"/>
    <col outlineLevel="1" width="9.453125" customWidth="1" style="2" min="23" max="23"/>
    <col outlineLevel="1" width="21.453125" customWidth="1" style="54" min="24" max="24"/>
    <col outlineLevel="1" width="14.453125" customWidth="1" style="2" min="25" max="25"/>
    <col outlineLevel="1" width="16.7265625" customWidth="1" style="2" min="26" max="26"/>
    <col outlineLevel="1" width="14.81640625" customWidth="1" style="2" min="27" max="27"/>
    <col width="9.6328125" customWidth="1" style="2" min="28" max="28"/>
    <col width="34" customWidth="1" style="2" min="29" max="16384"/>
    <col width="34" customWidth="1" min="30" max="30"/>
    <col width="34" customWidth="1" min="31" max="31"/>
    <col width="34" customWidth="1" min="32" max="32"/>
    <col width="34" customWidth="1" min="33" max="33"/>
    <col width="34" customWidth="1" min="34" max="34"/>
    <col width="34" customWidth="1" min="35" max="35"/>
    <col width="34" customWidth="1" min="36" max="36"/>
    <col width="34" customWidth="1" min="37" max="37"/>
    <col width="34" customWidth="1" min="38" max="38"/>
    <col width="34" customWidth="1" min="39" max="39"/>
    <col width="34" customWidth="1" min="40" max="40"/>
    <col width="34" customWidth="1" min="41" max="41"/>
  </cols>
  <sheetData>
    <row r="1" ht="15" customHeight="1" thickBot="1">
      <c r="A1" s="46" t="n"/>
      <c r="B1" s="46" t="inlineStr">
        <is>
          <t>Atualizado em:</t>
        </is>
      </c>
      <c r="C1" s="51" t="n">
        <v>46290</v>
      </c>
      <c r="D1" s="46" t="n"/>
      <c r="E1" s="46" t="n"/>
      <c r="F1" s="46" t="n"/>
      <c r="G1" s="46" t="n"/>
      <c r="H1" s="46" t="n"/>
      <c r="I1" s="48" t="n"/>
      <c r="J1" s="46" t="n"/>
      <c r="K1" s="46" t="n"/>
      <c r="L1" s="31" t="n"/>
      <c r="M1" s="46" t="n"/>
      <c r="N1" s="46" t="n"/>
      <c r="O1" s="46" t="n"/>
      <c r="P1" s="46" t="n"/>
      <c r="Q1" s="46" t="n"/>
      <c r="R1" s="46" t="n"/>
      <c r="S1" s="46" t="n"/>
      <c r="T1" s="46" t="n"/>
      <c r="U1" s="46" t="n"/>
      <c r="V1" s="46" t="n"/>
      <c r="W1" s="46" t="n"/>
      <c r="X1" s="53" t="n"/>
      <c r="Y1" s="46" t="n"/>
      <c r="Z1" s="46" t="n"/>
      <c r="AA1" s="46" t="n"/>
    </row>
    <row r="2" ht="15" customHeight="1" thickBot="1">
      <c r="A2" s="46" t="n"/>
      <c r="B2" s="46" t="n"/>
      <c r="C2" s="46" t="n"/>
      <c r="D2" s="46" t="n"/>
      <c r="E2" s="68" t="n"/>
      <c r="F2" s="61" t="n"/>
      <c r="G2" s="61" t="n"/>
      <c r="H2" s="61" t="n"/>
      <c r="I2" s="62" t="n"/>
      <c r="J2" s="61" t="n"/>
      <c r="K2" s="61" t="n"/>
      <c r="L2" s="81" t="inlineStr">
        <is>
          <t>PENDENTE</t>
        </is>
      </c>
      <c r="M2" s="46" t="n"/>
      <c r="N2" s="46" t="n"/>
      <c r="O2" s="46" t="n"/>
      <c r="P2" s="46" t="n"/>
      <c r="Q2" s="46" t="n"/>
      <c r="R2" s="46" t="n"/>
      <c r="S2" s="46" t="n"/>
      <c r="T2" s="46" t="n"/>
      <c r="U2" s="46" t="n"/>
      <c r="V2" s="46" t="n"/>
      <c r="W2" s="46" t="n"/>
      <c r="X2" s="53" t="n"/>
      <c r="Y2" s="46" t="n"/>
      <c r="Z2" s="46" t="n"/>
      <c r="AA2" s="46" t="n"/>
    </row>
    <row r="3" ht="15" customHeight="1" thickBot="1">
      <c r="E3" s="68" t="n"/>
      <c r="G3" s="68" t="n"/>
      <c r="H3" s="68" t="n"/>
      <c r="I3" s="69" t="n"/>
      <c r="J3" s="68" t="n"/>
      <c r="K3" s="68" t="n"/>
      <c r="L3" s="80" t="inlineStr">
        <is>
          <t>FINALIZADO</t>
        </is>
      </c>
      <c r="M3" s="2" t="n"/>
      <c r="S3" t="n"/>
    </row>
    <row r="4" ht="15.5" customHeight="1">
      <c r="A4" s="1" t="inlineStr">
        <is>
          <t>Obs</t>
        </is>
      </c>
      <c r="B4" s="64" t="inlineStr">
        <is>
          <t>RESPONSÁVEL</t>
        </is>
      </c>
      <c r="C4" s="64" t="inlineStr">
        <is>
          <t>Classificação</t>
        </is>
      </c>
      <c r="D4" s="64" t="inlineStr">
        <is>
          <t>Número do Chamado</t>
        </is>
      </c>
      <c r="E4" s="64" t="inlineStr">
        <is>
          <t>Chamado Pai (clone)</t>
        </is>
      </c>
      <c r="F4" s="64" t="inlineStr">
        <is>
          <t>Número de protocolo</t>
        </is>
      </c>
      <c r="G4" s="65" t="inlineStr">
        <is>
          <t>Razão social</t>
        </is>
      </c>
      <c r="H4" s="65" t="inlineStr">
        <is>
          <t>CNPJ</t>
        </is>
      </c>
      <c r="I4" s="66" t="inlineStr">
        <is>
          <t>Causa raiz</t>
        </is>
      </c>
      <c r="J4" s="65" t="inlineStr">
        <is>
          <t>Observação/Ação</t>
        </is>
      </c>
      <c r="K4" s="65" t="inlineStr">
        <is>
          <t>Ofensor</t>
        </is>
      </c>
      <c r="L4" s="79" t="inlineStr">
        <is>
          <t>Status</t>
        </is>
      </c>
      <c r="M4" s="64" t="inlineStr">
        <is>
          <t>Prioridade</t>
        </is>
      </c>
      <c r="N4" s="64" t="inlineStr">
        <is>
          <t>Assunto</t>
        </is>
      </c>
      <c r="O4" s="64" t="inlineStr">
        <is>
          <t>Data de abertura</t>
        </is>
      </c>
      <c r="P4" s="124" t="inlineStr">
        <is>
          <t>Data da última modificação do chamado</t>
        </is>
      </c>
      <c r="Q4" s="64" t="inlineStr">
        <is>
          <t>Mês/Ano</t>
        </is>
      </c>
      <c r="R4" s="64" t="inlineStr">
        <is>
          <t>Proprietário do Chamado</t>
        </is>
      </c>
      <c r="S4" s="64" t="inlineStr">
        <is>
          <t>Email da Web</t>
        </is>
      </c>
      <c r="T4" s="64" t="inlineStr">
        <is>
          <t>Nome Fantasia</t>
        </is>
      </c>
      <c r="U4" s="64" t="inlineStr">
        <is>
          <t>Descrição</t>
        </is>
      </c>
      <c r="V4" s="64" t="inlineStr">
        <is>
          <t>Descrição detalhada</t>
        </is>
      </c>
      <c r="W4" s="63" t="inlineStr">
        <is>
          <t>Ref.</t>
        </is>
      </c>
      <c r="X4" s="52" t="inlineStr">
        <is>
          <t>Dt.Encerramento</t>
        </is>
      </c>
      <c r="Y4" s="35" t="inlineStr">
        <is>
          <t>Situação</t>
        </is>
      </c>
      <c r="Z4" s="35" t="inlineStr">
        <is>
          <t>Dias em Aberto</t>
        </is>
      </c>
      <c r="AA4" s="42" t="inlineStr">
        <is>
          <t>Aux_Ranking</t>
        </is>
      </c>
      <c r="AB4" s="42" t="inlineStr">
        <is>
          <t>Origem</t>
        </is>
      </c>
      <c r="AC4" s="42" t="inlineStr">
        <is>
          <t>Intenção Identificada</t>
        </is>
      </c>
      <c r="AD4" s="42" t="inlineStr">
        <is>
          <t>Causa Identificada</t>
        </is>
      </c>
      <c r="AE4" s="42" t="inlineStr">
        <is>
          <t>Causa Raiz Padrão</t>
        </is>
      </c>
      <c r="AF4" s="42" t="inlineStr">
        <is>
          <t>Objeto Operacional Sugerido</t>
        </is>
      </c>
      <c r="AG4" s="42" t="inlineStr">
        <is>
          <t>Classificação Sugerida</t>
        </is>
      </c>
      <c r="AH4" s="42" t="inlineStr">
        <is>
          <t>Score Confiança</t>
        </is>
      </c>
      <c r="AI4" s="42" t="inlineStr">
        <is>
          <t>Regra Sugerida</t>
        </is>
      </c>
      <c r="AJ4" s="42" t="inlineStr">
        <is>
          <t>Status da Sugestão</t>
        </is>
      </c>
      <c r="AK4" s="42" t="inlineStr">
        <is>
          <t>Ambiguidade</t>
        </is>
      </c>
      <c r="AL4" s="42" t="inlineStr">
        <is>
          <t>Objeto Operacional Validado</t>
        </is>
      </c>
      <c r="AM4" s="42" t="inlineStr">
        <is>
          <t>Classificação Validada</t>
        </is>
      </c>
      <c r="AN4" s="42" t="inlineStr">
        <is>
          <t>Concordância</t>
        </is>
      </c>
      <c r="AO4" s="42" t="inlineStr">
        <is>
          <t>Motivo da Decisão</t>
        </is>
      </c>
    </row>
    <row r="5" ht="15.5" customHeight="1">
      <c r="A5" s="1" t="n"/>
      <c r="B5" s="67" t="inlineStr">
        <is>
          <t>Stephany Lima</t>
        </is>
      </c>
      <c r="C5" s="70">
        <f>VLOOKUP(I:I,'Referencias '!H:I,2,0)</f>
        <v/>
      </c>
      <c r="D5" s="71" t="n">
        <v>12555846</v>
      </c>
      <c r="E5" s="71" t="n">
        <v>0</v>
      </c>
      <c r="F5" s="72" t="n">
        <v>2512611298969</v>
      </c>
      <c r="G5" s="72">
        <f>T5</f>
        <v/>
      </c>
      <c r="H5" s="72" t="n"/>
      <c r="I5" s="70" t="inlineStr">
        <is>
          <t>Ajuste de cobrança / faturamento</t>
        </is>
      </c>
      <c r="J5" s="72" t="n"/>
      <c r="K5" s="72" t="n"/>
      <c r="L5" s="70" t="inlineStr">
        <is>
          <t>FINALIZADO</t>
        </is>
      </c>
      <c r="M5" s="73" t="inlineStr">
        <is>
          <t>Médio</t>
        </is>
      </c>
      <c r="N5" s="71" t="inlineStr">
        <is>
          <t>Análise e Ajuste Condições | Boa Supermercado e Superpão | 1018 | 213299</t>
        </is>
      </c>
      <c r="O5" s="74" t="n">
        <v>45783</v>
      </c>
      <c r="P5" s="123" t="n">
        <v>46003</v>
      </c>
      <c r="Q5" s="177">
        <f>TEXT(O5,"mmm/aaaa")</f>
        <v/>
      </c>
      <c r="R5" s="71" t="inlineStr">
        <is>
          <t>Vanessa dos Santos Araujo</t>
        </is>
      </c>
      <c r="S5" s="71" t="inlineStr">
        <is>
          <t>support@braspag.zendesk.com</t>
        </is>
      </c>
      <c r="T5" s="71" t="inlineStr">
        <is>
          <t>SUPERMERCADOS BOA LJ01</t>
        </is>
      </c>
      <c r="U5"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 Não escreva abaixo desta linha -##
Você está registrado como CC nesta solicitação de suporte (213299). Responda este email para adicionar um comentário à solicitação.
[https://braspag.zendesk.com/images/2016/default-avatar-80.png]
Vanessa dos Santos Araujo (Cielo e-commerce)
6 de mai. de 2025, 11:16 BRT
Observação privada
Gabriela
gabrielao@cielo.com.br
  *   Empresa: Braspag
  *   CNPJ: Gabriela
  *   Causa raiz financeiro: Gabriela
  *   Responsável pela demanda: Vanessa dos Santos Araujo
[https://braspag.zendesk.com/images/201</t>
        </is>
      </c>
      <c r="V5" s="71" t="inlineStr">
        <is>
          <t>Sem descrição</t>
        </is>
      </c>
      <c r="W5" s="76">
        <f>_xlfn.CONCAT(D5:E5)</f>
        <v/>
      </c>
      <c r="X5" s="77" t="n">
        <v>46245</v>
      </c>
      <c r="Y5" s="78">
        <f>IF(X5="","Aberto","Encerrado")</f>
        <v/>
      </c>
      <c r="Z5" s="78">
        <f>IF(OR(L5="PENDENTE",L5="EM ANDAMENTO",L5="PENDENTE APROVAÇÃO CANCELAMENTO NF"),TODAY()-O5,X5-O5)</f>
        <v/>
      </c>
      <c r="AA5" s="78">
        <f>IF(Y5="Aberto",Z5+ROW()/100000,"")</f>
        <v/>
      </c>
      <c r="AB5" s="2">
        <f>IF(ISNUMBER(FIND("@cielo.com.br",S5)),"Interno","Externo")</f>
        <v/>
      </c>
      <c r="AC5" t="inlineStr">
        <is>
          <t>Atualizar dados cadastrais, e-mail ou telefone.</t>
        </is>
      </c>
      <c r="AD5" t="inlineStr">
        <is>
          <t>adicionar + email</t>
        </is>
      </c>
      <c r="AE5" t="inlineStr">
        <is>
          <t>Atualização cadastral</t>
        </is>
      </c>
      <c r="AF5" t="inlineStr">
        <is>
          <t>Contrato/Cadastro</t>
        </is>
      </c>
      <c r="AG5" t="inlineStr">
        <is>
          <t>Contratos, Comercial e Cadastro</t>
        </is>
      </c>
      <c r="AI5" t="inlineStr">
        <is>
          <t>INT_CON_CADASTRO</t>
        </is>
      </c>
      <c r="AJ5" t="inlineStr">
        <is>
          <t>Sugerida</t>
        </is>
      </c>
      <c r="AK5" t="b">
        <v>0</v>
      </c>
      <c r="AN5">
        <f>IF(OR(AG5="",AM5=""),"",IF(AG5=AM5,"SIM","NÃO"))</f>
        <v/>
      </c>
      <c r="AO5" t="inlineStr">
        <is>
          <t>CLASSIFIED_PATTERN</t>
        </is>
      </c>
    </row>
    <row r="6" ht="15.5" customHeight="1">
      <c r="A6" s="1" t="n"/>
      <c r="B6" s="67" t="inlineStr">
        <is>
          <t>Stephany Lima</t>
        </is>
      </c>
      <c r="C6" s="70">
        <f>VLOOKUP(I:I,'Referencias '!H:I,2,0)</f>
        <v/>
      </c>
      <c r="D6" s="71" t="n">
        <v>13696702</v>
      </c>
      <c r="E6" s="71" t="n">
        <v>0</v>
      </c>
      <c r="F6" s="72" t="n">
        <v>2517719314576</v>
      </c>
      <c r="G6" s="72">
        <f>T6</f>
        <v/>
      </c>
      <c r="H6" s="72" t="n"/>
      <c r="I6" s="70" t="inlineStr">
        <is>
          <t>Ajuste de cobrança / faturamento</t>
        </is>
      </c>
      <c r="J6" s="72" t="n"/>
      <c r="K6" s="72" t="n"/>
      <c r="L6" s="70" t="inlineStr">
        <is>
          <t>FINALIZADO</t>
        </is>
      </c>
      <c r="M6" s="73" t="inlineStr">
        <is>
          <t>Médio</t>
        </is>
      </c>
      <c r="N6" s="71" t="inlineStr">
        <is>
          <t>1018 Financeiro | Desejo falar com o setor financeiro | Fernanda Camarneira | fernanda.scamarneira@cielo.com.br</t>
        </is>
      </c>
      <c r="O6" s="74" t="n">
        <v>45834</v>
      </c>
      <c r="P6" s="123" t="n">
        <v>45947</v>
      </c>
      <c r="Q6" s="177">
        <f>TEXT(O6,"mmm/aaaa")</f>
        <v/>
      </c>
      <c r="R6" s="71" t="inlineStr">
        <is>
          <t>Vanessa dos Santos Araujo</t>
        </is>
      </c>
      <c r="S6" s="71" t="inlineStr">
        <is>
          <t>fernanda.scamarneira@cielo.com.br</t>
        </is>
      </c>
      <c r="T6" s="71" t="inlineStr">
        <is>
          <t>www soares com br</t>
        </is>
      </c>
      <c r="U6" s="71" t="inlineStr">
        <is>
          <t>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
realizou um upgrade de plano de antifraude Hierarquia para Advanced em 08/01/2025.
Mas como já tinha um contrato com outra data de aniversário, já teve o reajuste aplicado agora em maio/2025 no analista advanced.
Nos outros produtos está certo, precisamos aplicar.
Mas no analista advanced precisamos r</t>
        </is>
      </c>
      <c r="V6" s="71">
        <f>IFERROR(_xlfn.TEXTBEFORE(_xlfn.TEXTAFTER(U6,"Descrição do problema:&lt;/strong"),"&lt;/p&gt;"),_xlfn.TEXTAFTER(U6,"Descrição do problema:&lt;/strong"))</f>
        <v/>
      </c>
      <c r="W6" s="76">
        <f>_xlfn.CONCAT(D6:E6)</f>
        <v/>
      </c>
      <c r="X6" s="77" t="n">
        <v>46245</v>
      </c>
      <c r="Y6" s="78">
        <f>IF(X6="","Aberto","Encerrado")</f>
        <v/>
      </c>
      <c r="Z6" s="78">
        <f>IF(OR(L6="PENDENTE",L6="EM ANDAMENTO",L6="PENDENTE APROVAÇÃO CANCELAMENTO NF"),TODAY()-O6,X6-O6)</f>
        <v/>
      </c>
      <c r="AA6" s="78">
        <f>IF(Y6="Aberto",Z6+ROW()/100000,"")</f>
        <v/>
      </c>
      <c r="AB6" s="2">
        <f>IF(ISNUMBER(FIND("@cielo.com.br",S6)),"Interno","Externo")</f>
        <v/>
      </c>
      <c r="AC6" t="inlineStr">
        <is>
          <t>Alterar, renegociar ou atualizar condições comerciais ou contratuais.</t>
        </is>
      </c>
      <c r="AD6" t="inlineStr">
        <is>
          <t>data de aniversário + contrato</t>
        </is>
      </c>
      <c r="AE6" t="inlineStr">
        <is>
          <t>Pendente retorno comercial</t>
        </is>
      </c>
      <c r="AF6" t="inlineStr">
        <is>
          <t>Contrato/Cadastro</t>
        </is>
      </c>
      <c r="AG6" t="inlineStr">
        <is>
          <t>Contratos, Comercial e Cadastro</t>
        </is>
      </c>
      <c r="AI6" t="inlineStr">
        <is>
          <t>INT_CON_CONDICOES</t>
        </is>
      </c>
      <c r="AJ6" t="inlineStr">
        <is>
          <t>Sugerida</t>
        </is>
      </c>
      <c r="AK6" t="b">
        <v>0</v>
      </c>
      <c r="AN6">
        <f>IF(OR(AG6="",AM6=""),"",IF(AG6=AM6,"SIM","NÃO"))</f>
        <v/>
      </c>
      <c r="AO6" t="inlineStr">
        <is>
          <t>CLASSIFIED_PATTERN</t>
        </is>
      </c>
    </row>
    <row r="7" ht="15.5" customHeight="1">
      <c r="A7" s="1" t="n"/>
      <c r="B7" s="67" t="inlineStr">
        <is>
          <t>Stephany Lima</t>
        </is>
      </c>
      <c r="C7" s="70">
        <f>VLOOKUP(I:I,'Referencias '!H:I,2,0)</f>
        <v/>
      </c>
      <c r="D7" s="71" t="n">
        <v>13768449</v>
      </c>
      <c r="E7" s="71" t="n">
        <v>0</v>
      </c>
      <c r="F7" s="72" t="n">
        <v>2518211378652</v>
      </c>
      <c r="G7" s="72">
        <f>T7</f>
        <v/>
      </c>
      <c r="H7" s="72" t="n"/>
      <c r="I7" s="70" t="inlineStr">
        <is>
          <t>Ajuste de cobrança / faturamento</t>
        </is>
      </c>
      <c r="J7" s="72" t="n"/>
      <c r="K7" s="72" t="n"/>
      <c r="L7" s="70" t="inlineStr">
        <is>
          <t>FINALIZADO</t>
        </is>
      </c>
      <c r="M7" s="73" t="inlineStr">
        <is>
          <t>Médio</t>
        </is>
      </c>
      <c r="N7" s="71" t="inlineStr">
        <is>
          <t>1018 Financeiro | Desejo falar com o setor financeiro | Danilo | danilo_nunes@carrefour.com</t>
        </is>
      </c>
      <c r="O7" s="74" t="n">
        <v>45839</v>
      </c>
      <c r="P7" s="123" t="n">
        <v>45945</v>
      </c>
      <c r="Q7" s="177">
        <f>TEXT(O7,"mmm/aaaa")</f>
        <v/>
      </c>
      <c r="R7" s="71" t="inlineStr">
        <is>
          <t>Vanessa dos Santos Araujo</t>
        </is>
      </c>
      <c r="S7" s="71" t="inlineStr">
        <is>
          <t>danilo_nunes@carrefour.com</t>
        </is>
      </c>
      <c r="T7" s="71" t="inlineStr">
        <is>
          <t>CIELO SAINSTITUICAO DE PAGAMENTO</t>
        </is>
      </c>
      <c r="U7" s="71" t="inlineStr">
        <is>
          <t>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Para este faturamento de junho notificamos a necessidade da aplicação de um desconto referente ao retroativo do mês de abril R$37,55 
Chamado de Abril : 
Antigo: 216094
Atual: 2512611299293
Faturamento Braspag | Abril 2024 | 1018 | ticket.id
Por favor seguir com cancelamento da N</t>
        </is>
      </c>
      <c r="V7" s="71">
        <f>IFERROR(_xlfn.TEXTBEFORE(_xlfn.TEXTAFTER(U7,"Descrição do problema:&lt;/strong"),"&lt;/p&gt;"),_xlfn.TEXTAFTER(U7,"Descrição do problema:&lt;/strong"))</f>
        <v/>
      </c>
      <c r="W7" s="76">
        <f>_xlfn.CONCAT(D7:E7)</f>
        <v/>
      </c>
      <c r="X7" s="77" t="n">
        <v>46245</v>
      </c>
      <c r="Y7" s="78">
        <f>IF(X7="","Aberto","Encerrado")</f>
        <v/>
      </c>
      <c r="Z7" s="78">
        <f>IF(OR(L7="PENDENTE",L7="EM ANDAMENTO",L7="PENDENTE APROVAÇÃO CANCELAMENTO NF"),TODAY()-O7,X7-O7)</f>
        <v/>
      </c>
      <c r="AA7" s="78">
        <f>IF(Y7="Aberto",Z7+ROW()/100000,"")</f>
        <v/>
      </c>
      <c r="AB7" s="2">
        <f>IF(ISNUMBER(FIND("@cielo.com.br",S7)),"Interno","Externo")</f>
        <v/>
      </c>
      <c r="AD7" t="inlineStr"/>
      <c r="AJ7" t="inlineStr">
        <is>
          <t>Sem correspondência</t>
        </is>
      </c>
      <c r="AK7" t="b">
        <v>0</v>
      </c>
      <c r="AN7">
        <f>IF(OR(AG7="",AM7=""),"",IF(AG7=AM7,"SIM","NÃO"))</f>
        <v/>
      </c>
      <c r="AO7" t="inlineStr">
        <is>
          <t>NO_PATTERN</t>
        </is>
      </c>
    </row>
    <row r="8" ht="15.5" customHeight="1">
      <c r="A8" s="1" t="n"/>
      <c r="B8" s="67" t="inlineStr">
        <is>
          <t>Vanessa Araujo</t>
        </is>
      </c>
      <c r="C8" s="70">
        <f>VLOOKUP(I:I,'Referencias '!H:I,2,0)</f>
        <v/>
      </c>
      <c r="D8" s="129" t="n">
        <v>13810507</v>
      </c>
      <c r="E8" s="71" t="n">
        <v>0</v>
      </c>
      <c r="F8" s="72" t="n">
        <v>2518315414788</v>
      </c>
      <c r="G8" s="72">
        <f>T8</f>
        <v/>
      </c>
      <c r="H8" s="72" t="n"/>
      <c r="I8" s="70" t="inlineStr">
        <is>
          <t>Cancelamento de contrato</t>
        </is>
      </c>
      <c r="J8" s="72" t="n"/>
      <c r="K8" s="72" t="n"/>
      <c r="L8" s="70" t="inlineStr">
        <is>
          <t>FINALIZADO</t>
        </is>
      </c>
      <c r="M8" s="73" t="inlineStr">
        <is>
          <t>Médio</t>
        </is>
      </c>
      <c r="N8" s="71" t="inlineStr">
        <is>
          <t>1003 Cancelamento de Contrato: Contábil Hub</t>
        </is>
      </c>
      <c r="O8" s="74" t="n">
        <v>45840</v>
      </c>
      <c r="P8" s="123" t="n">
        <v>46198</v>
      </c>
      <c r="Q8" s="177">
        <f>TEXT(O8,"mmm/aaaa")</f>
        <v/>
      </c>
      <c r="R8" s="71" t="inlineStr">
        <is>
          <t>Emilly Maria Sousa Almeida</t>
        </is>
      </c>
      <c r="S8" s="71" t="inlineStr">
        <is>
          <t>joiceo@cielo.com.br</t>
        </is>
      </c>
      <c r="T8" s="71" t="inlineStr">
        <is>
          <t>CIELO SAINSTITUICAO DE PAGAMENTO</t>
        </is>
      </c>
      <c r="U8" s="71" t="inlineStr">
        <is>
          <t>-json-{"CancelamentoDeContratoId":"a0UNp00000YAtioMAD"}
- CNPJ da Conta: 30.170.362/0001-91
- Razão Social: CB AFONSO SERVICOS ADMINISTRATIVOS LTDA
- Transações Mensais: 200
- Data do Contrato: 17/11/2020
- Executivo: Caroline Matias da Costa
- Motivo: Encerramento das Atividades
- Justificativa: Encerramento das atividades.
- Tipo: Total
- Serviços: Cartão Protegido,Pagador
- Observações: 
- Conta SF Id: 0014o00001k7wONAAY</t>
        </is>
      </c>
      <c r="V8" s="71">
        <f>TRIM(_xlfn.TEXTAFTER(U8,"-json-",-1))</f>
        <v/>
      </c>
      <c r="W8" s="76">
        <f>_xlfn.CONCAT(D8:E8)</f>
        <v/>
      </c>
      <c r="X8" s="77" t="n">
        <v>46227</v>
      </c>
      <c r="Y8" s="78">
        <f>IF(X8="","Aberto","Encerrado")</f>
        <v/>
      </c>
      <c r="Z8" s="78">
        <f>IF(OR(L8="PENDENTE",L8="EM ANDAMENTO",L8="PENDENTE APROVAÇÃO CANCELAMENTO NF"),TODAY()-O8,X8-O8)</f>
        <v/>
      </c>
      <c r="AA8" s="78">
        <f>IF(Y8="Aberto",Z8+ROW()/100000,"")</f>
        <v/>
      </c>
      <c r="AB8" s="2">
        <f>IF(ISNUMBER(FIND("@cielo.com.br",S8)),"Interno","Externo")</f>
        <v/>
      </c>
      <c r="AC8" t="inlineStr">
        <is>
          <t>Cancelar contrato, serviço ou produto contratado.</t>
        </is>
      </c>
      <c r="AD8" t="inlineStr">
        <is>
          <t>encerramento das atividades + contrato</t>
        </is>
      </c>
      <c r="AE8" t="inlineStr">
        <is>
          <t>Cancelamento de contrato</t>
        </is>
      </c>
      <c r="AF8" t="inlineStr">
        <is>
          <t>Contrato/Cadastro</t>
        </is>
      </c>
      <c r="AG8" t="inlineStr">
        <is>
          <t>Contratos, Comercial e Cadastro</t>
        </is>
      </c>
      <c r="AI8" t="inlineStr">
        <is>
          <t>INT_CON_CANCELAMENTO</t>
        </is>
      </c>
      <c r="AJ8" t="inlineStr">
        <is>
          <t>Sugerida</t>
        </is>
      </c>
      <c r="AK8" t="b">
        <v>0</v>
      </c>
      <c r="AN8">
        <f>IF(OR(AG8="",AM8=""),"",IF(AG8=AM8,"SIM","NÃO"))</f>
        <v/>
      </c>
      <c r="AO8" t="inlineStr">
        <is>
          <t>CLASSIFIED_PATTERN</t>
        </is>
      </c>
    </row>
    <row r="9" ht="15.5" customHeight="1">
      <c r="A9" s="1" t="n"/>
      <c r="B9" s="67" t="inlineStr">
        <is>
          <t>Stephany Lima</t>
        </is>
      </c>
      <c r="C9" s="70">
        <f>VLOOKUP(I:I,'Referencias '!H:I,2,0)</f>
        <v/>
      </c>
      <c r="D9" s="71" t="n">
        <v>15816740</v>
      </c>
      <c r="E9" s="71" t="n">
        <v>0</v>
      </c>
      <c r="F9" s="72" t="n">
        <v>2526910101742</v>
      </c>
      <c r="G9" s="72">
        <f>VLOOKUP(H:H,'Referencias '!B:C,2,0)</f>
        <v/>
      </c>
      <c r="H9" s="72">
        <f>TRIM(_xlfn.TEXTBEFORE(_xlfn.TEXTAFTER(U9,"CNPJ/CPF:&lt;/strong&gt;"),"&lt;/p&gt;"))</f>
        <v/>
      </c>
      <c r="I9" s="70" t="inlineStr">
        <is>
          <t>Dúvidas sobre cobrança</t>
        </is>
      </c>
      <c r="J9" s="72" t="n"/>
      <c r="K9" s="72" t="n"/>
      <c r="L9" s="70" t="inlineStr">
        <is>
          <t>FINALIZADO</t>
        </is>
      </c>
      <c r="M9" s="73" t="inlineStr">
        <is>
          <t>Médio</t>
        </is>
      </c>
      <c r="N9" s="71" t="inlineStr">
        <is>
          <t>1011 Velocity Check | Estou em produção e tenho uma dúvida | Monica Murer | monica.murer@newfold.com</t>
        </is>
      </c>
      <c r="O9" s="74" t="n">
        <v>45926</v>
      </c>
      <c r="P9" s="123" t="n">
        <v>46028</v>
      </c>
      <c r="Q9" s="177">
        <f>TEXT(O9,"mmm/aaaa")</f>
        <v/>
      </c>
      <c r="R9" s="71" t="inlineStr">
        <is>
          <t>STEPHANY LIMA DE LISBOA</t>
        </is>
      </c>
      <c r="S9" s="71" t="inlineStr">
        <is>
          <t>monica.murer@newfold.com</t>
        </is>
      </c>
      <c r="T9" s="71" t="inlineStr">
        <is>
          <t>HOSTGATOR HOSP SITES</t>
        </is>
      </c>
      <c r="U9" s="71" t="inlineStr">
        <is>
          <t>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
No entanto, desde março, estamos notando valores diferentes e discrepantes nas cobranças.
Segue abaixo valores reconhecidos na despesa de acordo com as NFs. 
Jan/Fev - R$466 / Mar - R$506 / Abr - R$763 / Mai - R$829 / Jun</t>
        </is>
      </c>
      <c r="V9" s="71">
        <f>IFERROR(_xlfn.TEXTBEFORE(_xlfn.TEXTAFTER(U9,"Descrição do problema:&lt;/strong"),"&lt;/p&gt;"),_xlfn.TEXTAFTER(U9,"Descrição do problema:&lt;/strong"))</f>
        <v/>
      </c>
      <c r="W9" s="76">
        <f>_xlfn.CONCAT(D9:E9)</f>
        <v/>
      </c>
      <c r="X9" s="77" t="n">
        <v>46245</v>
      </c>
      <c r="Y9" s="78">
        <f>IF(X9="","Aberto","Encerrado")</f>
        <v/>
      </c>
      <c r="Z9" s="78">
        <f>IF(OR(L9="PENDENTE",L9="EM ANDAMENTO",L9="PENDENTE APROVAÇÃO CANCELAMENTO NF"),TODAY()-O9,X9-O9)</f>
        <v/>
      </c>
      <c r="AA9" s="78">
        <f>IF(Y9="Aberto",Z9+ROW()/100000,"")</f>
        <v/>
      </c>
      <c r="AB9" s="2">
        <f>IF(ISNUMBER(FIND("@cielo.com.br",S9)),"Interno","Externo")</f>
        <v/>
      </c>
      <c r="AC9" t="inlineStr">
        <is>
          <t>Contestar divergência, valor ou critério de cobrança.</t>
        </is>
      </c>
      <c r="AD9" t="inlineStr">
        <is>
          <t>OBJETO:COBRANCA; OBJETO:CONTRATO; OBJETO:NOTA_FISCAL; CONTEXTO:DIVERGENCIA</t>
        </is>
      </c>
      <c r="AE9" t="inlineStr">
        <is>
          <t>Contestação de cobrança</t>
        </is>
      </c>
      <c r="AF9" t="inlineStr">
        <is>
          <t>Valor Cobrado</t>
        </is>
      </c>
      <c r="AG9" t="inlineStr">
        <is>
          <t>Cobrança e Contestação</t>
        </is>
      </c>
      <c r="AI9" t="inlineStr">
        <is>
          <t>INT_COB_CONTESTACAO</t>
        </is>
      </c>
      <c r="AJ9" t="inlineStr">
        <is>
          <t>Sugerida</t>
        </is>
      </c>
      <c r="AK9" t="b">
        <v>0</v>
      </c>
      <c r="AN9">
        <f>IF(OR(AG9="",AM9=""),"",IF(AG9=AM9,"SIM","NÃO"))</f>
        <v/>
      </c>
      <c r="AO9" t="inlineStr">
        <is>
          <t>CLASSIFIED_SIGNATURE</t>
        </is>
      </c>
    </row>
    <row r="10" ht="15.5" customHeight="1">
      <c r="A10" s="1" t="n"/>
      <c r="B10" s="67" t="inlineStr">
        <is>
          <t>Stephany Lima</t>
        </is>
      </c>
      <c r="C10" s="70">
        <f>VLOOKUP(I:I,'Referencias '!H:I,2,0)</f>
        <v/>
      </c>
      <c r="D10" s="71" t="n">
        <v>16424808</v>
      </c>
      <c r="E10" s="71" t="n">
        <v>0</v>
      </c>
      <c r="F10" s="72" t="n">
        <v>2529414584699</v>
      </c>
      <c r="G10" s="72">
        <f>VLOOKUP(H:H,'Referencias '!B:C,2,0)</f>
        <v/>
      </c>
      <c r="H10" s="72">
        <f>TRIM(_xlfn.TEXTBEFORE(_xlfn.TEXTAFTER(U10,"CNPJ/CPF:&lt;/strong&gt;"),"&lt;/p&gt;"))</f>
        <v/>
      </c>
      <c r="I10" s="70" t="inlineStr">
        <is>
          <t>Cancelamento de NF</t>
        </is>
      </c>
      <c r="J10" s="72" t="n"/>
      <c r="K10" s="72" t="n"/>
      <c r="L10" s="70" t="inlineStr">
        <is>
          <t>FINALIZADO</t>
        </is>
      </c>
      <c r="M10" s="73" t="inlineStr">
        <is>
          <t>Médio</t>
        </is>
      </c>
      <c r="N10" s="71" t="inlineStr">
        <is>
          <t>1018 Financeiro | Desejo falar com o setor financeiro | Pâmela | pamela.cristina@santuarionacional.com</t>
        </is>
      </c>
      <c r="O10" s="74" t="n">
        <v>45951</v>
      </c>
      <c r="P10" s="123" t="n">
        <v>46202</v>
      </c>
      <c r="Q10" s="177">
        <f>TEXT(O10,"mmm/aaaa")</f>
        <v/>
      </c>
      <c r="R10" s="71" t="inlineStr">
        <is>
          <t>Vanessa dos Santos Araujo</t>
        </is>
      </c>
      <c r="S10" s="71" t="inlineStr">
        <is>
          <t>pamela.cristina@santuarionacional.com</t>
        </is>
      </c>
      <c r="T10" s="71" t="inlineStr">
        <is>
          <t>SANTUARIO CV1</t>
        </is>
      </c>
      <c r="U10" s="71" t="inlineStr">
        <is>
          <t>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t>
        </is>
      </c>
      <c r="V10" s="71">
        <f>IFERROR(_xlfn.TEXTBEFORE(_xlfn.TEXTAFTER(U10,"Descrição do problema:&lt;/strong"),"&lt;/p&gt;"),_xlfn.TEXTAFTER(U10,"Descrição do problema:&lt;/strong"))</f>
        <v/>
      </c>
      <c r="W10" s="76">
        <f>_xlfn.CONCAT(D10:E10)</f>
        <v/>
      </c>
      <c r="X10" s="77" t="n">
        <v>46246</v>
      </c>
      <c r="Y10" s="78">
        <f>IF(X10="","Aberto","Encerrado")</f>
        <v/>
      </c>
      <c r="Z10" s="78">
        <f>IF(OR(L10="PENDENTE",L10="EM ANDAMENTO",L10="PENDENTE APROVAÇÃO CANCELAMENTO NF"),TODAY()-O10,X10-O10)</f>
        <v/>
      </c>
      <c r="AA10" s="78">
        <f>IF(Y10="Aberto",Z10+ROW()/100000,"")</f>
        <v/>
      </c>
      <c r="AB10" s="2">
        <f>IF(ISNUMBER(FIND("@cielo.com.br",S10)),"Interno","Externo")</f>
        <v/>
      </c>
      <c r="AC10" t="inlineStr">
        <is>
          <t>Contestar divergência, valor ou critério de cobrança.</t>
        </is>
      </c>
      <c r="AD10" t="inlineStr">
        <is>
          <t>cobrança + contrato</t>
        </is>
      </c>
      <c r="AE10" t="inlineStr">
        <is>
          <t>Contestação de cobrança</t>
        </is>
      </c>
      <c r="AF10" t="inlineStr">
        <is>
          <t>Valor Cobrado</t>
        </is>
      </c>
      <c r="AG10" t="inlineStr">
        <is>
          <t>Cobrança e Contestação</t>
        </is>
      </c>
      <c r="AI10" t="inlineStr">
        <is>
          <t>INT_COB_CONTESTACAO</t>
        </is>
      </c>
      <c r="AJ10" t="inlineStr">
        <is>
          <t>Sugerida</t>
        </is>
      </c>
      <c r="AK10" t="b">
        <v>0</v>
      </c>
      <c r="AN10">
        <f>IF(OR(AG10="",AM10=""),"",IF(AG10=AM10,"SIM","NÃO"))</f>
        <v/>
      </c>
      <c r="AO10" t="inlineStr">
        <is>
          <t>CLASSIFIED_PATTERN</t>
        </is>
      </c>
    </row>
    <row r="11" ht="15.5" customHeight="1">
      <c r="A11" s="1" t="n"/>
      <c r="B11" s="67" t="inlineStr">
        <is>
          <t>Stephany Lima</t>
        </is>
      </c>
      <c r="C11" s="70">
        <f>VLOOKUP(I:I,'Referencias '!H:I,2,0)</f>
        <v/>
      </c>
      <c r="D11" s="71" t="n">
        <v>17076598</v>
      </c>
      <c r="E11" s="71" t="n">
        <v>0</v>
      </c>
      <c r="F11" s="72" t="n">
        <v>2531710061695</v>
      </c>
      <c r="G11" s="72">
        <f>T11</f>
        <v/>
      </c>
      <c r="H11" s="72">
        <f>TRIM(_xlfn.TEXTBEFORE(_xlfn.TEXTAFTER(U11,"CNPJ/CPF:&lt;/strong&gt;"),"&lt;/p&gt;"))</f>
        <v/>
      </c>
      <c r="I11" s="70" t="inlineStr">
        <is>
          <t>Cobrança retroativa</t>
        </is>
      </c>
      <c r="J11" s="72" t="n"/>
      <c r="K11" s="72" t="n"/>
      <c r="L11" s="70" t="inlineStr">
        <is>
          <t>FINALIZADO</t>
        </is>
      </c>
      <c r="M11" s="73" t="inlineStr">
        <is>
          <t>Médio</t>
        </is>
      </c>
      <c r="N11" s="71" t="inlineStr">
        <is>
          <t>1018 Financeiro | Desejo falar com o setor financeiro | Caroline Mendes | carolineal@cielo.com.br</t>
        </is>
      </c>
      <c r="O11" s="74" t="n">
        <v>45974</v>
      </c>
      <c r="P11" s="123" t="n">
        <v>46002</v>
      </c>
      <c r="Q11" s="177">
        <f>TEXT(O11,"mmm/aaaa")</f>
        <v/>
      </c>
      <c r="R11" s="71" t="inlineStr">
        <is>
          <t>STEPHANY LIMA DE LISBOA</t>
        </is>
      </c>
      <c r="S11" s="71" t="inlineStr">
        <is>
          <t>carolineal@cielo.com.br</t>
        </is>
      </c>
      <c r="T11" s="71" t="inlineStr">
        <is>
          <t>COVABRA SUPERMERCADOS LTDA</t>
        </is>
      </c>
      <c r="U11" s="71" t="inlineStr">
        <is>
          <t>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
Identifiquei um erro na cobrança do Velocity Check do cliente Covabra.
Atualmente, o contrato prevê cobrança padrão por tarifa e mínimo mensal de 500 transações.
Porém, o cliente está sendo cobrado apenas pelo mínimo mensal, mesmo realizando bem mais que as 500 transações — em média, cerca de 3.000 transações por mês.
Precisamos corrigir o formato da cobrança. Pelo que verifiquei, essa inconsistência ocorre desde 2023.
Conseguem me ajudar com essa correção?
Qualquer dúvida, fico à disposição.
Abraç</t>
        </is>
      </c>
      <c r="V11" s="71">
        <f>IFERROR(_xlfn.TEXTBEFORE(_xlfn.TEXTAFTER(U11,"Descrição do problema:&lt;/strong"),"&lt;/p&gt;"),_xlfn.TEXTAFTER(U11,"Descrição do problema:&lt;/strong"))</f>
        <v/>
      </c>
      <c r="W11" s="76">
        <f>_xlfn.CONCAT(D11:E11)</f>
        <v/>
      </c>
      <c r="X11" s="77" t="n">
        <v>46246</v>
      </c>
      <c r="Y11" s="78">
        <f>IF(X11="","Aberto","Encerrado")</f>
        <v/>
      </c>
      <c r="Z11" s="78">
        <f>IF(OR(L11="PENDENTE",L11="EM ANDAMENTO",L11="PENDENTE APROVAÇÃO CANCELAMENTO NF"),TODAY()-O11,X11-O11)</f>
        <v/>
      </c>
      <c r="AA11" s="78">
        <f>IF(Y11="Aberto",Z11+ROW()/100000,"")</f>
        <v/>
      </c>
      <c r="AB11" s="2">
        <f>IF(ISNUMBER(FIND("@cielo.com.br",S11)),"Interno","Externo")</f>
        <v/>
      </c>
      <c r="AC11" t="inlineStr">
        <is>
          <t>Contestar divergência, valor ou critério de cobrança.</t>
        </is>
      </c>
      <c r="AD11" t="inlineStr">
        <is>
          <t>cobrado apenas pelo mínimo; ajuste de cobrança; cobrança + contrato</t>
        </is>
      </c>
      <c r="AE11" t="inlineStr">
        <is>
          <t>Contestação de cobrança</t>
        </is>
      </c>
      <c r="AF11" t="inlineStr">
        <is>
          <t>Valor Cobrado</t>
        </is>
      </c>
      <c r="AG11" t="inlineStr">
        <is>
          <t>Cobrança e Contestação</t>
        </is>
      </c>
      <c r="AI11" t="inlineStr">
        <is>
          <t>INT_COB_CONTESTACAO</t>
        </is>
      </c>
      <c r="AJ11" t="inlineStr">
        <is>
          <t>Sugerida</t>
        </is>
      </c>
      <c r="AK11" t="b">
        <v>0</v>
      </c>
      <c r="AN11">
        <f>IF(OR(AG11="",AM11=""),"",IF(AG11=AM11,"SIM","NÃO"))</f>
        <v/>
      </c>
      <c r="AO11" t="inlineStr">
        <is>
          <t>CLASSIFIED_PATTERN</t>
        </is>
      </c>
    </row>
    <row r="12" ht="15.5" customHeight="1">
      <c r="A12" s="1" t="n"/>
      <c r="B12" s="67" t="inlineStr">
        <is>
          <t>Vanessa Araujo</t>
        </is>
      </c>
      <c r="C12" s="70">
        <f>VLOOKUP(I:I,'Referencias '!H:I,2,0)</f>
        <v/>
      </c>
      <c r="D12" s="129" t="n">
        <v>17118848</v>
      </c>
      <c r="E12" s="71" t="n">
        <v>0</v>
      </c>
      <c r="F12" s="72" t="n">
        <v>2531812093794</v>
      </c>
      <c r="G12" s="72">
        <f>VLOOKUP(H:H,'Referencias '!B:C,2,0)</f>
        <v/>
      </c>
      <c r="H12" s="72">
        <f>TRIM(_xlfn.TEXTBEFORE(_xlfn.TEXTAFTER(U12,"CNPJ/CPF:&lt;/strong&gt;"),"&lt;/p&gt;"))</f>
        <v/>
      </c>
      <c r="I12" s="70" t="inlineStr">
        <is>
          <t>Reenvio de boleto / NF</t>
        </is>
      </c>
      <c r="J12" s="72" t="n"/>
      <c r="K12" s="72" t="n"/>
      <c r="L12" s="70" t="inlineStr">
        <is>
          <t>FINALIZADO</t>
        </is>
      </c>
      <c r="M12" s="73" t="inlineStr">
        <is>
          <t>Médio</t>
        </is>
      </c>
      <c r="N12" s="71" t="inlineStr">
        <is>
          <t>1018 Financeiro | Desejo falar com o setor financeiro | Giulia | giuliac@cielo.com.br</t>
        </is>
      </c>
      <c r="O12" s="74" t="n">
        <v>45975</v>
      </c>
      <c r="P12" s="123" t="n">
        <v>46072</v>
      </c>
      <c r="Q12" s="177">
        <f>TEXT(O12,"mmm/aaaa")</f>
        <v/>
      </c>
      <c r="R12" s="71" t="inlineStr">
        <is>
          <t>STEPHANY LIMA DE LISBOA</t>
        </is>
      </c>
      <c r="S12" s="71" t="inlineStr">
        <is>
          <t>giuliac@cielo.com.br</t>
        </is>
      </c>
      <c r="T12" s="71" t="inlineStr">
        <is>
          <t>MAFE ACESSORIOS</t>
        </is>
      </c>
      <c r="U12" s="71" t="inlineStr">
        <is>
          <t>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
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t>
        </is>
      </c>
      <c r="V12" s="71">
        <f>IFERROR(_xlfn.TEXTBEFORE(_xlfn.TEXTAFTER(U12,"Descrição do problema:&lt;/strong"),"&lt;/p&gt;"),_xlfn.TEXTAFTER(U12,"Descrição do problema:&lt;/strong"))</f>
        <v/>
      </c>
      <c r="W12" s="76">
        <f>_xlfn.CONCAT(D12:E12)</f>
        <v/>
      </c>
      <c r="X12" s="77" t="n">
        <v>46231</v>
      </c>
      <c r="Y12" s="78">
        <f>IF(X12="","Aberto","Encerrado")</f>
        <v/>
      </c>
      <c r="Z12" s="78">
        <f>IF(OR(L12="PENDENTE",L12="EM ANDAMENTO",L12="PENDENTE APROVAÇÃO CANCELAMENTO NF"),TODAY()-O12,X12-O12)</f>
        <v/>
      </c>
      <c r="AA12" s="78">
        <f>IF(Y12="Aberto",Z12+ROW()/100000,"")</f>
        <v/>
      </c>
      <c r="AB12" s="2">
        <f>IF(ISNUMBER(FIND("@cielo.com.br",S12)),"Interno","Externo")</f>
        <v/>
      </c>
      <c r="AC12" t="inlineStr">
        <is>
          <t>Cancelar boleto ou interromper cobranças futuras ligadas a boleto.</t>
        </is>
      </c>
      <c r="AD12" t="inlineStr">
        <is>
          <t>ACAO:CANCELAR; OBJETO:BOLETO; OBJETO:COBRANCA; OBJETO:CONTRATO; CONTEXTO:DIVERGENCIA</t>
        </is>
      </c>
      <c r="AE12" t="inlineStr">
        <is>
          <t>Cancelamento de boleto</t>
        </is>
      </c>
      <c r="AF12" t="inlineStr">
        <is>
          <t>Título Financeiro</t>
        </is>
      </c>
      <c r="AG12" t="inlineStr">
        <is>
          <t>Pagamentos, Boletos e Recebimentos</t>
        </is>
      </c>
      <c r="AI12" t="inlineStr">
        <is>
          <t>INT_PAG_BOLETO_CANCELAMENTO</t>
        </is>
      </c>
      <c r="AJ12" t="inlineStr">
        <is>
          <t>Sugerida</t>
        </is>
      </c>
      <c r="AK12" t="b">
        <v>0</v>
      </c>
      <c r="AN12">
        <f>IF(OR(AG12="",AM12=""),"",IF(AG12=AM12,"SIM","NÃO"))</f>
        <v/>
      </c>
      <c r="AO12" t="inlineStr">
        <is>
          <t>CLASSIFIED_SIGNATURE</t>
        </is>
      </c>
    </row>
    <row r="13" ht="15.5" customHeight="1">
      <c r="A13" s="1" t="n"/>
      <c r="B13" s="67" t="inlineStr">
        <is>
          <t>Emilly Maria</t>
        </is>
      </c>
      <c r="C13" s="70">
        <f>VLOOKUP(I:I,'Referencias '!H:I,2,0)</f>
        <v/>
      </c>
      <c r="D13" s="71" t="n">
        <v>17218498</v>
      </c>
      <c r="E13" s="71" t="n">
        <v>0</v>
      </c>
      <c r="F13" s="72" t="n">
        <v>2532215161936</v>
      </c>
      <c r="G13" s="72">
        <f>T13</f>
        <v/>
      </c>
      <c r="H13" s="72" t="n"/>
      <c r="I13" s="70" t="inlineStr">
        <is>
          <t>Cancelamento de contrato</t>
        </is>
      </c>
      <c r="J13" s="72" t="n"/>
      <c r="K13" s="72" t="n"/>
      <c r="L13" s="70" t="inlineStr">
        <is>
          <t>FINALIZADO</t>
        </is>
      </c>
      <c r="M13" s="73" t="inlineStr">
        <is>
          <t>Médio</t>
        </is>
      </c>
      <c r="N13" s="71" t="inlineStr">
        <is>
          <t>Cancelamento Braspag</t>
        </is>
      </c>
      <c r="O13" s="74" t="n">
        <v>45979</v>
      </c>
      <c r="P13" s="123" t="n">
        <v>46199</v>
      </c>
      <c r="Q13" s="177">
        <f>TEXT(O13,"mmm/aaaa")</f>
        <v/>
      </c>
      <c r="R13" s="71" t="inlineStr">
        <is>
          <t>Emilly Maria Sousa Almeida</t>
        </is>
      </c>
      <c r="S13" s="71" t="inlineStr">
        <is>
          <t>denderadrugstore@gmail.com</t>
        </is>
      </c>
      <c r="T13" s="71" t="inlineStr">
        <is>
          <t>STYLO FARMA CURITIBA</t>
        </is>
      </c>
      <c r="U13"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Dendera</t>
        </is>
      </c>
      <c r="V13" s="71" t="inlineStr">
        <is>
          <t>Bom dia,
Até o momento não recebi qualquer retorno dos chamados abertos para resolver nossos problemas com as notas emitidas incorretas e estamos sendo notificados da cobrança dessas notas que desde quando emitidas foram solicitadas as substituições.</t>
        </is>
      </c>
      <c r="W13" s="76">
        <f>_xlfn.CONCAT(D13:E13)</f>
        <v/>
      </c>
      <c r="X13" s="77" t="n">
        <v>46234</v>
      </c>
      <c r="Y13" s="78">
        <f>IF(X13="","Aberto","Encerrado")</f>
        <v/>
      </c>
      <c r="Z13" s="78">
        <f>IF(OR(L13="PENDENTE",L13="EM ANDAMENTO",L13="PENDENTE APROVAÇÃO CANCELAMENTO NF"),TODAY()-O13,X13-O13)</f>
        <v/>
      </c>
      <c r="AA13" s="78">
        <f>IF(Y13="Aberto",Z13+ROW()/100000,"")</f>
        <v/>
      </c>
      <c r="AB13" s="2">
        <f>IF(ISNUMBER(FIND("@cielo.com.br",S13)),"Interno","Externo")</f>
        <v/>
      </c>
      <c r="AC13" t="inlineStr">
        <is>
          <t>Reenviar nota fiscal não recebida.</t>
        </is>
      </c>
      <c r="AD13" t="inlineStr">
        <is>
          <t>não recebi + nf</t>
        </is>
      </c>
      <c r="AE13" t="inlineStr">
        <is>
          <t>Reenvio de NF</t>
        </is>
      </c>
      <c r="AF13" t="inlineStr">
        <is>
          <t>Parâmetro de Faturamento</t>
        </is>
      </c>
      <c r="AG13" t="inlineStr">
        <is>
          <t>Faturamento e Obrigações Fiscais</t>
        </is>
      </c>
      <c r="AI13" t="inlineStr">
        <is>
          <t>INT_FAT_REENVIO_NF</t>
        </is>
      </c>
      <c r="AJ13" t="inlineStr">
        <is>
          <t>Sugerida</t>
        </is>
      </c>
      <c r="AK13" t="b">
        <v>0</v>
      </c>
      <c r="AN13">
        <f>IF(OR(AG13="",AM13=""),"",IF(AG13=AM13,"SIM","NÃO"))</f>
        <v/>
      </c>
      <c r="AO13" t="inlineStr">
        <is>
          <t>CLASSIFIED_PATTERN</t>
        </is>
      </c>
    </row>
    <row r="14" ht="15.5" customHeight="1">
      <c r="A14" s="1" t="n"/>
      <c r="B14" s="67" t="inlineStr">
        <is>
          <t>Stephany Lima</t>
        </is>
      </c>
      <c r="C14" s="70">
        <f>VLOOKUP(I:I,'Referencias '!H:I,2,0)</f>
        <v/>
      </c>
      <c r="D14" s="71" t="n">
        <v>17351325</v>
      </c>
      <c r="E14" s="71" t="n">
        <v>0</v>
      </c>
      <c r="F14" s="72" t="n">
        <v>2532815256004</v>
      </c>
      <c r="G14" s="72">
        <f>VLOOKUP(H:H,'Referencias '!B:C,2,0)</f>
        <v/>
      </c>
      <c r="H14" s="72">
        <f>TRIM(_xlfn.TEXTBEFORE(_xlfn.TEXTAFTER(U14,"CNPJ/CPF:&lt;/strong&gt;"),"&lt;/p&gt;"))</f>
        <v/>
      </c>
      <c r="I14" s="70" t="inlineStr">
        <is>
          <t>Cancelamento de NF</t>
        </is>
      </c>
      <c r="J14" s="72" t="n"/>
      <c r="K14" s="72" t="n"/>
      <c r="L14" s="70" t="inlineStr">
        <is>
          <t>FINALIZADO</t>
        </is>
      </c>
      <c r="M14" s="73" t="inlineStr">
        <is>
          <t>Médio</t>
        </is>
      </c>
      <c r="N14" s="71" t="inlineStr">
        <is>
          <t>1018 Financeiro | Desejo falar com o setor financeiro | Clarissa Rissi | clarissa.rissi@cielo.com.br</t>
        </is>
      </c>
      <c r="O14" s="74" t="n">
        <v>45985</v>
      </c>
      <c r="P14" s="123" t="n">
        <v>46030</v>
      </c>
      <c r="Q14" s="177">
        <f>TEXT(O14,"mmm/aaaa")</f>
        <v/>
      </c>
      <c r="R14" s="71" t="inlineStr">
        <is>
          <t>STEPHANY LIMA DE LISBOA</t>
        </is>
      </c>
      <c r="S14" s="71" t="inlineStr">
        <is>
          <t>clarissa.rissi@cielo.com.br</t>
        </is>
      </c>
      <c r="T14" s="71" t="inlineStr">
        <is>
          <t>PEMAZA</t>
        </is>
      </c>
      <c r="U14" s="71" t="inlineStr">
        <is>
          <t>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
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
Já temos o DA do Pelizon para canclemanto das notas: 91732, 92588, 92669, 92944, 93419,94521,94588,94765, 95540. (em anexo histórico de troca de emails sobre o caso e DA).&lt;/p&gt;&lt;p&gt;&lt;strong&gt;ID da t</t>
        </is>
      </c>
      <c r="V14" s="71">
        <f>IFERROR(_xlfn.TEXTBEFORE(_xlfn.TEXTAFTER(U14,"Descrição do problema:&lt;/strong"),"&lt;/p&gt;"),_xlfn.TEXTAFTER(U14,"Descrição do problema:&lt;/strong"))</f>
        <v/>
      </c>
      <c r="W14" s="76">
        <f>_xlfn.CONCAT(D14:E14)</f>
        <v/>
      </c>
      <c r="X14" s="77" t="n">
        <v>46246</v>
      </c>
      <c r="Y14" s="78">
        <f>IF(X14="","Aberto","Encerrado")</f>
        <v/>
      </c>
      <c r="Z14" s="78">
        <f>IF(OR(L14="PENDENTE",L14="EM ANDAMENTO",L14="PENDENTE APROVAÇÃO CANCELAMENTO NF"),TODAY()-O14,X14-O14)</f>
        <v/>
      </c>
      <c r="AA14" s="78">
        <f>IF(Y14="Aberto",Z14+ROW()/100000,"")</f>
        <v/>
      </c>
      <c r="AB14" s="2">
        <f>IF(ISNUMBER(FIND("@cielo.com.br",S14)),"Interno","Externo")</f>
        <v/>
      </c>
      <c r="AC14" t="inlineStr">
        <is>
          <t>Congelar ou suspender temporariamente contrato ou serviço.</t>
        </is>
      </c>
      <c r="AD14" t="inlineStr">
        <is>
          <t>ACAO:CANCELAR; ACAO:SUSPENDER; OBJETO:COBRANCA; OBJETO:CONTRATO; OBJETO:SUSPENDER</t>
        </is>
      </c>
      <c r="AE14" t="inlineStr">
        <is>
          <t>Congelamento de contrato</t>
        </is>
      </c>
      <c r="AF14" t="inlineStr">
        <is>
          <t>Contrato/Cadastro</t>
        </is>
      </c>
      <c r="AG14" t="inlineStr">
        <is>
          <t>Contratos, Comercial e Cadastro</t>
        </is>
      </c>
      <c r="AI14" t="inlineStr">
        <is>
          <t>INT_CON_CONGELAMENTO</t>
        </is>
      </c>
      <c r="AJ14" t="inlineStr">
        <is>
          <t>Sugerida</t>
        </is>
      </c>
      <c r="AK14" t="b">
        <v>0</v>
      </c>
      <c r="AN14">
        <f>IF(OR(AG14="",AM14=""),"",IF(AG14=AM14,"SIM","NÃO"))</f>
        <v/>
      </c>
      <c r="AO14" t="inlineStr">
        <is>
          <t>CLASSIFIED_SIGNATURE</t>
        </is>
      </c>
    </row>
    <row r="15" ht="15.5" customHeight="1">
      <c r="A15" s="1" t="n"/>
      <c r="B15" s="67" t="inlineStr">
        <is>
          <t>Stephany Lima</t>
        </is>
      </c>
      <c r="C15" s="70">
        <f>VLOOKUP(I:I,'Referencias '!H:I,2,0)</f>
        <v/>
      </c>
      <c r="D15" s="71" t="n">
        <v>17584342</v>
      </c>
      <c r="E15" s="71" t="n">
        <v>0</v>
      </c>
      <c r="F15" s="72" t="n">
        <v>2533610419559</v>
      </c>
      <c r="G15" s="72">
        <f>VLOOKUP(H:H,'Referencias '!B:C,2,0)</f>
        <v/>
      </c>
      <c r="H15" s="72">
        <f>TRIM(_xlfn.TEXTBEFORE(_xlfn.TEXTAFTER(U15,"CNPJ/CPF:&lt;/strong&gt;"),"&lt;/p&gt;"))</f>
        <v/>
      </c>
      <c r="I15" s="70" t="inlineStr">
        <is>
          <t>Contestação de cobrança</t>
        </is>
      </c>
      <c r="J15" s="72" t="n"/>
      <c r="K15" s="72" t="n"/>
      <c r="L15" s="70" t="inlineStr">
        <is>
          <t>FINALIZADO</t>
        </is>
      </c>
      <c r="M15" s="73" t="inlineStr">
        <is>
          <t>Médio</t>
        </is>
      </c>
      <c r="N15" s="71" t="inlineStr">
        <is>
          <t>1018 Financeiro | Desejo falar com o setor financeiro | GIOVANNA | giovannabellotto@momentum.com.br</t>
        </is>
      </c>
      <c r="O15" s="74" t="n">
        <v>45993</v>
      </c>
      <c r="P15" s="123" t="n">
        <v>46000</v>
      </c>
      <c r="Q15" s="177">
        <f>TEXT(O15,"mmm/aaaa")</f>
        <v/>
      </c>
      <c r="R15" s="71" t="inlineStr">
        <is>
          <t>STEPHANY LIMA DE LISBOA</t>
        </is>
      </c>
      <c r="S15" s="71" t="inlineStr">
        <is>
          <t>giovannabellotto@momentum.com.br</t>
        </is>
      </c>
      <c r="T15" s="71" t="inlineStr">
        <is>
          <t>MOMENTUM EMPREEND IMOB</t>
        </is>
      </c>
      <c r="U15" s="71" t="inlineStr">
        <is>
          <t>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
Durante a conferência das faturas recentes, identifiquei divergências no reajuste aplicado, tanto no valor mensal quanto nas tarifas por transação, que não estão de acordo com o contrato vigente.
Conforme estabelecido contratualmente, o reajuste anual deve seguir exclusivamente a variação positiva do IGP-M/FGV. Para o período correspondente de 11/2024 a 10/2025, o índice acumulado é de 0,91635%, conforme cálculo oficial da Calculadora do Cidadão – Banco C</t>
        </is>
      </c>
      <c r="V15" s="71">
        <f>IFERROR(_xlfn.TEXTBEFORE(_xlfn.TEXTAFTER(U15,"Descrição do problema:&lt;/strong"),"&lt;/p&gt;"),_xlfn.TEXTAFTER(U15,"Descrição do problema:&lt;/strong"))</f>
        <v/>
      </c>
      <c r="W15" s="76">
        <f>_xlfn.CONCAT(D15:E15)</f>
        <v/>
      </c>
      <c r="X15" s="77" t="n">
        <v>46246</v>
      </c>
      <c r="Y15" s="78">
        <f>IF(X15="","Aberto","Encerrado")</f>
        <v/>
      </c>
      <c r="Z15" s="78">
        <f>IF(OR(L15="PENDENTE",L15="EM ANDAMENTO",L15="PENDENTE APROVAÇÃO CANCELAMENTO NF"),TODAY()-O15,X15-O15)</f>
        <v/>
      </c>
      <c r="AA15" s="78">
        <f>IF(Y15="Aberto",Z15+ROW()/100000,"")</f>
        <v/>
      </c>
      <c r="AB15" s="2">
        <f>IF(ISNUMBER(FIND("@cielo.com.br",S15)),"Interno","Externo")</f>
        <v/>
      </c>
      <c r="AC15" t="inlineStr">
        <is>
          <t>Contestar divergência, valor ou critério de cobrança.</t>
        </is>
      </c>
      <c r="AD15" t="inlineStr">
        <is>
          <t>OBJETO:COBRANCA; OBJETO:CONTRATO; CONTEXTO:DIVERGENCIA; CANAL:BANCO</t>
        </is>
      </c>
      <c r="AE15" t="inlineStr">
        <is>
          <t>Contestação de cobrança</t>
        </is>
      </c>
      <c r="AF15" t="inlineStr">
        <is>
          <t>Valor Cobrado</t>
        </is>
      </c>
      <c r="AG15" t="inlineStr">
        <is>
          <t>Cobrança e Contestação</t>
        </is>
      </c>
      <c r="AI15" t="inlineStr">
        <is>
          <t>INT_COB_CONTESTACAO</t>
        </is>
      </c>
      <c r="AJ15" t="inlineStr">
        <is>
          <t>Sugerida</t>
        </is>
      </c>
      <c r="AK15" t="b">
        <v>0</v>
      </c>
      <c r="AN15">
        <f>IF(OR(AG15="",AM15=""),"",IF(AG15=AM15,"SIM","NÃO"))</f>
        <v/>
      </c>
      <c r="AO15" t="inlineStr">
        <is>
          <t>CLASSIFIED_SIGNATURE</t>
        </is>
      </c>
    </row>
    <row r="16" ht="15.5" customHeight="1">
      <c r="A16" s="1" t="n"/>
      <c r="B16" s="67" t="inlineStr">
        <is>
          <t>Stephany Lima</t>
        </is>
      </c>
      <c r="C16" s="70">
        <f>VLOOKUP(I:I,'Referencias '!H:I,2,0)</f>
        <v/>
      </c>
      <c r="D16" s="71" t="n">
        <v>17677815</v>
      </c>
      <c r="E16" s="71" t="n">
        <v>0</v>
      </c>
      <c r="F16" s="72" t="n">
        <v>2533814485145</v>
      </c>
      <c r="G16" s="72">
        <f>VLOOKUP(H:H,'Referencias '!B:C,2,0)</f>
        <v/>
      </c>
      <c r="H16" s="72">
        <f>TRIM(_xlfn.TEXTBEFORE(_xlfn.TEXTAFTER(U16,"CNPJ/CPF:&lt;/strong&gt;"),"&lt;/p&gt;"))</f>
        <v/>
      </c>
      <c r="I16" s="70" t="inlineStr">
        <is>
          <t>Renegociação contrato</t>
        </is>
      </c>
      <c r="J16" s="72" t="n"/>
      <c r="K16" s="72" t="n"/>
      <c r="L16" s="70" t="inlineStr">
        <is>
          <t>FINALIZADO</t>
        </is>
      </c>
      <c r="M16" s="73" t="inlineStr">
        <is>
          <t>Médio</t>
        </is>
      </c>
      <c r="N16" s="71" t="inlineStr">
        <is>
          <t>1018 Financeiro | Desejo falar com o setor financeiro | Caroline Mendes | carolineal@cielo.com.br</t>
        </is>
      </c>
      <c r="O16" s="74" t="n">
        <v>45995</v>
      </c>
      <c r="P16" s="123" t="n">
        <v>46055</v>
      </c>
      <c r="Q16" s="177">
        <f>TEXT(O16,"mmm/aaaa")</f>
        <v/>
      </c>
      <c r="R16" s="71" t="inlineStr">
        <is>
          <t>STEPHANY LIMA DE LISBOA</t>
        </is>
      </c>
      <c r="S16" s="71" t="inlineStr">
        <is>
          <t>carolineal@cielo.com.br</t>
        </is>
      </c>
      <c r="T16" s="71" t="inlineStr">
        <is>
          <t>WHITE MARTINS GASES INDUSTRIAIS LTDA</t>
        </is>
      </c>
      <c r="U16" s="71" t="inlineStr">
        <is>
          <t>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
Realizamos uma renegociação exclusivamente do serviço de Analista Advanced para este cliente, com o objetivo de mantê-los ativos e utilizando o produto.
O contrato já foi assinado por ambas as partes e estou anexando o aditivo para que possamos seguir com as cobranças considerando o valor atualizado.
Valor original em contrato: R$ 4.500,00
Valor negociado: R$ 4.202,04/mês
Em anexo, segue o aditivo contratual.
Qualquer dúvida, estou totalmente à disposição.
Abraços.&lt;/p&gt;&lt;p&gt;&lt;stro</t>
        </is>
      </c>
      <c r="V16" s="71">
        <f>IFERROR(_xlfn.TEXTBEFORE(_xlfn.TEXTAFTER(U16,"Descrição do problema:&lt;/strong"),"&lt;/p&gt;"),_xlfn.TEXTAFTER(U16,"Descrição do problema:&lt;/strong"))</f>
        <v/>
      </c>
      <c r="W16" s="76">
        <f>_xlfn.CONCAT(D16:E16)</f>
        <v/>
      </c>
      <c r="X16" s="77" t="n">
        <v>46246</v>
      </c>
      <c r="Y16" s="78">
        <f>IF(X16="","Aberto","Encerrado")</f>
        <v/>
      </c>
      <c r="Z16" s="78">
        <f>IF(OR(L16="PENDENTE",L16="EM ANDAMENTO",L16="PENDENTE APROVAÇÃO CANCELAMENTO NF"),TODAY()-O16,X16-O16)</f>
        <v/>
      </c>
      <c r="AA16" s="78">
        <f>IF(Y16="Aberto",Z16+ROW()/100000,"")</f>
        <v/>
      </c>
      <c r="AB16" s="2">
        <f>IF(ISNUMBER(FIND("@cielo.com.br",S16)),"Interno","Externo")</f>
        <v/>
      </c>
      <c r="AC16" t="inlineStr">
        <is>
          <t>Contestar divergência, valor ou critério de cobrança.</t>
        </is>
      </c>
      <c r="AD16" t="inlineStr">
        <is>
          <t>cobrança + contrato</t>
        </is>
      </c>
      <c r="AE16" t="inlineStr">
        <is>
          <t>Contestação de cobrança</t>
        </is>
      </c>
      <c r="AF16" t="inlineStr">
        <is>
          <t>Valor Cobrado</t>
        </is>
      </c>
      <c r="AG16" t="inlineStr">
        <is>
          <t>Cobrança e Contestação</t>
        </is>
      </c>
      <c r="AI16" t="inlineStr">
        <is>
          <t>INT_COB_CONTESTACAO</t>
        </is>
      </c>
      <c r="AJ16" t="inlineStr">
        <is>
          <t>Sugerida</t>
        </is>
      </c>
      <c r="AK16" t="b">
        <v>0</v>
      </c>
      <c r="AN16">
        <f>IF(OR(AG16="",AM16=""),"",IF(AG16=AM16,"SIM","NÃO"))</f>
        <v/>
      </c>
      <c r="AO16" t="inlineStr">
        <is>
          <t>CLASSIFIED_PATTERN</t>
        </is>
      </c>
    </row>
    <row r="17" ht="15.5" customHeight="1">
      <c r="A17" s="1" t="n"/>
      <c r="B17" s="67" t="inlineStr">
        <is>
          <t>Vanessa Araujo</t>
        </is>
      </c>
      <c r="C17" s="70">
        <f>VLOOKUP(I:I,'Referencias '!H:I,2,0)</f>
        <v/>
      </c>
      <c r="D17" s="129" t="n">
        <v>17839281</v>
      </c>
      <c r="E17" s="71" t="n">
        <v>0</v>
      </c>
      <c r="F17" s="72" t="n">
        <v>2534413598590</v>
      </c>
      <c r="G17" s="72">
        <f>VLOOKUP(H:H,'Referencias '!B:C,2,0)</f>
        <v/>
      </c>
      <c r="H17" s="72">
        <f>TRIM(_xlfn.TEXTBEFORE(_xlfn.TEXTAFTER(U17,"CNPJ/CPF:&lt;/strong&gt;"),"&lt;/p&gt;"))</f>
        <v/>
      </c>
      <c r="I17" s="70" t="inlineStr">
        <is>
          <t>Verificação Faturamento</t>
        </is>
      </c>
      <c r="J17" s="72" t="n"/>
      <c r="K17" s="72" t="n"/>
      <c r="L17" s="70" t="inlineStr">
        <is>
          <t>FINALIZADO</t>
        </is>
      </c>
      <c r="M17" s="73" t="inlineStr">
        <is>
          <t>Médio</t>
        </is>
      </c>
      <c r="N17" s="71" t="inlineStr">
        <is>
          <t>1018 Financeiro | Desejo falar com o setor financeiro | Larissa Venancio | larissave@cielo.com.br</t>
        </is>
      </c>
      <c r="O17" s="74" t="n">
        <v>46001</v>
      </c>
      <c r="P17" s="123" t="n">
        <v>46003</v>
      </c>
      <c r="Q17" s="177">
        <f>TEXT(O17,"mmm/aaaa")</f>
        <v/>
      </c>
      <c r="R17" s="71" t="inlineStr">
        <is>
          <t>Larissa QUIRINO CANUTO</t>
        </is>
      </c>
      <c r="S17" s="71" t="inlineStr">
        <is>
          <t>larissave@cielo.com.br</t>
        </is>
      </c>
      <c r="T17" s="71" t="inlineStr">
        <is>
          <t>Garmin  Loja Moema 01 POS2 Fisic</t>
        </is>
      </c>
      <c r="U17" s="71" t="inlineStr">
        <is>
          <t>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cliente possui contratado o produto 3DS desde Agosto/2024, mas, aparentemente nunca foi cobrado - não localizei nenhuma NF e tambem nao localizei no billing. Segue contrato assinado anexo. 
Podem checar, por favor? 
Caso não tenha sido cobrado realmente, podem fazer o levantamento de quantos meses retroativos precisariamos cobrar do cl</t>
        </is>
      </c>
      <c r="V17" s="71">
        <f>IFERROR(_xlfn.TEXTBEFORE(_xlfn.TEXTAFTER(U17,"Descrição do problema:&lt;/strong"),"&lt;/p&gt;"),_xlfn.TEXTAFTER(U17,"Descrição do problema:&lt;/strong"))</f>
        <v/>
      </c>
      <c r="W17" s="76">
        <f>_xlfn.CONCAT(D17:E17)</f>
        <v/>
      </c>
      <c r="X17" s="77" t="n">
        <v>46283</v>
      </c>
      <c r="Y17" s="78">
        <f>IF(X17="","Aberto","Encerrado")</f>
        <v/>
      </c>
      <c r="Z17" s="78">
        <f>IF(OR(L17="PENDENTE",L17="EM ANDAMENTO",L17="PENDENTE APROVAÇÃO CANCELAMENTO NF"),TODAY()-O17,X17-O17)</f>
        <v/>
      </c>
      <c r="AA17" s="78">
        <f>IF(Y17="Aberto",Z17+ROW()/100000,"")</f>
        <v/>
      </c>
      <c r="AB17" s="2">
        <f>IF(ISNUMBER(FIND("@cielo.com.br",S17)),"Interno","Externo")</f>
        <v/>
      </c>
      <c r="AC17" t="inlineStr">
        <is>
          <t>Consultar ou verificar faturamento, fatura ou obrigações fiscais.</t>
        </is>
      </c>
      <c r="AD17" t="inlineStr">
        <is>
          <t>nunca foi cobrado; não localizei nenhuma nf</t>
        </is>
      </c>
      <c r="AE17" t="inlineStr">
        <is>
          <t>Dúvida sobre faturamento</t>
        </is>
      </c>
      <c r="AF17" t="inlineStr">
        <is>
          <t>Parâmetro de Faturamento</t>
        </is>
      </c>
      <c r="AG17" t="inlineStr">
        <is>
          <t>Faturamento e Obrigações Fiscais</t>
        </is>
      </c>
      <c r="AI17" t="inlineStr">
        <is>
          <t>INT_FAT_DUVIDA</t>
        </is>
      </c>
      <c r="AJ17" t="inlineStr">
        <is>
          <t>Sugerida</t>
        </is>
      </c>
      <c r="AK17" t="b">
        <v>0</v>
      </c>
      <c r="AN17">
        <f>IF(OR(AG17="",AM17=""),"",IF(AG17=AM17,"SIM","NÃO"))</f>
        <v/>
      </c>
      <c r="AO17" t="inlineStr">
        <is>
          <t>CLASSIFIED_PATTERN</t>
        </is>
      </c>
    </row>
    <row r="18" ht="15.5" customHeight="1">
      <c r="A18" s="1" t="n"/>
      <c r="B18" s="67" t="inlineStr">
        <is>
          <t>Vanessa Araujo</t>
        </is>
      </c>
      <c r="C18" s="70">
        <f>VLOOKUP(I:I,'Referencias '!H:I,2,0)</f>
        <v/>
      </c>
      <c r="D18" s="129" t="n">
        <v>18039556</v>
      </c>
      <c r="E18" s="71" t="n">
        <v>0</v>
      </c>
      <c r="F18" s="72" t="n">
        <v>2535111741853</v>
      </c>
      <c r="G18" s="72">
        <f>T18</f>
        <v/>
      </c>
      <c r="H18" s="72">
        <f>TRIM(_xlfn.TEXTBEFORE(_xlfn.TEXTAFTER(U18,"CNPJ/CPF:&lt;/strong&gt;"),"&lt;/p&gt;"))</f>
        <v/>
      </c>
      <c r="I18" s="70" t="inlineStr">
        <is>
          <t>Cancelamento de NF</t>
        </is>
      </c>
      <c r="J18" s="72" t="n"/>
      <c r="K18" s="72" t="n"/>
      <c r="L18" s="70" t="inlineStr">
        <is>
          <t>FINALIZADO</t>
        </is>
      </c>
      <c r="M18" s="73" t="inlineStr">
        <is>
          <t>Médio</t>
        </is>
      </c>
      <c r="N18" s="71" t="inlineStr">
        <is>
          <t>1018 Financeiro | Desejo falar com o setor financeiro | PASSARELA MODAS LTDA EM RECUPERACAO | ariane.pasilva@cielo.com.br</t>
        </is>
      </c>
      <c r="O18" s="74" t="n">
        <v>46008</v>
      </c>
      <c r="P18" s="123" t="n">
        <v>46042</v>
      </c>
      <c r="Q18" s="177">
        <f>TEXT(O18,"mmm/aaaa")</f>
        <v/>
      </c>
      <c r="R18" s="71" t="inlineStr">
        <is>
          <t>STEPHANY LIMA DE LISBOA</t>
        </is>
      </c>
      <c r="S18" s="71" t="inlineStr">
        <is>
          <t>ariane.pasilva@cielo.com.br</t>
        </is>
      </c>
      <c r="T18" s="71" t="inlineStr">
        <is>
          <t>PASSARELA CALCADOS VIRTUAL</t>
        </is>
      </c>
      <c r="U18" s="71" t="inlineStr">
        <is>
          <t>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
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t>
        </is>
      </c>
      <c r="V18" s="71">
        <f>IFERROR(_xlfn.TEXTBEFORE(_xlfn.TEXTAFTER(U18,"Descrição do problema:&lt;/strong"),"&lt;/p&gt;"),_xlfn.TEXTAFTER(U18,"Descrição do problema:&lt;/strong"))</f>
        <v/>
      </c>
      <c r="W18" s="76">
        <f>_xlfn.CONCAT(D18:E18)</f>
        <v/>
      </c>
      <c r="X18" s="77" t="n">
        <v>46260</v>
      </c>
      <c r="Y18" s="78">
        <f>IF(X18="","Aberto","Encerrado")</f>
        <v/>
      </c>
      <c r="Z18" s="78">
        <f>IF(OR(L18="PENDENTE",L18="EM ANDAMENTO",L18="PENDENTE APROVAÇÃO CANCELAMENTO NF"),TODAY()-O18,X18-O18)</f>
        <v/>
      </c>
      <c r="AA18" s="78">
        <f>IF(Y18="Aberto",Z18+ROW()/100000,"")</f>
        <v/>
      </c>
      <c r="AB18" s="2">
        <f>IF(ISNUMBER(FIND("@cielo.com.br",S18)),"Interno","Externo")</f>
        <v/>
      </c>
      <c r="AC18" t="inlineStr">
        <is>
          <t>Cancelar contrato, serviço ou produto contratado.</t>
        </is>
      </c>
      <c r="AD18" t="inlineStr">
        <is>
          <t>cancelamento do contrato</t>
        </is>
      </c>
      <c r="AE18" t="inlineStr">
        <is>
          <t>Cancelamento de contrato</t>
        </is>
      </c>
      <c r="AF18" t="inlineStr">
        <is>
          <t>Contrato/Cadastro</t>
        </is>
      </c>
      <c r="AG18" t="inlineStr">
        <is>
          <t>Contratos, Comercial e Cadastro</t>
        </is>
      </c>
      <c r="AI18" t="inlineStr">
        <is>
          <t>INT_CON_CANCELAMENTO</t>
        </is>
      </c>
      <c r="AJ18" t="inlineStr">
        <is>
          <t>Sugerida</t>
        </is>
      </c>
      <c r="AK18" t="b">
        <v>0</v>
      </c>
      <c r="AN18">
        <f>IF(OR(AG18="",AM18=""),"",IF(AG18=AM18,"SIM","NÃO"))</f>
        <v/>
      </c>
      <c r="AO18" t="inlineStr">
        <is>
          <t>CLASSIFIED_PATTERN</t>
        </is>
      </c>
    </row>
    <row r="19" ht="15.5" customHeight="1">
      <c r="A19" s="1" t="inlineStr">
        <is>
          <t>Aberto antigos</t>
        </is>
      </c>
      <c r="B19" s="67" t="inlineStr">
        <is>
          <t>Amanda Silva</t>
        </is>
      </c>
      <c r="C19" s="70">
        <f>VLOOKUP(I:I,'Referencias '!H:I,2,0)</f>
        <v/>
      </c>
      <c r="D19" s="129" t="n">
        <v>18108887</v>
      </c>
      <c r="E19" s="71" t="n">
        <v>0</v>
      </c>
      <c r="F19" s="72" t="n">
        <v>2535310790641</v>
      </c>
      <c r="G19" s="72">
        <f>VLOOKUP(H:H,'Referencias '!B:C,2,0)</f>
        <v/>
      </c>
      <c r="H19" s="72">
        <f>TRIM(_xlfn.TEXTBEFORE(_xlfn.TEXTAFTER(U19,"CNPJ/CPF:&lt;/strong&gt;"),"&lt;/p&gt;"))</f>
        <v/>
      </c>
      <c r="I19" s="70" t="inlineStr">
        <is>
          <t>Dúvidas sobre cobrança</t>
        </is>
      </c>
      <c r="J19" s="72" t="n"/>
      <c r="K19" s="72" t="n"/>
      <c r="L19" s="70" t="inlineStr">
        <is>
          <t>FINALIZADO</t>
        </is>
      </c>
      <c r="M19" s="73" t="inlineStr">
        <is>
          <t>Alta</t>
        </is>
      </c>
      <c r="N19" s="71" t="inlineStr">
        <is>
          <t>1018 Financeiro | Desejo falar com o setor financeiro | Mariane Oliveira dos Santos | mariane.santos@cielo.com.br</t>
        </is>
      </c>
      <c r="O19" s="74" t="n">
        <v>46010</v>
      </c>
      <c r="P19" s="123" t="n">
        <v>46286</v>
      </c>
      <c r="Q19" s="177">
        <f>TEXT(O19,"mmm/aaaa")</f>
        <v/>
      </c>
      <c r="R19" s="71" t="inlineStr">
        <is>
          <t>Larissa QUIRINO CANUTO</t>
        </is>
      </c>
      <c r="S19" s="71" t="inlineStr">
        <is>
          <t>mariane.santos@cielo.com.br</t>
        </is>
      </c>
      <c r="T19" s="71" t="inlineStr">
        <is>
          <t>LATAM ALLEGRO XPSP</t>
        </is>
      </c>
      <c r="U19" s="71" t="inlineStr">
        <is>
          <t xml:space="preserve">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
Eu estava analisando o último contrato assinado entre Braspag e Latam e existe uma cláusula dizendo que o reajuste IPCA deve ser aplicado em 20 de dezembro.
Porém, olhando no billing verifiquei que o reajuste foi aplicado em agosto.
Vamos precisar fazer o levantamento dos valores que cobramos a mais deste de cliente de agosto até dezembro e minha sugestão seria aplicar desconto das próximas faturas. Faz sentido seguirmos dessa </t>
        </is>
      </c>
      <c r="V19" s="71">
        <f>IFERROR(_xlfn.TEXTBEFORE(_xlfn.TEXTAFTER(U19,"Descrição do problema:&lt;/strong"),"&lt;/p&gt;"),_xlfn.TEXTAFTER(U19,"Descrição do problema:&lt;/strong"))</f>
        <v/>
      </c>
      <c r="W19" s="76">
        <f>_xlfn.CONCAT(D19:E19)</f>
        <v/>
      </c>
      <c r="X19" s="77" t="n">
        <v>46287</v>
      </c>
      <c r="Y19" s="78">
        <f>IF(X19="","Aberto","Encerrado")</f>
        <v/>
      </c>
      <c r="Z19" s="78">
        <f>IF(OR(L19="PENDENTE",L19="EM ANDAMENTO",L19="PENDENTE APROVAÇÃO CANCELAMENTO NF"),TODAY()-O19,X19-O19)</f>
        <v/>
      </c>
      <c r="AA19" s="78">
        <f>IF(Y19="Aberto",Z19+ROW()/100000,"")</f>
        <v/>
      </c>
      <c r="AB19" s="2">
        <f>IF(ISNUMBER(FIND("@cielo.com.br",S19)),"Interno","Externo")</f>
        <v/>
      </c>
      <c r="AD19" t="inlineStr"/>
      <c r="AJ19" t="inlineStr">
        <is>
          <t>Sem correspondência</t>
        </is>
      </c>
      <c r="AK19" t="b">
        <v>0</v>
      </c>
      <c r="AN19">
        <f>IF(OR(AG19="",AM19=""),"",IF(AG19=AM19,"SIM","NÃO"))</f>
        <v/>
      </c>
      <c r="AO19" t="inlineStr">
        <is>
          <t>NO_PATTERN</t>
        </is>
      </c>
    </row>
    <row r="20" ht="15.5" customHeight="1">
      <c r="A20" s="1" t="inlineStr">
        <is>
          <t>Aberto antigos</t>
        </is>
      </c>
      <c r="B20" s="67" t="inlineStr">
        <is>
          <t>Stephany Lima</t>
        </is>
      </c>
      <c r="C20" s="70">
        <f>VLOOKUP(I:I,'Referencias '!H:I,2,0)</f>
        <v/>
      </c>
      <c r="D20" s="129" t="n">
        <v>18167620</v>
      </c>
      <c r="E20" s="71" t="n">
        <v>0</v>
      </c>
      <c r="F20" s="72" t="n">
        <v>2535616833624</v>
      </c>
      <c r="G20" s="72">
        <f>T20</f>
        <v/>
      </c>
      <c r="H20" s="72">
        <f>TRIM(_xlfn.TEXTBEFORE(_xlfn.TEXTAFTER(U20,"CNPJ/CPF:&lt;/strong&gt;"),"&lt;/p&gt;"))</f>
        <v/>
      </c>
      <c r="I20" s="70" t="inlineStr">
        <is>
          <t>Contestação de cobrança</t>
        </is>
      </c>
      <c r="J20" s="72" t="inlineStr">
        <is>
          <t xml:space="preserve">Resolvido </t>
        </is>
      </c>
      <c r="K20" s="72" t="n"/>
      <c r="L20" s="70" t="inlineStr">
        <is>
          <t>FINALIZADO</t>
        </is>
      </c>
      <c r="M20" s="73" t="inlineStr">
        <is>
          <t>Alta</t>
        </is>
      </c>
      <c r="N20" s="71" t="inlineStr">
        <is>
          <t>1018 Financeiro | Desejo falar com o setor financeiro | Aria | ariane.pasilva@cielo.com.br</t>
        </is>
      </c>
      <c r="O20" s="74" t="n">
        <v>46013</v>
      </c>
      <c r="P20" s="123" t="n">
        <v>46058</v>
      </c>
      <c r="Q20" s="177">
        <f>TEXT(O20,"mmm/aaaa")</f>
        <v/>
      </c>
      <c r="R20" s="71" t="inlineStr">
        <is>
          <t>Larissa QUIRINO CANUTO</t>
        </is>
      </c>
      <c r="S20" s="71" t="inlineStr">
        <is>
          <t>ariane.pasilva@cielo.com.br</t>
        </is>
      </c>
      <c r="T20" s="71" t="inlineStr">
        <is>
          <t>LIMFI COMERCIO DE MODA FEMININA</t>
        </is>
      </c>
      <c r="U20" s="71" t="inlineStr">
        <is>
          <t>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
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t>
        </is>
      </c>
      <c r="V20" s="71">
        <f>IFERROR(_xlfn.TEXTBEFORE(_xlfn.TEXTAFTER(U20,"Descrição do problema:&lt;/strong"),"&lt;/p&gt;"),_xlfn.TEXTAFTER(U20,"Descrição do problema:&lt;/strong"))</f>
        <v/>
      </c>
      <c r="W20" s="76">
        <f>_xlfn.CONCAT(D20:E20)</f>
        <v/>
      </c>
      <c r="X20" s="77" t="n">
        <v>46288</v>
      </c>
      <c r="Y20" s="78">
        <f>IF(X20="","Aberto","Encerrado")</f>
        <v/>
      </c>
      <c r="Z20" s="78">
        <f>IF(OR(L20="PENDENTE",L20="EM ANDAMENTO",L20="PENDENTE APROVAÇÃO CANCELAMENTO NF"),TODAY()-O20,X20-O20)</f>
        <v/>
      </c>
      <c r="AA20" s="78">
        <f>IF(Y20="Aberto",Z20+ROW()/100000,"")</f>
        <v/>
      </c>
      <c r="AB20" s="2">
        <f>IF(ISNUMBER(FIND("@cielo.com.br",S20)),"Interno","Externo")</f>
        <v/>
      </c>
      <c r="AC20" t="inlineStr">
        <is>
          <t>Cancelar, substituir ou reemitir nota fiscal.</t>
        </is>
      </c>
      <c r="AD20" t="inlineStr">
        <is>
          <t>ACAO:BAIXAR; ACAO:CANCELAR; OBJETO:NOTA_FISCAL</t>
        </is>
      </c>
      <c r="AE20" t="inlineStr">
        <is>
          <t>Cancelamento de NF</t>
        </is>
      </c>
      <c r="AF20" t="inlineStr">
        <is>
          <t>Documento Fiscal</t>
        </is>
      </c>
      <c r="AG20" t="inlineStr">
        <is>
          <t>Cancelamento e Reemissão de Nota Fiscal</t>
        </is>
      </c>
      <c r="AI20" t="inlineStr">
        <is>
          <t>INT_NF_CANCEL_REEMISSAO</t>
        </is>
      </c>
      <c r="AJ20" t="inlineStr">
        <is>
          <t>Sugerida</t>
        </is>
      </c>
      <c r="AK20" t="b">
        <v>0</v>
      </c>
      <c r="AN20">
        <f>IF(OR(AG20="",AM20=""),"",IF(AG20=AM20,"SIM","NÃO"))</f>
        <v/>
      </c>
      <c r="AO20" t="inlineStr">
        <is>
          <t>CLASSIFIED_SIGNATURE</t>
        </is>
      </c>
    </row>
    <row r="21" ht="15.5" customHeight="1">
      <c r="A21" s="1" t="n"/>
      <c r="B21" s="67" t="inlineStr">
        <is>
          <t>Vanessa Araujo</t>
        </is>
      </c>
      <c r="C21" s="70">
        <f>VLOOKUP(I:I,'Referencias '!H:I,2,0)</f>
        <v/>
      </c>
      <c r="D21" s="129" t="n">
        <v>18201926</v>
      </c>
      <c r="E21" s="71" t="n">
        <v>0</v>
      </c>
      <c r="F21" s="72" t="n">
        <v>2535717858088</v>
      </c>
      <c r="G21" s="72">
        <f>VLOOKUP(H:H,'Referencias '!B:C,2,0)</f>
        <v/>
      </c>
      <c r="H21" s="72">
        <f>TRIM(_xlfn.TEXTBEFORE(_xlfn.TEXTAFTER(U21,"CNPJ/CPF:&lt;/strong&gt;"),"&lt;/p&gt;"))</f>
        <v/>
      </c>
      <c r="I21" s="70" t="inlineStr">
        <is>
          <t>Prorrogação / Reenvio de boleto</t>
        </is>
      </c>
      <c r="J21" s="72" t="n"/>
      <c r="K21" s="72" t="n"/>
      <c r="L21" s="70" t="inlineStr">
        <is>
          <t>FINALIZADO</t>
        </is>
      </c>
      <c r="M21" s="73" t="inlineStr">
        <is>
          <t>Médio</t>
        </is>
      </c>
      <c r="N21" s="71" t="inlineStr">
        <is>
          <t>1018 Financeiro | Desejo falar com o setor financeiro | Giulia | giuliac@cielo.com.br</t>
        </is>
      </c>
      <c r="O21" s="74" t="n">
        <v>46014</v>
      </c>
      <c r="P21" s="123" t="n">
        <v>46062</v>
      </c>
      <c r="Q21" s="177">
        <f>TEXT(O21,"mmm/aaaa")</f>
        <v/>
      </c>
      <c r="R21" s="71" t="inlineStr">
        <is>
          <t>ECOMMERCE BP SUPORTE FINANCEIRO N2</t>
        </is>
      </c>
      <c r="S21" s="71" t="inlineStr">
        <is>
          <t>giuliac@cielo.com.br</t>
        </is>
      </c>
      <c r="T21" s="71" t="inlineStr">
        <is>
          <t>REBORN</t>
        </is>
      </c>
      <c r="U21" s="71" t="inlineStr">
        <is>
          <t>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
Pessoal, o cliente Reborn (CNPJ: 59.627.567/0001-35) pediu a reemissao do boleto de setup sem juros e multa. Poderiam enviar?
O motivo do atraso no pagamento foi por que aconteceram alguns erros do nosso lado, atraso para gerar as chaves e taxa de antecipação, e por isso o cliente aguardou para fazer o pagamento enquanto resolvíamos.
Assim que reemitirem o boleto ele ja vai pagar! Obrigada!&lt;/p&gt;&lt;p&gt;&lt;strong&gt;ID da transação:&lt;/strong&gt; &lt;/p&gt;&lt;p&gt;&lt;strong&gt;Código do erro:&lt;/strong&gt; &lt;/p&gt;&lt;p&gt;&lt;strong&gt;Sobre qual produto ou área deseja falar?:&lt;/</t>
        </is>
      </c>
      <c r="V21" s="71">
        <f>IFERROR(_xlfn.TEXTBEFORE(_xlfn.TEXTAFTER(U21,"Descrição do problema:&lt;/strong"),"&lt;/p&gt;"),_xlfn.TEXTAFTER(U21,"Descrição do problema:&lt;/strong"))</f>
        <v/>
      </c>
      <c r="W21" s="76">
        <f>_xlfn.CONCAT(D21:E21)</f>
        <v/>
      </c>
      <c r="X21" s="77" t="n">
        <v>46244</v>
      </c>
      <c r="Y21" s="78">
        <f>IF(X21="","Aberto","Encerrado")</f>
        <v/>
      </c>
      <c r="Z21" s="78">
        <f>IF(OR(L21="PENDENTE",L21="EM ANDAMENTO",L21="PENDENTE APROVAÇÃO CANCELAMENTO NF"),TODAY()-O21,X21-O21)</f>
        <v/>
      </c>
      <c r="AA21" s="78">
        <f>IF(Y21="Aberto",Z21+ROW()/100000,"")</f>
        <v/>
      </c>
      <c r="AB21" s="2">
        <f>IF(ISNUMBER(FIND("@cielo.com.br",S21)),"Interno","Externo")</f>
        <v/>
      </c>
      <c r="AC21" t="inlineStr">
        <is>
          <t>Solicitar segunda via, reenvio ou reemissão de boleto.</t>
        </is>
      </c>
      <c r="AD21" t="inlineStr">
        <is>
          <t>reemissão de boleto; reemissão + boleto</t>
        </is>
      </c>
      <c r="AE21" t="inlineStr">
        <is>
          <t>Reenvio de boleto</t>
        </is>
      </c>
      <c r="AF21" t="inlineStr">
        <is>
          <t>Título Financeiro</t>
        </is>
      </c>
      <c r="AG21" t="inlineStr">
        <is>
          <t>Pagamentos, Boletos e Recebimentos</t>
        </is>
      </c>
      <c r="AI21" t="inlineStr">
        <is>
          <t>INT_PAG_BOLETO_REENVIO</t>
        </is>
      </c>
      <c r="AJ21" t="inlineStr">
        <is>
          <t>Sugerida</t>
        </is>
      </c>
      <c r="AK21" t="b">
        <v>0</v>
      </c>
      <c r="AN21">
        <f>IF(OR(AG21="",AM21=""),"",IF(AG21=AM21,"SIM","NÃO"))</f>
        <v/>
      </c>
      <c r="AO21" t="inlineStr">
        <is>
          <t>CLASSIFIED_PATTERN</t>
        </is>
      </c>
    </row>
    <row r="22" ht="15.5" customHeight="1">
      <c r="A22" s="1" t="inlineStr">
        <is>
          <t>Aberto antigos</t>
        </is>
      </c>
      <c r="B22" s="67" t="inlineStr">
        <is>
          <t>Emilly Maria</t>
        </is>
      </c>
      <c r="C22" s="70">
        <f>VLOOKUP(I:I,'Referencias '!H:I,2,0)</f>
        <v/>
      </c>
      <c r="D22" s="129" t="n">
        <v>18271042</v>
      </c>
      <c r="E22" s="71" t="n">
        <v>0</v>
      </c>
      <c r="F22" s="72" t="n">
        <v>2536318908852</v>
      </c>
      <c r="G22" s="72">
        <f>VLOOKUP(H:H,'Referencias '!B:C,2,0)</f>
        <v/>
      </c>
      <c r="H22" s="72">
        <f>TRIM(_xlfn.TEXTBEFORE(_xlfn.TEXTAFTER(U22,"CNPJ/CPF:&lt;/strong&gt;"),"&lt;/p&gt;"))</f>
        <v/>
      </c>
      <c r="I22" s="70" t="inlineStr">
        <is>
          <t>Atualização Condições Comerciais</t>
        </is>
      </c>
      <c r="J22" s="72" t="n"/>
      <c r="K22" s="72" t="n"/>
      <c r="L22" s="70" t="inlineStr">
        <is>
          <t>FINALIZADO</t>
        </is>
      </c>
      <c r="M22" s="73" t="inlineStr">
        <is>
          <t>Alta</t>
        </is>
      </c>
      <c r="N22" s="71" t="inlineStr">
        <is>
          <t>1018 Financeiro | Desejo falar com o setor financeiro | Mariane Oliveira dos Santos | mariane.santos@cielo.com.br</t>
        </is>
      </c>
      <c r="O22" s="74" t="n">
        <v>46020</v>
      </c>
      <c r="P22" s="123" t="n">
        <v>46062</v>
      </c>
      <c r="Q22" s="177">
        <f>TEXT(O22,"mmm/aaaa")</f>
        <v/>
      </c>
      <c r="R22" s="71" t="inlineStr">
        <is>
          <t>Larissa QUIRINO CANUTO</t>
        </is>
      </c>
      <c r="S22" s="71" t="inlineStr">
        <is>
          <t>mariane.santos@cielo.com.br</t>
        </is>
      </c>
      <c r="T22" s="71" t="inlineStr">
        <is>
          <t>4 BIO MEDICAMENTOS SA</t>
        </is>
      </c>
      <c r="U22" s="71" t="inlineStr">
        <is>
          <t>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
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t>
        </is>
      </c>
      <c r="V22" s="71">
        <f>IFERROR(_xlfn.TEXTBEFORE(_xlfn.TEXTAFTER(U22,"Descrição do problema:&lt;/strong"),"&lt;/p&gt;"),_xlfn.TEXTAFTER(U22,"Descrição do problema:&lt;/strong"))</f>
        <v/>
      </c>
      <c r="W22" s="76">
        <f>_xlfn.CONCAT(D22:E22)</f>
        <v/>
      </c>
      <c r="X22" s="77" t="n">
        <v>46287</v>
      </c>
      <c r="Y22" s="78">
        <f>IF(X22="","Aberto","Encerrado")</f>
        <v/>
      </c>
      <c r="Z22" s="78">
        <f>IF(OR(L22="PENDENTE",L22="EM ANDAMENTO",L22="PENDENTE APROVAÇÃO CANCELAMENTO NF"),TODAY()-O22,X22-O22)</f>
        <v/>
      </c>
      <c r="AA22" s="78">
        <f>IF(Y22="Aberto",Z22+ROW()/100000,"")</f>
        <v/>
      </c>
      <c r="AB22" s="2">
        <f>IF(ISNUMBER(FIND("@cielo.com.br",S22)),"Interno","Externo")</f>
        <v/>
      </c>
      <c r="AC22" t="inlineStr">
        <is>
          <t>Alterar, renegociar ou atualizar condições comerciais ou contratuais.</t>
        </is>
      </c>
      <c r="AD22" t="inlineStr">
        <is>
          <t>atualizar + condições comerciais</t>
        </is>
      </c>
      <c r="AE22" t="inlineStr">
        <is>
          <t>Pendente retorno comercial</t>
        </is>
      </c>
      <c r="AF22" t="inlineStr">
        <is>
          <t>Contrato/Cadastro</t>
        </is>
      </c>
      <c r="AG22" t="inlineStr">
        <is>
          <t>Contratos, Comercial e Cadastro</t>
        </is>
      </c>
      <c r="AI22" t="inlineStr">
        <is>
          <t>INT_CON_CONDICOES</t>
        </is>
      </c>
      <c r="AJ22" t="inlineStr">
        <is>
          <t>Sugerida</t>
        </is>
      </c>
      <c r="AK22" t="b">
        <v>0</v>
      </c>
      <c r="AN22">
        <f>IF(OR(AG22="",AM22=""),"",IF(AG22=AM22,"SIM","NÃO"))</f>
        <v/>
      </c>
      <c r="AO22" t="inlineStr">
        <is>
          <t>CLASSIFIED_PATTERN</t>
        </is>
      </c>
    </row>
    <row r="23" ht="15.5" customHeight="1">
      <c r="A23" s="1" t="inlineStr">
        <is>
          <t>Aberto antigos</t>
        </is>
      </c>
      <c r="B23" s="67" t="inlineStr">
        <is>
          <t>Stephany Lima</t>
        </is>
      </c>
      <c r="C23" s="70">
        <f>VLOOKUP(I:I,'Referencias '!H:I,2,0)</f>
        <v/>
      </c>
      <c r="D23" s="129" t="n">
        <v>18252534</v>
      </c>
      <c r="E23" s="71" t="n">
        <v>0</v>
      </c>
      <c r="F23" s="72" t="n">
        <v>2536311895901</v>
      </c>
      <c r="G23" s="72">
        <f>VLOOKUP(H:H,'Referencias '!B:C,2,0)</f>
        <v/>
      </c>
      <c r="H23" s="72">
        <f>TRIM(_xlfn.TEXTBEFORE(_xlfn.TEXTAFTER(U23,"CNPJ/CPF:&lt;/strong&gt;"),"&lt;/p&gt;"))</f>
        <v/>
      </c>
      <c r="I23" s="70" t="inlineStr">
        <is>
          <t>Cancelamento de NF</t>
        </is>
      </c>
      <c r="J23" s="72" t="inlineStr">
        <is>
          <t>Aguardando o Gerente comercial ajustar com o time de salesforce o cadastro do cliente no sap</t>
        </is>
      </c>
      <c r="K23" s="72" t="n"/>
      <c r="L23" s="70" t="inlineStr">
        <is>
          <t>EM ANDAMENTO</t>
        </is>
      </c>
      <c r="M23" s="73" t="inlineStr">
        <is>
          <t>Alta</t>
        </is>
      </c>
      <c r="N23" s="71" t="inlineStr">
        <is>
          <t>1018 Financeiro | Desejo falar com o setor financeiro | Joice Rosa | joice.dsilva@cielo.com.br</t>
        </is>
      </c>
      <c r="O23" s="74" t="n">
        <v>46020</v>
      </c>
      <c r="P23" s="123" t="inlineStr">
        <is>
          <t>23/09/2026</t>
        </is>
      </c>
      <c r="Q23" s="177">
        <f>TEXT(O23,"mmm/aaaa")</f>
        <v/>
      </c>
      <c r="R23" s="71" t="inlineStr">
        <is>
          <t>STEPHANY LIMA DE LISBOA</t>
        </is>
      </c>
      <c r="S23" s="71" t="inlineStr">
        <is>
          <t>joice.dsilva@cielo.com.br</t>
        </is>
      </c>
      <c r="T23" s="71" t="inlineStr">
        <is>
          <t>PAGOLIVRE</t>
        </is>
      </c>
      <c r="U23" s="71" t="inlineStr">
        <is>
          <t>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
Chamado aberto para informar cessão contratual para alteração do CNPJ e Razão Social.
Antigo:  
Razão Social: PAGOLIVRE TECNOLOGIA S.A.
CNPJ: 21.262.661/0001-65 
Novo:
Razão Social: AFINZ INSTITUICAO DE 
PAGAMENTO S.A.
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t>
        </is>
      </c>
      <c r="V23" s="71">
        <f>IFERROR(_xlfn.TEXTBEFORE(_xlfn.TEXTAFTER(U23,"Descrição do problema:&lt;/strong"),"&lt;/p&gt;"),_xlfn.TEXTAFTER(U23,"Descrição do problema:&lt;/strong"))</f>
        <v/>
      </c>
      <c r="W23" s="76">
        <f>_xlfn.CONCAT(D23:E23)</f>
        <v/>
      </c>
      <c r="X23" s="77" t="n"/>
      <c r="Y23" s="78">
        <f>IF(X23="","Aberto","Encerrado")</f>
        <v/>
      </c>
      <c r="Z23" s="78">
        <f>IF(OR(L23="PENDENTE",L23="EM ANDAMENTO",L23="PENDENTE APROVAÇÃO CANCELAMENTO NF"),TODAY()-O23,X23-O23)</f>
        <v/>
      </c>
      <c r="AA23" s="78">
        <f>IF(Y23="Aberto",Z23+ROW()/100000,"")</f>
        <v/>
      </c>
      <c r="AB23" s="2">
        <f>IF(ISNUMBER(FIND("@cielo.com.br",S23)),"Interno","Externo")</f>
        <v/>
      </c>
      <c r="AC23" t="inlineStr">
        <is>
          <t>Atualizar dados cadastrais, e-mail ou telefone.</t>
        </is>
      </c>
      <c r="AD23" t="inlineStr">
        <is>
          <t>alteração do cnpj e razão social; cessão contratual para alteração do cnpj</t>
        </is>
      </c>
      <c r="AE23" t="inlineStr">
        <is>
          <t>Atualização cadastral</t>
        </is>
      </c>
      <c r="AF23" t="inlineStr">
        <is>
          <t>Contrato/Cadastro</t>
        </is>
      </c>
      <c r="AG23" t="inlineStr">
        <is>
          <t>Contratos, Comercial e Cadastro</t>
        </is>
      </c>
      <c r="AI23" t="inlineStr">
        <is>
          <t>INT_CON_CADASTRO</t>
        </is>
      </c>
      <c r="AJ23" t="inlineStr">
        <is>
          <t>Sugerida</t>
        </is>
      </c>
      <c r="AK23" t="b">
        <v>0</v>
      </c>
      <c r="AN23">
        <f>IF(OR(AG23="",AM23=""),"",IF(AG23=AM23,"SIM","NÃO"))</f>
        <v/>
      </c>
      <c r="AO23" t="inlineStr">
        <is>
          <t>CLASSIFIED_PATTERN</t>
        </is>
      </c>
    </row>
    <row r="24" ht="15.5" customHeight="1">
      <c r="A24" s="1" t="n"/>
      <c r="B24" s="67" t="inlineStr">
        <is>
          <t>Vanessa Araujo</t>
        </is>
      </c>
      <c r="C24" s="70">
        <f>VLOOKUP(I:I,'Referencias '!H:I,2,0)</f>
        <v/>
      </c>
      <c r="D24" s="129" t="n">
        <v>18250972</v>
      </c>
      <c r="E24" s="71" t="n">
        <v>0</v>
      </c>
      <c r="F24" s="72" t="n">
        <v>0</v>
      </c>
      <c r="G24" s="72">
        <f>T24</f>
        <v/>
      </c>
      <c r="H24" s="72">
        <f>TRIM(_xlfn.TEXTBEFORE(_xlfn.TEXTAFTER(U24,"CNPJ/CPF:&lt;/strong&gt;"),"&lt;/p&gt;"))</f>
        <v/>
      </c>
      <c r="I24" s="70" t="inlineStr">
        <is>
          <t>Cancelamento de NF / reemissão</t>
        </is>
      </c>
      <c r="J24" s="72" t="n"/>
      <c r="K24" s="72" t="n"/>
      <c r="L24" s="70" t="inlineStr">
        <is>
          <t>FINALIZADO</t>
        </is>
      </c>
      <c r="M24" s="73" t="inlineStr">
        <is>
          <t>Médio</t>
        </is>
      </c>
      <c r="N24" s="71" t="inlineStr">
        <is>
          <t>1018 Financeiro | Desejo falar com o setor financeiro | INFRACOMMERCE TATIX COMERCIO E PARTICIPACOES LTDA | ariane.pasilva@cielo.com.br</t>
        </is>
      </c>
      <c r="O24" s="74" t="n">
        <v>46020</v>
      </c>
      <c r="P24" s="123" t="n">
        <v>46030</v>
      </c>
      <c r="Q24" s="177">
        <f>TEXT(O24,"mmm/aaaa")</f>
        <v/>
      </c>
      <c r="R24" s="71" t="inlineStr">
        <is>
          <t>STEPHANY LIMA DE LISBOA</t>
        </is>
      </c>
      <c r="S24" s="71" t="inlineStr">
        <is>
          <t>ariane.pasilva@cielo.com.br</t>
        </is>
      </c>
      <c r="T24" s="71" t="inlineStr">
        <is>
          <t>PRODUTO SH</t>
        </is>
      </c>
      <c r="U24" s="71" t="inlineStr">
        <is>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
        </is>
      </c>
      <c r="V24" s="71">
        <f>IFERROR(_xlfn.TEXTBEFORE(_xlfn.TEXTAFTER(U24,"Descrição do problema:&lt;/strong"),"&lt;/p&gt;"),_xlfn.TEXTAFTER(U24,"Descrição do problema:&lt;/strong"))</f>
        <v/>
      </c>
      <c r="W24" s="76">
        <f>_xlfn.CONCAT(D24:E24)</f>
        <v/>
      </c>
      <c r="X24" s="77" t="n">
        <v>46214</v>
      </c>
      <c r="Y24" s="78">
        <f>IF(X24="","Aberto","Encerrado")</f>
        <v/>
      </c>
      <c r="Z24" s="78">
        <f>IF(OR(L24="PENDENTE",L24="EM ANDAMENTO",L24="PENDENTE APROVAÇÃO CANCELAMENTO NF"),TODAY()-O24,X24-O24)</f>
        <v/>
      </c>
      <c r="AA24" s="78">
        <f>IF(Y24="Aberto",Z24+ROW()/100000,"")</f>
        <v/>
      </c>
      <c r="AB24" s="2">
        <f>IF(ISNUMBER(FIND("@cielo.com.br",S24)),"Interno","Externo")</f>
        <v/>
      </c>
      <c r="AC24" t="inlineStr">
        <is>
          <t>Cancelar, substituir ou reemitir nota fiscal.</t>
        </is>
      </c>
      <c r="AD24" t="inlineStr">
        <is>
          <t>ACAO:SUBSTITUIR; OBJETO:NOTA_FISCAL</t>
        </is>
      </c>
      <c r="AE24" t="inlineStr">
        <is>
          <t>Cancelamento de NF</t>
        </is>
      </c>
      <c r="AF24" t="inlineStr">
        <is>
          <t>Documento Fiscal</t>
        </is>
      </c>
      <c r="AG24" t="inlineStr">
        <is>
          <t>Cancelamento e Reemissão de Nota Fiscal</t>
        </is>
      </c>
      <c r="AI24" t="inlineStr">
        <is>
          <t>INT_NF_CANCEL_REEMISSAO</t>
        </is>
      </c>
      <c r="AJ24" t="inlineStr">
        <is>
          <t>Sugerida</t>
        </is>
      </c>
      <c r="AK24" t="b">
        <v>0</v>
      </c>
      <c r="AN24">
        <f>IF(OR(AG24="",AM24=""),"",IF(AG24=AM24,"SIM","NÃO"))</f>
        <v/>
      </c>
      <c r="AO24" t="inlineStr">
        <is>
          <t>CLASSIFIED_SIGNATURE</t>
        </is>
      </c>
    </row>
    <row r="25" ht="15.5" customHeight="1">
      <c r="A25" s="1" t="inlineStr">
        <is>
          <t>Aberto antigos</t>
        </is>
      </c>
      <c r="B25" s="67" t="inlineStr">
        <is>
          <t>Amanda Silva</t>
        </is>
      </c>
      <c r="C25" s="70">
        <f>VLOOKUP(I:I,'Referencias '!H:I,2,0)</f>
        <v/>
      </c>
      <c r="D25" s="129" t="n">
        <v>18250214</v>
      </c>
      <c r="E25" s="71" t="n">
        <v>0</v>
      </c>
      <c r="F25" s="72" t="n">
        <v>2536310894312</v>
      </c>
      <c r="G25" s="72">
        <f>T25</f>
        <v/>
      </c>
      <c r="H25" s="72">
        <f>TRIM(_xlfn.TEXTBEFORE(_xlfn.TEXTAFTER(U25,"CNPJ/CPF:&lt;/strong&gt;"),"&lt;/p&gt;"))</f>
        <v/>
      </c>
      <c r="I25" s="70" t="inlineStr">
        <is>
          <t>Cancelamento de NF</t>
        </is>
      </c>
      <c r="J25" s="72" t="n"/>
      <c r="K25" s="72" t="n"/>
      <c r="L25" s="70" t="inlineStr">
        <is>
          <t>FINALIZADO</t>
        </is>
      </c>
      <c r="M25" s="73" t="inlineStr">
        <is>
          <t>Alta</t>
        </is>
      </c>
      <c r="N25" s="71" t="inlineStr">
        <is>
          <t>1018 Financeiro | Desejo falar com o setor financeiro | INFRACOMMERCE TATIX COMERCIO E PARTICIPACOES LTDA | ariane.pasilva@cielo.com.br</t>
        </is>
      </c>
      <c r="O25" s="74" t="n">
        <v>46020</v>
      </c>
      <c r="P25" s="123" t="n">
        <v>46020</v>
      </c>
      <c r="Q25" s="177">
        <f>TEXT(O25,"mmm/aaaa")</f>
        <v/>
      </c>
      <c r="R25" s="71" t="inlineStr">
        <is>
          <t>ECOMMERCE BP SUPORTE FINANCEIRO N2</t>
        </is>
      </c>
      <c r="S25" s="71" t="inlineStr">
        <is>
          <t>ariane.pasilva@cielo.com.br</t>
        </is>
      </c>
      <c r="T25" s="71" t="inlineStr"/>
      <c r="U25" s="71" t="inlineStr">
        <is>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
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t>
        </is>
      </c>
      <c r="V25" s="71">
        <f>IFERROR(_xlfn.TEXTBEFORE(_xlfn.TEXTAFTER(U25,"Descrição do problema:&lt;/strong"),"&lt;/p&gt;"),_xlfn.TEXTAFTER(U25,"Descrição do problema:&lt;/strong"))</f>
        <v/>
      </c>
      <c r="W25" s="76">
        <f>_xlfn.CONCAT(D25:E25)</f>
        <v/>
      </c>
      <c r="X25" s="77" t="n">
        <v>46289</v>
      </c>
      <c r="Y25" s="78">
        <f>IF(X25="","Aberto","Encerrado")</f>
        <v/>
      </c>
      <c r="Z25" s="78">
        <f>IF(OR(L25="PENDENTE",L25="EM ANDAMENTO",L25="PENDENTE APROVAÇÃO CANCELAMENTO NF"),TODAY()-O25,X25-O25)</f>
        <v/>
      </c>
      <c r="AA25" s="78">
        <f>IF(Y25="Aberto",Z25+ROW()/100000,"")</f>
        <v/>
      </c>
      <c r="AB25" s="2">
        <f>IF(ISNUMBER(FIND("@cielo.com.br",S25)),"Interno","Externo")</f>
        <v/>
      </c>
      <c r="AC25" t="inlineStr">
        <is>
          <t>Cancelar, substituir ou reemitir nota fiscal.</t>
        </is>
      </c>
      <c r="AD25" t="inlineStr">
        <is>
          <t>ACAO:SUBSTITUIR; OBJETO:NOTA_FISCAL</t>
        </is>
      </c>
      <c r="AE25" t="inlineStr">
        <is>
          <t>Cancelamento de NF</t>
        </is>
      </c>
      <c r="AF25" t="inlineStr">
        <is>
          <t>Documento Fiscal</t>
        </is>
      </c>
      <c r="AG25" t="inlineStr">
        <is>
          <t>Cancelamento e Reemissão de Nota Fiscal</t>
        </is>
      </c>
      <c r="AI25" t="inlineStr">
        <is>
          <t>INT_NF_CANCEL_REEMISSAO</t>
        </is>
      </c>
      <c r="AJ25" t="inlineStr">
        <is>
          <t>Sugerida</t>
        </is>
      </c>
      <c r="AK25" t="b">
        <v>0</v>
      </c>
      <c r="AN25">
        <f>IF(OR(AG25="",AM25=""),"",IF(AG25=AM25,"SIM","NÃO"))</f>
        <v/>
      </c>
      <c r="AO25" t="inlineStr">
        <is>
          <t>CLASSIFIED_SIGNATURE</t>
        </is>
      </c>
    </row>
    <row r="26" ht="15.5" customHeight="1">
      <c r="A26" s="1" t="inlineStr">
        <is>
          <t>Aberto antigos</t>
        </is>
      </c>
      <c r="B26" s="67" t="inlineStr">
        <is>
          <t>Stephany Lima</t>
        </is>
      </c>
      <c r="C26" s="70">
        <f>VLOOKUP(I:I,'Referencias '!H:I,2,0)</f>
        <v/>
      </c>
      <c r="D26" s="129" t="n">
        <v>18245555</v>
      </c>
      <c r="E26" s="71" t="n">
        <v>0</v>
      </c>
      <c r="F26" s="72" t="n">
        <v>2536309891162</v>
      </c>
      <c r="G26" s="72">
        <f>VLOOKUP(H:H,'Referencias '!B:C,2,0)</f>
        <v/>
      </c>
      <c r="H26" s="72">
        <f>TRIM(_xlfn.TEXTBEFORE(_xlfn.TEXTAFTER(U26,"CNPJ/CPF:&lt;/strong&gt;"),"&lt;/p&gt;"))</f>
        <v/>
      </c>
      <c r="I26" s="70" t="inlineStr">
        <is>
          <t>Cancelamento de NF</t>
        </is>
      </c>
      <c r="J26" s="72" t="inlineStr">
        <is>
          <t>Aguardando a verificação do Everton ou da Vanessa se já enviamos o DA para o Calil</t>
        </is>
      </c>
      <c r="K26" s="72" t="n"/>
      <c r="L26" s="70" t="inlineStr">
        <is>
          <t>EM ANDAMENTO</t>
        </is>
      </c>
      <c r="M26" s="73" t="inlineStr">
        <is>
          <t>Alta</t>
        </is>
      </c>
      <c r="N26" s="71" t="inlineStr">
        <is>
          <t>1018 Financeiro | Desejo falar com o setor financeiro | Ariane de Paula Silva | ariane.pasilva@cielo.com.br</t>
        </is>
      </c>
      <c r="O26" s="74" t="n">
        <v>46020</v>
      </c>
      <c r="P26" s="123" t="inlineStr">
        <is>
          <t>23/09/2026</t>
        </is>
      </c>
      <c r="Q26" s="177">
        <f>TEXT(O26,"mmm/aaaa")</f>
        <v/>
      </c>
      <c r="R26" s="71" t="inlineStr">
        <is>
          <t>STEPHANY LIMA DE LISBOA</t>
        </is>
      </c>
      <c r="S26" s="71" t="inlineStr">
        <is>
          <t>ariane.pasilva@cielo.com.br</t>
        </is>
      </c>
      <c r="T26" s="71" t="inlineStr"/>
      <c r="U26" s="71" t="inlineStr">
        <is>
          <t>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
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t>
        </is>
      </c>
      <c r="V26" s="71">
        <f>IFERROR(_xlfn.TEXTBEFORE(_xlfn.TEXTAFTER(U26,"Descrição do problema:&lt;/strong"),"&lt;/p&gt;"),_xlfn.TEXTAFTER(U26,"Descrição do problema:&lt;/strong"))</f>
        <v/>
      </c>
      <c r="W26" s="76">
        <f>_xlfn.CONCAT(D26:E26)</f>
        <v/>
      </c>
      <c r="X26" s="77" t="n"/>
      <c r="Y26" s="78">
        <f>IF(X26="","Aberto","Encerrado")</f>
        <v/>
      </c>
      <c r="Z26" s="78">
        <f>IF(OR(L26="PENDENTE",L26="EM ANDAMENTO",L26="PENDENTE APROVAÇÃO CANCELAMENTO NF"),TODAY()-O26,X26-O26)</f>
        <v/>
      </c>
      <c r="AA26" s="78">
        <f>IF(Y26="Aberto",Z26+ROW()/100000,"")</f>
        <v/>
      </c>
      <c r="AB26" s="2">
        <f>IF(ISNUMBER(FIND("@cielo.com.br",S26)),"Interno","Externo")</f>
        <v/>
      </c>
      <c r="AC26" t="inlineStr">
        <is>
          <t>Cancelar, substituir ou reemitir nota fiscal.</t>
        </is>
      </c>
      <c r="AD26" t="inlineStr">
        <is>
          <t>ACAO:CANCELAR; OBJETO:NOTA_FISCAL</t>
        </is>
      </c>
      <c r="AE26" t="inlineStr">
        <is>
          <t>Cancelamento de NF</t>
        </is>
      </c>
      <c r="AF26" t="inlineStr">
        <is>
          <t>Documento Fiscal</t>
        </is>
      </c>
      <c r="AG26" t="inlineStr">
        <is>
          <t>Cancelamento e Reemissão de Nota Fiscal</t>
        </is>
      </c>
      <c r="AI26" t="inlineStr">
        <is>
          <t>INT_NF_CANCEL_REEMISSAO</t>
        </is>
      </c>
      <c r="AJ26" t="inlineStr">
        <is>
          <t>Sugerida</t>
        </is>
      </c>
      <c r="AK26" t="b">
        <v>0</v>
      </c>
      <c r="AN26">
        <f>IF(OR(AG26="",AM26=""),"",IF(AG26=AM26,"SIM","NÃO"))</f>
        <v/>
      </c>
      <c r="AO26" t="inlineStr">
        <is>
          <t>CLASSIFIED_SIGNATURE</t>
        </is>
      </c>
    </row>
    <row r="27" ht="15.5" customHeight="1">
      <c r="A27" s="1" t="inlineStr">
        <is>
          <t>Aberto antigos</t>
        </is>
      </c>
      <c r="B27" s="67" t="inlineStr">
        <is>
          <t>Emilly Maria</t>
        </is>
      </c>
      <c r="C27" s="70">
        <f>VLOOKUP(I:I,'Referencias '!H:I,2,0)</f>
        <v/>
      </c>
      <c r="D27" s="129" t="n">
        <v>18245159</v>
      </c>
      <c r="E27" s="71" t="n">
        <v>0</v>
      </c>
      <c r="F27" s="72" t="n">
        <v>2536308890842</v>
      </c>
      <c r="G27" s="72">
        <f>T27</f>
        <v/>
      </c>
      <c r="H27" s="72">
        <f>TRIM(_xlfn.TEXTBEFORE(_xlfn.TEXTAFTER(U27,"CNPJ/CPF:&lt;/strong&gt;"),"&lt;/p&gt;"))</f>
        <v/>
      </c>
      <c r="I27" s="70" t="inlineStr">
        <is>
          <t>Cancelamento de NF</t>
        </is>
      </c>
      <c r="J27" s="72" t="n"/>
      <c r="K27" s="72" t="n"/>
      <c r="L27" s="70" t="inlineStr">
        <is>
          <t>FINALIZADO</t>
        </is>
      </c>
      <c r="M27" s="73" t="inlineStr">
        <is>
          <t>Alta</t>
        </is>
      </c>
      <c r="N27" s="71" t="inlineStr">
        <is>
          <t>1018 Financeiro | Desejo falar com o setor financeiro | Ariane de Paula Silva | ariane.pasilva@cielo.com.br</t>
        </is>
      </c>
      <c r="O27" s="74" t="n">
        <v>46020</v>
      </c>
      <c r="P27" s="123" t="n">
        <v>46020</v>
      </c>
      <c r="Q27" s="177">
        <f>TEXT(O27,"mmm/aaaa")</f>
        <v/>
      </c>
      <c r="R27" s="71" t="inlineStr">
        <is>
          <t>ECOMMERCE BP SUPORTE FINANCEIRO N2</t>
        </is>
      </c>
      <c r="S27" s="71" t="inlineStr">
        <is>
          <t>ariane.pasilva@cielo.com.br</t>
        </is>
      </c>
      <c r="T27" s="71" t="inlineStr"/>
      <c r="U27" s="71" t="inlineStr">
        <is>
          <t>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
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t>
        </is>
      </c>
      <c r="V27" s="71">
        <f>IFERROR(_xlfn.TEXTBEFORE(_xlfn.TEXTAFTER(U27,"Descrição do problema:&lt;/strong"),"&lt;/p&gt;"),_xlfn.TEXTAFTER(U27,"Descrição do problema:&lt;/strong"))</f>
        <v/>
      </c>
      <c r="W27" s="76">
        <f>_xlfn.CONCAT(D27:E27)</f>
        <v/>
      </c>
      <c r="X27" s="77" t="n">
        <v>46287</v>
      </c>
      <c r="Y27" s="78">
        <f>IF(X27="","Aberto","Encerrado")</f>
        <v/>
      </c>
      <c r="Z27" s="78">
        <f>IF(OR(L27="PENDENTE",L27="EM ANDAMENTO",L27="PENDENTE APROVAÇÃO CANCELAMENTO NF"),TODAY()-O27,X27-O27)</f>
        <v/>
      </c>
      <c r="AA27" s="78">
        <f>IF(Y27="Aberto",Z27+ROW()/100000,"")</f>
        <v/>
      </c>
      <c r="AB27" s="2">
        <f>IF(ISNUMBER(FIND("@cielo.com.br",S27)),"Interno","Externo")</f>
        <v/>
      </c>
      <c r="AC27" t="inlineStr">
        <is>
          <t>Cancelar, substituir ou reemitir nota fiscal.</t>
        </is>
      </c>
      <c r="AD27" t="inlineStr">
        <is>
          <t>ACAO:CANCELAR; OBJETO:NOTA_FISCAL</t>
        </is>
      </c>
      <c r="AE27" t="inlineStr">
        <is>
          <t>Cancelamento de NF</t>
        </is>
      </c>
      <c r="AF27" t="inlineStr">
        <is>
          <t>Documento Fiscal</t>
        </is>
      </c>
      <c r="AG27" t="inlineStr">
        <is>
          <t>Cancelamento e Reemissão de Nota Fiscal</t>
        </is>
      </c>
      <c r="AI27" t="inlineStr">
        <is>
          <t>INT_NF_CANCEL_REEMISSAO</t>
        </is>
      </c>
      <c r="AJ27" t="inlineStr">
        <is>
          <t>Sugerida</t>
        </is>
      </c>
      <c r="AK27" t="b">
        <v>0</v>
      </c>
      <c r="AN27">
        <f>IF(OR(AG27="",AM27=""),"",IF(AG27=AM27,"SIM","NÃO"))</f>
        <v/>
      </c>
      <c r="AO27" t="inlineStr">
        <is>
          <t>CLASSIFIED_SIGNATURE</t>
        </is>
      </c>
    </row>
    <row r="28" ht="15.5" customHeight="1">
      <c r="A28" s="1" t="inlineStr">
        <is>
          <t>Aberto antigos</t>
        </is>
      </c>
      <c r="B28" s="132" t="inlineStr">
        <is>
          <t>Pamela de Sá</t>
        </is>
      </c>
      <c r="C28" s="122">
        <f>VLOOKUP(I:I,'Referencias '!H:I,2,0)</f>
        <v/>
      </c>
      <c r="D28" s="129" t="n">
        <v>18244519</v>
      </c>
      <c r="E28" s="129" t="n">
        <v>0</v>
      </c>
      <c r="F28" s="126" t="n">
        <v>2536308890373</v>
      </c>
      <c r="G28" s="126">
        <f>T28</f>
        <v/>
      </c>
      <c r="H28" s="126">
        <f>TRIM(_xlfn.TEXTBEFORE(_xlfn.TEXTAFTER(U28,"CNPJ/CPF:&lt;/strong&gt;"),"&lt;/p&gt;"))</f>
        <v/>
      </c>
      <c r="I28" s="122" t="inlineStr">
        <is>
          <t>Cancelamento de NF</t>
        </is>
      </c>
      <c r="J28" s="126" t="n"/>
      <c r="K28" s="126" t="n"/>
      <c r="L28" s="122" t="inlineStr">
        <is>
          <t>FINALIZADO</t>
        </is>
      </c>
      <c r="M28" s="73" t="inlineStr">
        <is>
          <t>Alta</t>
        </is>
      </c>
      <c r="N28" s="129" t="inlineStr">
        <is>
          <t>1018 Financeiro | Desejo falar com o setor financeiro | Ariane de Paula Silva | ariane.pasilva@cielo.com.br</t>
        </is>
      </c>
      <c r="O28" s="125" t="n">
        <v>46020</v>
      </c>
      <c r="P28" s="123" t="inlineStr">
        <is>
          <t>19/05/2026</t>
        </is>
      </c>
      <c r="Q28" s="178">
        <f>TEXT(O28,"mmm/aaaa")</f>
        <v/>
      </c>
      <c r="R28" s="129" t="inlineStr">
        <is>
          <t>STEPHANY LIMA DE LISBOA</t>
        </is>
      </c>
      <c r="S28" s="129" t="inlineStr">
        <is>
          <t>ariane.pasilva@cielo.com.br</t>
        </is>
      </c>
      <c r="T28" s="129" t="inlineStr">
        <is>
          <t>EDITORA SANAR</t>
        </is>
      </c>
      <c r="U28" s="129" t="inlineStr">
        <is>
          <t>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t>
        </is>
      </c>
      <c r="V28" s="129">
        <f>IFERROR(_xlfn.TEXTBEFORE(_xlfn.TEXTAFTER(U28,"Descrição do problema:&lt;/strong"),"&lt;/p&gt;"),_xlfn.TEXTAFTER(U28,"Descrição do problema:&lt;/strong"))</f>
        <v/>
      </c>
      <c r="W28" s="130">
        <f>_xlfn.CONCAT(D28:E28)</f>
        <v/>
      </c>
      <c r="X28" s="77" t="n">
        <v>46290</v>
      </c>
      <c r="Y28" s="131">
        <f>IF(X28="","Aberto","Encerrado")</f>
        <v/>
      </c>
      <c r="Z28" s="131">
        <f>IF(OR(L28="PENDENTE",L28="EM ANDAMENTO",L28="PENDENTE APROVAÇÃO CANCELAMENTO NF"),TODAY()-O28,X28-O28)</f>
        <v/>
      </c>
      <c r="AA28" s="131">
        <f>IF(Y28="Aberto",Z28+ROW()/100000,"")</f>
        <v/>
      </c>
      <c r="AB28" s="2">
        <f>IF(ISNUMBER(FIND("@cielo.com.br",S28)),"Interno","Externo")</f>
        <v/>
      </c>
      <c r="AC28" t="inlineStr">
        <is>
          <t>Cancelar, substituir ou reemitir nota fiscal.</t>
        </is>
      </c>
      <c r="AD28" t="inlineStr">
        <is>
          <t>ACAO:CANCELAR; OBJETO:NOTA_FISCAL</t>
        </is>
      </c>
      <c r="AE28" t="inlineStr">
        <is>
          <t>Cancelamento de NF</t>
        </is>
      </c>
      <c r="AF28" t="inlineStr">
        <is>
          <t>Documento Fiscal</t>
        </is>
      </c>
      <c r="AG28" t="inlineStr">
        <is>
          <t>Cancelamento e Reemissão de Nota Fiscal</t>
        </is>
      </c>
      <c r="AI28" t="inlineStr">
        <is>
          <t>INT_NF_CANCEL_REEMISSAO</t>
        </is>
      </c>
      <c r="AJ28" t="inlineStr">
        <is>
          <t>Sugerida</t>
        </is>
      </c>
      <c r="AK28" t="b">
        <v>0</v>
      </c>
      <c r="AN28">
        <f>IF(OR(AG28="",AM28=""),"",IF(AG28=AM28,"SIM","NÃO"))</f>
        <v/>
      </c>
      <c r="AO28" t="inlineStr">
        <is>
          <t>CLASSIFIED_SIGNATURE</t>
        </is>
      </c>
    </row>
    <row r="29" ht="15.5" customHeight="1">
      <c r="A29" s="1" t="inlineStr">
        <is>
          <t>Aberto antigos</t>
        </is>
      </c>
      <c r="B29" s="67" t="inlineStr">
        <is>
          <t>Amanda Silva</t>
        </is>
      </c>
      <c r="C29" s="70">
        <f>VLOOKUP(I:I,'Referencias '!H:I,2,0)</f>
        <v/>
      </c>
      <c r="D29" s="129" t="n">
        <v>18273616</v>
      </c>
      <c r="E29" s="71" t="n">
        <v>0</v>
      </c>
      <c r="F29" s="72" t="n">
        <v>2536408910812</v>
      </c>
      <c r="G29" s="72">
        <f>VLOOKUP(H:H,'Referencias '!B:C,2,0)</f>
        <v/>
      </c>
      <c r="H29" s="72">
        <f>TRIM(_xlfn.TEXTBEFORE(_xlfn.TEXTAFTER(U29,"CNPJ/CPF:&lt;/strong&gt;"),"&lt;/p&gt;"))</f>
        <v/>
      </c>
      <c r="I29" s="70" t="inlineStr">
        <is>
          <t>Cancelamento de NF</t>
        </is>
      </c>
      <c r="J29" s="72" t="n"/>
      <c r="K29" s="72" t="n"/>
      <c r="L29" s="70" t="inlineStr">
        <is>
          <t>FINALIZADO</t>
        </is>
      </c>
      <c r="M29" s="73" t="inlineStr">
        <is>
          <t>Alta</t>
        </is>
      </c>
      <c r="N29" s="71" t="inlineStr">
        <is>
          <t>1018 Financeiro | Desejo falar com o setor financeiro | COVABRA SUPERMERCADOS LTDA | ariane.pasilva@cielo.com.br</t>
        </is>
      </c>
      <c r="O29" s="74" t="n">
        <v>46021</v>
      </c>
      <c r="P29" s="123" t="n">
        <v>46164</v>
      </c>
      <c r="Q29" s="177">
        <f>TEXT(O29,"mmm/aaaa")</f>
        <v/>
      </c>
      <c r="R29" s="71" t="inlineStr">
        <is>
          <t>STEPHANY LIMA DE LISBOA</t>
        </is>
      </c>
      <c r="S29" s="71" t="inlineStr">
        <is>
          <t>ariane.pasilva@cielo.com.br</t>
        </is>
      </c>
      <c r="T29" s="71" t="inlineStr"/>
      <c r="U29" s="71"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
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t>
        </is>
      </c>
      <c r="V29" s="71">
        <f>IFERROR(_xlfn.TEXTBEFORE(_xlfn.TEXTAFTER(U29,"Descrição do problema:&lt;/strong"),"&lt;/p&gt;"),_xlfn.TEXTAFTER(U29,"Descrição do problema:&lt;/strong"))</f>
        <v/>
      </c>
      <c r="W29" s="76">
        <f>_xlfn.CONCAT(D29:E29)</f>
        <v/>
      </c>
      <c r="X29" s="77" t="n">
        <v>46288</v>
      </c>
      <c r="Y29" s="78">
        <f>IF(X29="","Aberto","Encerrado")</f>
        <v/>
      </c>
      <c r="Z29" s="78">
        <f>IF(OR(L29="PENDENTE",L29="EM ANDAMENTO",L29="PENDENTE APROVAÇÃO CANCELAMENTO NF"),TODAY()-O29,X29-O29)</f>
        <v/>
      </c>
      <c r="AA29" s="78">
        <f>IF(Y29="Aberto",Z29+ROW()/100000,"")</f>
        <v/>
      </c>
      <c r="AB29" s="2">
        <f>IF(ISNUMBER(FIND("@cielo.com.br",S29)),"Interno","Externo")</f>
        <v/>
      </c>
      <c r="AC29" t="inlineStr">
        <is>
          <t>Cancelar, substituir ou reemitir nota fiscal.</t>
        </is>
      </c>
      <c r="AD29" t="inlineStr">
        <is>
          <t>baixar a nf</t>
        </is>
      </c>
      <c r="AE29" t="inlineStr">
        <is>
          <t>Cancelamento de NF</t>
        </is>
      </c>
      <c r="AF29" t="inlineStr">
        <is>
          <t>Documento Fiscal</t>
        </is>
      </c>
      <c r="AG29" t="inlineStr">
        <is>
          <t>Cancelamento e Reemissão de Nota Fiscal</t>
        </is>
      </c>
      <c r="AI29" t="inlineStr">
        <is>
          <t>INT_NF_CANCEL_REEMISSAO</t>
        </is>
      </c>
      <c r="AJ29" t="inlineStr">
        <is>
          <t>Sugerida</t>
        </is>
      </c>
      <c r="AK29" t="b">
        <v>0</v>
      </c>
      <c r="AN29">
        <f>IF(OR(AG29="",AM29=""),"",IF(AG29=AM29,"SIM","NÃO"))</f>
        <v/>
      </c>
      <c r="AO29" t="inlineStr">
        <is>
          <t>CLASSIFIED_PATTERN</t>
        </is>
      </c>
    </row>
    <row r="30" ht="15.5" customHeight="1">
      <c r="A30" s="1" t="n"/>
      <c r="B30" s="67" t="inlineStr">
        <is>
          <t>Stephany Lima</t>
        </is>
      </c>
      <c r="C30" s="70">
        <f>VLOOKUP(I:I,'Referencias '!H:I,2,0)</f>
        <v/>
      </c>
      <c r="D30" s="71" t="n">
        <v>18345627</v>
      </c>
      <c r="E30" s="71" t="n">
        <v>0</v>
      </c>
      <c r="F30" s="72" t="n">
        <v>0</v>
      </c>
      <c r="G30" s="72">
        <f>T30</f>
        <v/>
      </c>
      <c r="H30" s="72">
        <f>TRIM(_xlfn.TEXTBEFORE(_xlfn.TEXTAFTER(U30,"CNPJ/CPF:&lt;/strong&gt;"),"&lt;/p&gt;"))</f>
        <v/>
      </c>
      <c r="I30" s="70" t="inlineStr">
        <is>
          <t>Cancelamento de NF / reemissão</t>
        </is>
      </c>
      <c r="J30" s="72" t="n"/>
      <c r="K30" s="72" t="n"/>
      <c r="L30" s="70" t="inlineStr">
        <is>
          <t>FINALIZADO</t>
        </is>
      </c>
      <c r="M30" s="73" t="inlineStr">
        <is>
          <t>Médio</t>
        </is>
      </c>
      <c r="N30" s="71" t="inlineStr">
        <is>
          <t>1018 Financeiro | Desejo falar com o setor financeiro | M.P. IDALGO INDUSTRIA E COMERCIO DE ACESSORIOS DE MODA LTDA | ariane.pasilva@cielo.com.br</t>
        </is>
      </c>
      <c r="O30" s="74" t="n">
        <v>46027</v>
      </c>
      <c r="P30" s="123" t="n">
        <v>46052</v>
      </c>
      <c r="Q30" s="177">
        <f>TEXT(O30,"mmm/aaaa")</f>
        <v/>
      </c>
      <c r="R30" s="71" t="inlineStr">
        <is>
          <t>Larissa QUIRINO CANUTO</t>
        </is>
      </c>
      <c r="S30" s="71" t="inlineStr">
        <is>
          <t>ariane.pasilva@cielo.com.br</t>
        </is>
      </c>
      <c r="T30" s="71" t="inlineStr">
        <is>
          <t>SOLEAH</t>
        </is>
      </c>
      <c r="U30" s="71" t="inlineStr">
        <is>
          <t>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cliente: M.P. IDALGO INDUSTRIA E COMERCIO DE ACESSORIOS DE MODA LTDA
Cancelar 80 NFS:
68330
68598
68601
68607
70045
70219
70473
70582
71725
71981
72103
72689
73347
73590
73831
74261
75016
75413
75428
75582
76534
76983
76993
77018
78395
78647
78651
78661
79987
80909
80917
80942
81530
81932
82008
82329
83352
83518
84025
84031
84931
85370
85451
86106
86411
87284
87401
87636
88236
89119
89200
89365
8</t>
        </is>
      </c>
      <c r="V30" s="71">
        <f>IFERROR(_xlfn.TEXTBEFORE(_xlfn.TEXTAFTER(U30,"Descrição do problema:&lt;/strong"),"&lt;/p&gt;"),_xlfn.TEXTAFTER(U30,"Descrição do problema:&lt;/strong"))</f>
        <v/>
      </c>
      <c r="W30" s="76">
        <f>_xlfn.CONCAT(D30:E30)</f>
        <v/>
      </c>
      <c r="X30" s="77" t="n">
        <v>46224</v>
      </c>
      <c r="Y30" s="78">
        <f>IF(X30="","Aberto","Encerrado")</f>
        <v/>
      </c>
      <c r="Z30" s="78">
        <f>IF(OR(L30="PENDENTE",L30="EM ANDAMENTO",L30="PENDENTE APROVAÇÃO CANCELAMENTO NF"),TODAY()-O30,X30-O30)</f>
        <v/>
      </c>
      <c r="AA30" s="78">
        <f>IF(Y30="Aberto",Z30+ROW()/100000,"")</f>
        <v/>
      </c>
      <c r="AB30" s="2">
        <f>IF(ISNUMBER(FIND("@cielo.com.br",S30)),"Interno","Externo")</f>
        <v/>
      </c>
      <c r="AC30" t="inlineStr">
        <is>
          <t>Cancelar, substituir ou reemitir nota fiscal.</t>
        </is>
      </c>
      <c r="AD30" t="inlineStr">
        <is>
          <t>ACAO:CANCELAR; OBJETO:NOTA_FISCAL</t>
        </is>
      </c>
      <c r="AE30" t="inlineStr">
        <is>
          <t>Cancelamento de NF</t>
        </is>
      </c>
      <c r="AF30" t="inlineStr">
        <is>
          <t>Documento Fiscal</t>
        </is>
      </c>
      <c r="AG30" t="inlineStr">
        <is>
          <t>Cancelamento e Reemissão de Nota Fiscal</t>
        </is>
      </c>
      <c r="AI30" t="inlineStr">
        <is>
          <t>INT_NF_CANCEL_REEMISSAO</t>
        </is>
      </c>
      <c r="AJ30" t="inlineStr">
        <is>
          <t>Sugerida</t>
        </is>
      </c>
      <c r="AK30" t="b">
        <v>0</v>
      </c>
      <c r="AN30">
        <f>IF(OR(AG30="",AM30=""),"",IF(AG30=AM30,"SIM","NÃO"))</f>
        <v/>
      </c>
      <c r="AO30" t="inlineStr">
        <is>
          <t>CLASSIFIED_SIGNATURE</t>
        </is>
      </c>
    </row>
    <row r="31" ht="15.5" customHeight="1">
      <c r="A31" s="1" t="n"/>
      <c r="B31" s="67" t="inlineStr">
        <is>
          <t>Pamela de Sá</t>
        </is>
      </c>
      <c r="C31" s="70">
        <f>VLOOKUP(I:I,'Referencias '!H:I,2,0)</f>
        <v/>
      </c>
      <c r="D31" s="129" t="n">
        <v>18438855</v>
      </c>
      <c r="E31" s="71" t="n">
        <v>0</v>
      </c>
      <c r="F31" s="72" t="n">
        <v>2600717028611</v>
      </c>
      <c r="G31" s="72">
        <f>VLOOKUP(H:H,'Referencias '!B:C,2,0)</f>
        <v/>
      </c>
      <c r="H31" s="72">
        <f>TRIM(_xlfn.TEXTBEFORE(_xlfn.TEXTAFTER(U31,"CNPJ/CPF:&lt;/strong&gt;"),"&lt;/p&gt;"))</f>
        <v/>
      </c>
      <c r="I31" s="70" t="inlineStr">
        <is>
          <t>Sem solicitação encerrar</t>
        </is>
      </c>
      <c r="J31" s="72" t="n"/>
      <c r="K31" s="72" t="n"/>
      <c r="L31" s="70" t="inlineStr">
        <is>
          <t>FINALIZADO</t>
        </is>
      </c>
      <c r="M31" s="73" t="inlineStr">
        <is>
          <t>Médio</t>
        </is>
      </c>
      <c r="N31" s="71" t="inlineStr">
        <is>
          <t>1018 Financeiro | Desejo falar com o setor financeiro | Fernanda Santana Camarneira | fernanda.scamarneira@cielo.com.br</t>
        </is>
      </c>
      <c r="O31" s="74" t="n">
        <v>46029</v>
      </c>
      <c r="P31" s="123" t="n">
        <v>46044</v>
      </c>
      <c r="Q31" s="177">
        <f>TEXT(O31,"mmm/aaaa")</f>
        <v/>
      </c>
      <c r="R31" s="71" t="inlineStr">
        <is>
          <t>Larissa QUIRINO CANUTO</t>
        </is>
      </c>
      <c r="S31" s="71" t="inlineStr">
        <is>
          <t>fernanda.scamarneira@cielo.com.br</t>
        </is>
      </c>
      <c r="T31" s="71" t="inlineStr">
        <is>
          <t>GLOBO</t>
        </is>
      </c>
      <c r="U31" s="71" t="inlineStr">
        <is>
          <t xml:space="preserve">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
No contrato menciona  o CNPJ  27.865.757/0001-02 e suas filiais, por esse motivo o contrato contempla as filiais também.
As condições comerciais que precisam ser ajustadas é apenas do CNPJ 27.865.757/0069-92 da Globoplay. 
</t>
        </is>
      </c>
      <c r="V31" s="71">
        <f>IFERROR(_xlfn.TEXTBEFORE(_xlfn.TEXTAFTER(U31,"Descrição do problema:&lt;/strong"),"&lt;/p&gt;"),_xlfn.TEXTAFTER(U31,"Descrição do problema:&lt;/strong"))</f>
        <v/>
      </c>
      <c r="W31" s="76">
        <f>_xlfn.CONCAT(D31:E31)</f>
        <v/>
      </c>
      <c r="X31" s="77" t="n">
        <v>46242</v>
      </c>
      <c r="Y31" s="78">
        <f>IF(X31="","Aberto","Encerrado")</f>
        <v/>
      </c>
      <c r="Z31" s="78">
        <f>IF(OR(L31="PENDENTE",L31="EM ANDAMENTO",L31="PENDENTE APROVAÇÃO CANCELAMENTO NF"),TODAY()-O31,X31-O31)</f>
        <v/>
      </c>
      <c r="AA31" s="78">
        <f>IF(Y31="Aberto",Z31+ROW()/100000,"")</f>
        <v/>
      </c>
      <c r="AB31" s="2">
        <f>IF(ISNUMBER(FIND("@cielo.com.br",S31)),"Interno","Externo")</f>
        <v/>
      </c>
      <c r="AC31" t="inlineStr">
        <is>
          <t>Cancelar, substituir ou reemitir nota fiscal.</t>
        </is>
      </c>
      <c r="AD31" t="inlineStr">
        <is>
          <t>cancelamento de nota</t>
        </is>
      </c>
      <c r="AE31" t="inlineStr">
        <is>
          <t>Cancelamento de NF</t>
        </is>
      </c>
      <c r="AF31" t="inlineStr">
        <is>
          <t>Documento Fiscal</t>
        </is>
      </c>
      <c r="AG31" t="inlineStr">
        <is>
          <t>Cancelamento e Reemissão de Nota Fiscal</t>
        </is>
      </c>
      <c r="AI31" t="inlineStr">
        <is>
          <t>INT_NF_CANCEL_REEMISSAO</t>
        </is>
      </c>
      <c r="AJ31" t="inlineStr">
        <is>
          <t>Sugerida</t>
        </is>
      </c>
      <c r="AK31" t="b">
        <v>0</v>
      </c>
      <c r="AN31">
        <f>IF(OR(AG31="",AM31=""),"",IF(AG31=AM31,"SIM","NÃO"))</f>
        <v/>
      </c>
      <c r="AO31" t="inlineStr">
        <is>
          <t>CLASSIFIED_PATTERN</t>
        </is>
      </c>
    </row>
    <row r="32" ht="15.5" customHeight="1">
      <c r="A32" s="1" t="n"/>
      <c r="B32" s="67" t="inlineStr">
        <is>
          <t>Emilly Maria</t>
        </is>
      </c>
      <c r="C32" s="70">
        <f>VLOOKUP(I:I,'Referencias '!H:I,2,0)</f>
        <v/>
      </c>
      <c r="D32" s="71" t="n">
        <v>18470317</v>
      </c>
      <c r="E32" s="71" t="n">
        <v>0</v>
      </c>
      <c r="F32" s="72" t="n">
        <v>2600815050333</v>
      </c>
      <c r="G32" s="72">
        <f>VLOOKUP(H:H,'Referencias '!B:C,2,0)</f>
        <v/>
      </c>
      <c r="H32" s="72">
        <f>TRIM(_xlfn.TEXTBEFORE(_xlfn.TEXTAFTER(U32,"CNPJ/CPF:&lt;/strong&gt;"),"&lt;/p&gt;"))</f>
        <v/>
      </c>
      <c r="I32" s="70" t="inlineStr">
        <is>
          <t>Sem solicitação encerrar</t>
        </is>
      </c>
      <c r="J32" s="72" t="n"/>
      <c r="K32" s="72" t="n"/>
      <c r="L32" s="70" t="inlineStr">
        <is>
          <t>FINALIZADO</t>
        </is>
      </c>
      <c r="M32" s="73" t="inlineStr">
        <is>
          <t>Médio</t>
        </is>
      </c>
      <c r="N32" s="71" t="inlineStr">
        <is>
          <t>1018 Financeiro | Desejo falar com o setor financeiro | KALUNGA SA | ariane.pasilva@cielo.com.br</t>
        </is>
      </c>
      <c r="O32" s="74" t="n">
        <v>46030</v>
      </c>
      <c r="P32" s="123" t="n">
        <v>46094</v>
      </c>
      <c r="Q32" s="177">
        <f>TEXT(O32,"mmm/aaaa")</f>
        <v/>
      </c>
      <c r="R32" s="71" t="inlineStr">
        <is>
          <t>Vanessa dos Santos Araujo</t>
        </is>
      </c>
      <c r="S32" s="71" t="inlineStr">
        <is>
          <t>ariane.pasilva@cielo.com.br</t>
        </is>
      </c>
      <c r="T32" s="71" t="inlineStr">
        <is>
          <t>KALUNGACOM</t>
        </is>
      </c>
      <c r="U32" s="71" t="inlineStr">
        <is>
          <t>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
Prezados, boa tarde. Preciso que a NF 103288, seja cancelada. Motivo:Tivemos um impacto na implantação devido ao freezing da Black Friday - tanto pela Braspag quanto pela ClearSale - o que impossibilitou a finalização do processo nesse período.
Diferentemente de outras integrações, realizamos a migração do MID Kalunga da ClearSale diretamente para a Braspag. Diante disso, acredito que a ClearSale tenha iniciado as cobranças somente após a efetiva migração, que ocorreu no dia 03/12:
DAS SUPEX c</t>
        </is>
      </c>
      <c r="V32" s="71">
        <f>IFERROR(_xlfn.TEXTBEFORE(_xlfn.TEXTAFTER(U32,"Descrição do problema:&lt;/strong"),"&lt;/p&gt;"),_xlfn.TEXTAFTER(U32,"Descrição do problema:&lt;/strong"))</f>
        <v/>
      </c>
      <c r="W32" s="76">
        <f>_xlfn.CONCAT(D32:E32)</f>
        <v/>
      </c>
      <c r="X32" s="77" t="n">
        <v>46240</v>
      </c>
      <c r="Y32" s="78">
        <f>IF(X32="","Aberto","Encerrado")</f>
        <v/>
      </c>
      <c r="Z32" s="78">
        <f>IF(OR(L32="PENDENTE",L32="EM ANDAMENTO",L32="PENDENTE APROVAÇÃO CANCELAMENTO NF"),TODAY()-O32,X32-O32)</f>
        <v/>
      </c>
      <c r="AA32" s="78">
        <f>IF(Y32="Aberto",Z32+ROW()/100000,"")</f>
        <v/>
      </c>
      <c r="AB32" s="2">
        <f>IF(ISNUMBER(FIND("@cielo.com.br",S32)),"Interno","Externo")</f>
        <v/>
      </c>
      <c r="AC32" t="inlineStr">
        <is>
          <t>Cancelar, substituir ou reemitir nota fiscal.</t>
        </is>
      </c>
      <c r="AD32" t="inlineStr">
        <is>
          <t>ACAO:CANCELAR; OBJETO:COBRANCA; OBJETO:NOTA_FISCAL</t>
        </is>
      </c>
      <c r="AE32" t="inlineStr">
        <is>
          <t>Cancelamento de NF</t>
        </is>
      </c>
      <c r="AF32" t="inlineStr">
        <is>
          <t>Documento Fiscal</t>
        </is>
      </c>
      <c r="AG32" t="inlineStr">
        <is>
          <t>Cancelamento e Reemissão de Nota Fiscal</t>
        </is>
      </c>
      <c r="AI32" t="inlineStr">
        <is>
          <t>INT_NF_CANCEL_REEMISSAO</t>
        </is>
      </c>
      <c r="AJ32" t="inlineStr">
        <is>
          <t>Sugerida</t>
        </is>
      </c>
      <c r="AK32" t="b">
        <v>0</v>
      </c>
      <c r="AN32">
        <f>IF(OR(AG32="",AM32=""),"",IF(AG32=AM32,"SIM","NÃO"))</f>
        <v/>
      </c>
      <c r="AO32" t="inlineStr">
        <is>
          <t>CLASSIFIED_SIGNATURE</t>
        </is>
      </c>
    </row>
    <row r="33" ht="15.5" customHeight="1">
      <c r="A33" s="1" t="n"/>
      <c r="B33" s="67" t="inlineStr">
        <is>
          <t>Emilly Maria</t>
        </is>
      </c>
      <c r="C33" s="70">
        <f>VLOOKUP(I:I,'Referencias '!H:I,2,0)</f>
        <v/>
      </c>
      <c r="D33" s="71" t="n">
        <v>18507331</v>
      </c>
      <c r="E33" s="71" t="n">
        <v>0</v>
      </c>
      <c r="F33" s="72" t="n">
        <v>2600916075566</v>
      </c>
      <c r="G33" s="72">
        <f>VLOOKUP(H:H,'Referencias '!B:C,2,0)</f>
        <v/>
      </c>
      <c r="H33" s="72">
        <f>TRIM(_xlfn.TEXTBEFORE(_xlfn.TEXTAFTER(U33,"CNPJ/CPF:&lt;/strong&gt;"),"&lt;/p&gt;"))</f>
        <v/>
      </c>
      <c r="I33" s="70" t="inlineStr">
        <is>
          <t>Outros</t>
        </is>
      </c>
      <c r="J33" s="72" t="n"/>
      <c r="K33" s="72" t="n"/>
      <c r="L33" s="70" t="inlineStr">
        <is>
          <t>FINALIZADO</t>
        </is>
      </c>
      <c r="M33" s="73" t="inlineStr">
        <is>
          <t>Médio</t>
        </is>
      </c>
      <c r="N33" s="71" t="inlineStr">
        <is>
          <t>1018 Financeiro | Desejo falar com o setor financeiro | Caroline Mendes | carolineal@cielo.com.br</t>
        </is>
      </c>
      <c r="O33" s="74" t="n">
        <v>46031</v>
      </c>
      <c r="P33" s="123" t="n">
        <v>46035</v>
      </c>
      <c r="Q33" s="177">
        <f>TEXT(O33,"mmm/aaaa")</f>
        <v/>
      </c>
      <c r="R33" s="71" t="inlineStr">
        <is>
          <t>Larissa QUIRINO CANUTO</t>
        </is>
      </c>
      <c r="S33" s="71" t="inlineStr">
        <is>
          <t>carolineal@cielo.com.br</t>
        </is>
      </c>
      <c r="T33" s="71" t="inlineStr">
        <is>
          <t>COVABRA SUPERMERCADOS LTDA</t>
        </is>
      </c>
      <c r="U33" s="71" t="inlineStr">
        <is>
          <t xml:space="preserve">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
Preciso de uma ajuda, o cliente Covabra me questionou o porque a cobrança deles está sendo de 91,39 no produto velocity, sendo que no contrato assinado em 2025 o valor era de 85,00.
Além disso, observei que que o formato da cobrança está desajustado. Quando as transações ultrapassam o mínimo, o valor cobrado passa a ser calculado pelos centavos multiplicados pelo custo.
No mês de dezembro, vocês tiveram 3.245 transações no Velocity, acima do mínimo de 500. Ou seja, o custo por transação seria de </t>
        </is>
      </c>
      <c r="V33" s="71">
        <f>IFERROR(_xlfn.TEXTBEFORE(_xlfn.TEXTAFTER(U33,"Descrição do problema:&lt;/strong"),"&lt;/p&gt;"),_xlfn.TEXTAFTER(U33,"Descrição do problema:&lt;/strong"))</f>
        <v/>
      </c>
      <c r="W33" s="76">
        <f>_xlfn.CONCAT(D33:E33)</f>
        <v/>
      </c>
      <c r="X33" s="77" t="n">
        <v>46240</v>
      </c>
      <c r="Y33" s="78">
        <f>IF(X33="","Aberto","Encerrado")</f>
        <v/>
      </c>
      <c r="Z33" s="78">
        <f>IF(OR(L33="PENDENTE",L33="EM ANDAMENTO",L33="PENDENTE APROVAÇÃO CANCELAMENTO NF"),TODAY()-O33,X33-O33)</f>
        <v/>
      </c>
      <c r="AA33" s="78">
        <f>IF(Y33="Aberto",Z33+ROW()/100000,"")</f>
        <v/>
      </c>
      <c r="AB33" s="2">
        <f>IF(ISNUMBER(FIND("@cielo.com.br",S33)),"Interno","Externo")</f>
        <v/>
      </c>
      <c r="AC33" t="inlineStr">
        <is>
          <t>Contestar divergência, valor ou critério de cobrança.</t>
        </is>
      </c>
      <c r="AD33" t="inlineStr">
        <is>
          <t>OBJETO:COBRANCA; OBJETO:CONTRATO; CONTEXTO:DIVERGENCIA</t>
        </is>
      </c>
      <c r="AE33" t="inlineStr">
        <is>
          <t>Contestação de cobrança</t>
        </is>
      </c>
      <c r="AF33" t="inlineStr">
        <is>
          <t>Valor Cobrado</t>
        </is>
      </c>
      <c r="AG33" t="inlineStr">
        <is>
          <t>Cobrança e Contestação</t>
        </is>
      </c>
      <c r="AI33" t="inlineStr">
        <is>
          <t>INT_COB_CONTESTACAO</t>
        </is>
      </c>
      <c r="AJ33" t="inlineStr">
        <is>
          <t>Sugerida</t>
        </is>
      </c>
      <c r="AK33" t="b">
        <v>0</v>
      </c>
      <c r="AN33">
        <f>IF(OR(AG33="",AM33=""),"",IF(AG33=AM33,"SIM","NÃO"))</f>
        <v/>
      </c>
      <c r="AO33" t="inlineStr">
        <is>
          <t>CLASSIFIED_SIGNATURE</t>
        </is>
      </c>
    </row>
    <row r="34" ht="15.5" customHeight="1">
      <c r="A34" s="1" t="n"/>
      <c r="B34" s="67" t="inlineStr">
        <is>
          <t>Stephany Lima</t>
        </is>
      </c>
      <c r="C34" s="70">
        <f>VLOOKUP(I:I,'Referencias '!H:I,2,0)</f>
        <v/>
      </c>
      <c r="D34" s="71" t="n">
        <v>18493953</v>
      </c>
      <c r="E34" s="71" t="n">
        <v>0</v>
      </c>
      <c r="F34" s="72" t="n">
        <v>2600911066390</v>
      </c>
      <c r="G34" s="72">
        <f>T34</f>
        <v/>
      </c>
      <c r="H34" s="72">
        <f>TRIM(_xlfn.TEXTBEFORE(_xlfn.TEXTAFTER(U34,"CNPJ/CPF:&lt;/strong&gt;"),"&lt;/p&gt;"))</f>
        <v/>
      </c>
      <c r="I34" s="70" t="inlineStr">
        <is>
          <t>Cancelamento de NF</t>
        </is>
      </c>
      <c r="J34" s="126" t="n"/>
      <c r="K34" s="126" t="inlineStr">
        <is>
          <t>Comercial</t>
        </is>
      </c>
      <c r="L34" s="70" t="inlineStr">
        <is>
          <t>FINALIZADO</t>
        </is>
      </c>
      <c r="M34" s="73" t="inlineStr">
        <is>
          <t>Médio</t>
        </is>
      </c>
      <c r="N34" s="71" t="inlineStr">
        <is>
          <t>1018 Financeiro | Desejo falar com o setor financeiro | BLOMME LTDA | ariane.pasilva@cielo.com.br</t>
        </is>
      </c>
      <c r="O34" s="74" t="n">
        <v>46031</v>
      </c>
      <c r="P34" s="123" t="n">
        <v>46031</v>
      </c>
      <c r="Q34" s="177">
        <f>TEXT(O34,"mmm/aaaa")</f>
        <v/>
      </c>
      <c r="R34" s="71" t="inlineStr">
        <is>
          <t>STEPHANY LIMA DE LISBOA</t>
        </is>
      </c>
      <c r="S34" s="71" t="inlineStr">
        <is>
          <t>ariane.pasilva@cielo.com.br</t>
        </is>
      </c>
      <c r="T34" s="71" t="inlineStr">
        <is>
          <t>BLOMME LTDA</t>
        </is>
      </c>
      <c r="U34" s="71" t="inlineStr">
        <is>
          <t>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t>
        </is>
      </c>
      <c r="V34" s="71">
        <f>IFERROR(_xlfn.TEXTBEFORE(_xlfn.TEXTAFTER(U34,"Descrição do problema:&lt;/strong"),"&lt;/p&gt;"),_xlfn.TEXTAFTER(U34,"Descrição do problema:&lt;/strong"))</f>
        <v/>
      </c>
      <c r="W34" s="76">
        <f>_xlfn.CONCAT(D34:E34)</f>
        <v/>
      </c>
      <c r="X34" s="77">
        <f>P34</f>
        <v/>
      </c>
      <c r="Y34" s="78">
        <f>IF(X34="","Aberto","Encerrado")</f>
        <v/>
      </c>
      <c r="Z34" s="78">
        <f>IF(OR(L34="PENDENTE",L34="EM ANDAMENTO",L34="PENDENTE APROVAÇÃO CANCELAMENTO NF"),TODAY()-O34,X34-O34)</f>
        <v/>
      </c>
      <c r="AA34" s="78">
        <f>IF(Y34="Aberto",Z34+ROW()/100000,"")</f>
        <v/>
      </c>
      <c r="AB34" s="2">
        <f>IF(ISNUMBER(FIND("@cielo.com.br",S34)),"Interno","Externo")</f>
        <v/>
      </c>
      <c r="AC34" t="inlineStr">
        <is>
          <t>Cancelar, substituir ou reemitir nota fiscal.</t>
        </is>
      </c>
      <c r="AD34" t="inlineStr">
        <is>
          <t>ACAO:CANCELAR; OBJETO:NOTA_FISCAL</t>
        </is>
      </c>
      <c r="AE34" t="inlineStr">
        <is>
          <t>Cancelamento de NF</t>
        </is>
      </c>
      <c r="AF34" t="inlineStr">
        <is>
          <t>Documento Fiscal</t>
        </is>
      </c>
      <c r="AG34" t="inlineStr">
        <is>
          <t>Cancelamento e Reemissão de Nota Fiscal</t>
        </is>
      </c>
      <c r="AI34" t="inlineStr">
        <is>
          <t>INT_NF_CANCEL_REEMISSAO</t>
        </is>
      </c>
      <c r="AJ34" t="inlineStr">
        <is>
          <t>Sugerida</t>
        </is>
      </c>
      <c r="AK34" t="b">
        <v>0</v>
      </c>
      <c r="AN34">
        <f>IF(OR(AG34="",AM34=""),"",IF(AG34=AM34,"SIM","NÃO"))</f>
        <v/>
      </c>
      <c r="AO34" t="inlineStr">
        <is>
          <t>CLASSIFIED_SIGNATURE</t>
        </is>
      </c>
    </row>
    <row r="35" ht="15.5" customHeight="1">
      <c r="A35" s="1" t="n"/>
      <c r="B35" s="67" t="inlineStr">
        <is>
          <t>Stephany Lima</t>
        </is>
      </c>
      <c r="C35" s="70">
        <f>VLOOKUP(I:I,'Referencias '!H:I,2,0)</f>
        <v/>
      </c>
      <c r="D35" s="71" t="n">
        <v>18597237</v>
      </c>
      <c r="E35" s="71" t="n">
        <v>0</v>
      </c>
      <c r="F35" s="72" t="n">
        <v>2601317140800</v>
      </c>
      <c r="G35" s="72">
        <f>VLOOKUP(H:H,'Referencias '!B:C,2,0)</f>
        <v/>
      </c>
      <c r="H35" s="72">
        <f>TRIM(_xlfn.TEXTBEFORE(_xlfn.TEXTAFTER(U35,"CNPJ/CPF:&lt;/strong&gt;"),"&lt;/p&gt;"))</f>
        <v/>
      </c>
      <c r="I35" s="70" t="inlineStr">
        <is>
          <t>Contestação de cobrança</t>
        </is>
      </c>
      <c r="J35" s="72" t="n"/>
      <c r="K35" s="72" t="n"/>
      <c r="L35" s="70" t="inlineStr">
        <is>
          <t>FINALIZADO</t>
        </is>
      </c>
      <c r="M35" s="73" t="inlineStr">
        <is>
          <t>Médio</t>
        </is>
      </c>
      <c r="N35" s="71" t="inlineStr">
        <is>
          <t>1018 Financeiro | Desejo falar com o setor financeiro | Lenon Oliveira | lenon.oliveira@savegnago.com.br</t>
        </is>
      </c>
      <c r="O35" s="74" t="n">
        <v>46035</v>
      </c>
      <c r="P35" s="123" t="n">
        <v>46059</v>
      </c>
      <c r="Q35" s="177">
        <f>TEXT(O35,"mmm/aaaa")</f>
        <v/>
      </c>
      <c r="R35" s="71" t="inlineStr">
        <is>
          <t>Larissa QUIRINO CANUTO</t>
        </is>
      </c>
      <c r="S35" s="71" t="inlineStr">
        <is>
          <t>lenon.oliveira@savegnago.com.br</t>
        </is>
      </c>
      <c r="T35" s="71" t="inlineStr">
        <is>
          <t>SAVEGNAGO Lj 1 Matriz Sertaozinho</t>
        </is>
      </c>
      <c r="U35" s="71" t="inlineStr">
        <is>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
Pessoal encontrei uma divergência quanto a uma nota fiscal do Antifraude,
NF 80105
Trata-se de uma nota de 2024, quando ainda não existia nenhum contrato com Antifraude,
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s>
      </c>
      <c r="V35" s="71">
        <f>IFERROR(_xlfn.TEXTBEFORE(_xlfn.TEXTAFTER(U35,"Descrição do problema:&lt;/strong"),"&lt;/p&gt;"),_xlfn.TEXTAFTER(U35,"Descrição do problema:&lt;/strong"))</f>
        <v/>
      </c>
      <c r="W35" s="76">
        <f>_xlfn.CONCAT(D35:E35)</f>
        <v/>
      </c>
      <c r="X35" s="77" t="n">
        <v>46239</v>
      </c>
      <c r="Y35" s="78">
        <f>IF(X35="","Aberto","Encerrado")</f>
        <v/>
      </c>
      <c r="Z35" s="78">
        <f>IF(OR(L35="PENDENTE",L35="EM ANDAMENTO",L35="PENDENTE APROVAÇÃO CANCELAMENTO NF"),TODAY()-O35,X35-O35)</f>
        <v/>
      </c>
      <c r="AA35" s="78">
        <f>IF(Y35="Aberto",Z35+ROW()/100000,"")</f>
        <v/>
      </c>
      <c r="AB35" s="2">
        <f>IF(ISNUMBER(FIND("@cielo.com.br",S35)),"Interno","Externo")</f>
        <v/>
      </c>
      <c r="AC35" t="inlineStr">
        <is>
          <t>Contestar divergência, valor ou critério de cobrança.</t>
        </is>
      </c>
      <c r="AD35" t="inlineStr">
        <is>
          <t>OBJETO:COBRANCA; OBJETO:CONTRATO; OBJETO:NOTA_FISCAL; CONTEXTO:DIVERGENCIA</t>
        </is>
      </c>
      <c r="AE35" t="inlineStr">
        <is>
          <t>Contestação de cobrança</t>
        </is>
      </c>
      <c r="AF35" t="inlineStr">
        <is>
          <t>Valor Cobrado</t>
        </is>
      </c>
      <c r="AG35" t="inlineStr">
        <is>
          <t>Cobrança e Contestação</t>
        </is>
      </c>
      <c r="AI35" t="inlineStr">
        <is>
          <t>INT_COB_CONTESTACAO</t>
        </is>
      </c>
      <c r="AJ35" t="inlineStr">
        <is>
          <t>Sugerida</t>
        </is>
      </c>
      <c r="AK35" t="b">
        <v>0</v>
      </c>
      <c r="AN35">
        <f>IF(OR(AG35="",AM35=""),"",IF(AG35=AM35,"SIM","NÃO"))</f>
        <v/>
      </c>
      <c r="AO35" t="inlineStr">
        <is>
          <t>CLASSIFIED_SIGNATURE</t>
        </is>
      </c>
    </row>
    <row r="36" ht="15.5" customHeight="1">
      <c r="A36" s="1" t="n"/>
      <c r="B36" s="67" t="inlineStr">
        <is>
          <t>Stephany Lima</t>
        </is>
      </c>
      <c r="C36" s="70">
        <f>VLOOKUP(I:I,'Referencias '!H:I,2,0)</f>
        <v/>
      </c>
      <c r="D36" s="71" t="n">
        <v>18623547</v>
      </c>
      <c r="E36" s="71" t="n">
        <v>0</v>
      </c>
      <c r="F36" s="72" t="n">
        <v>2601414159330</v>
      </c>
      <c r="G36" s="72">
        <f>VLOOKUP(H:H,'Referencias '!B:C,2,0)</f>
        <v/>
      </c>
      <c r="H36" s="72">
        <f>TRIM(_xlfn.TEXTBEFORE(_xlfn.TEXTAFTER(U36,"CNPJ/CPF:&lt;/strong&gt;"),"&lt;/p&gt;"))</f>
        <v/>
      </c>
      <c r="I36" s="70" t="inlineStr">
        <is>
          <t>Congelamento de contrato</t>
        </is>
      </c>
      <c r="J36" s="72" t="n"/>
      <c r="K36" s="72" t="n"/>
      <c r="L36" s="70" t="inlineStr">
        <is>
          <t>FINALIZADO</t>
        </is>
      </c>
      <c r="M36" s="73" t="inlineStr">
        <is>
          <t>Médio</t>
        </is>
      </c>
      <c r="N36" s="71" t="inlineStr">
        <is>
          <t>1018 Financeiro | Desejo falar com o setor financeiro | Isabella | isabella.lestingi@cielo.com.br</t>
        </is>
      </c>
      <c r="O36" s="74" t="n">
        <v>46036</v>
      </c>
      <c r="P36" s="123" t="n">
        <v>46042</v>
      </c>
      <c r="Q36" s="177">
        <f>TEXT(O36,"mmm/aaaa")</f>
        <v/>
      </c>
      <c r="R36" s="71" t="inlineStr">
        <is>
          <t>STEPHANY LIMA DE LISBOA</t>
        </is>
      </c>
      <c r="S36" s="71" t="inlineStr">
        <is>
          <t>isabella.lestingi@cielo.com.br</t>
        </is>
      </c>
      <c r="T36" s="71" t="inlineStr">
        <is>
          <t>ESCOLAWEB</t>
        </is>
      </c>
      <c r="U36" s="71" t="inlineStr">
        <is>
          <t>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t>
        </is>
      </c>
      <c r="V36" s="71">
        <f>IFERROR(_xlfn.TEXTBEFORE(_xlfn.TEXTAFTER(U36,"Descrição do problema:&lt;/strong"),"&lt;/p&gt;"),_xlfn.TEXTAFTER(U36,"Descrição do problema:&lt;/strong"))</f>
        <v/>
      </c>
      <c r="W36" s="76">
        <f>_xlfn.CONCAT(D36:E36)</f>
        <v/>
      </c>
      <c r="X36" s="77" t="n">
        <v>46234</v>
      </c>
      <c r="Y36" s="78">
        <f>IF(X36="","Aberto","Encerrado")</f>
        <v/>
      </c>
      <c r="Z36" s="78">
        <f>IF(OR(L36="PENDENTE",L36="EM ANDAMENTO",L36="PENDENTE APROVAÇÃO CANCELAMENTO NF"),TODAY()-O36,X36-O36)</f>
        <v/>
      </c>
      <c r="AA36" s="78">
        <f>IF(Y36="Aberto",Z36+ROW()/100000,"")</f>
        <v/>
      </c>
      <c r="AB36" s="2">
        <f>IF(ISNUMBER(FIND("@cielo.com.br",S36)),"Interno","Externo")</f>
        <v/>
      </c>
      <c r="AC36" t="inlineStr">
        <is>
          <t>Congelar ou suspender temporariamente contrato ou serviço.</t>
        </is>
      </c>
      <c r="AD36" t="inlineStr">
        <is>
          <t>ACAO:CANCELAR; ACAO:SUSPENDER; OBJETO:CONTRATO; OBJETO:SUSPENDER</t>
        </is>
      </c>
      <c r="AE36" t="inlineStr">
        <is>
          <t>Congelamento de contrato</t>
        </is>
      </c>
      <c r="AF36" t="inlineStr">
        <is>
          <t>Contrato/Cadastro</t>
        </is>
      </c>
      <c r="AG36" t="inlineStr">
        <is>
          <t>Contratos, Comercial e Cadastro</t>
        </is>
      </c>
      <c r="AI36" t="inlineStr">
        <is>
          <t>INT_CON_CONGELAMENTO</t>
        </is>
      </c>
      <c r="AJ36" t="inlineStr">
        <is>
          <t>Sugerida</t>
        </is>
      </c>
      <c r="AK36" t="b">
        <v>0</v>
      </c>
      <c r="AN36">
        <f>IF(OR(AG36="",AM36=""),"",IF(AG36=AM36,"SIM","NÃO"))</f>
        <v/>
      </c>
      <c r="AO36" t="inlineStr">
        <is>
          <t>CLASSIFIED_SIGNATURE</t>
        </is>
      </c>
    </row>
    <row r="37" ht="15.5" customHeight="1">
      <c r="A37" s="1" t="n"/>
      <c r="B37" s="67" t="inlineStr">
        <is>
          <t>Stephany Lima</t>
        </is>
      </c>
      <c r="C37" s="70">
        <f>VLOOKUP(I:I,'Referencias '!H:I,2,0)</f>
        <v/>
      </c>
      <c r="D37" s="71" t="n">
        <v>18604102</v>
      </c>
      <c r="E37" s="71" t="n">
        <v>0</v>
      </c>
      <c r="F37" s="72" t="n">
        <v>2601409145692</v>
      </c>
      <c r="G37" s="72">
        <f>VLOOKUP(H:H,'Referencias '!B:C,2,0)</f>
        <v/>
      </c>
      <c r="H37" s="72">
        <f>TRIM(_xlfn.TEXTBEFORE(_xlfn.TEXTAFTER(U37,"CNPJ/CPF:&lt;/strong&gt;"),"&lt;/p&gt;"))</f>
        <v/>
      </c>
      <c r="I37" s="70" t="inlineStr">
        <is>
          <t>Cancelamento de Nota Fiscal</t>
        </is>
      </c>
      <c r="J37" s="72" t="inlineStr">
        <is>
          <t>Aguardando DA</t>
        </is>
      </c>
      <c r="K37" s="72" t="n"/>
      <c r="L37" s="70" t="inlineStr">
        <is>
          <t>FINALIZADO</t>
        </is>
      </c>
      <c r="M37" s="73" t="inlineStr">
        <is>
          <t>Alta</t>
        </is>
      </c>
      <c r="N37" s="71" t="inlineStr">
        <is>
          <t>1018 Financeiro | Desejo falar com o setor financeiro | Raphael Palmeira | raphael.palmeira@cielo.com.br</t>
        </is>
      </c>
      <c r="O37" s="74" t="n">
        <v>46036</v>
      </c>
      <c r="P37" s="123" t="n">
        <v>46162</v>
      </c>
      <c r="Q37" s="177">
        <f>TEXT(O37,"mmm/aaaa")</f>
        <v/>
      </c>
      <c r="R37" s="71" t="inlineStr">
        <is>
          <t>STEPHANY LIMA DE LISBOA</t>
        </is>
      </c>
      <c r="S37" s="71" t="inlineStr">
        <is>
          <t>raphael.palmeira@cielo.com.br</t>
        </is>
      </c>
      <c r="T37" s="71" t="inlineStr">
        <is>
          <t>DROGARIA MINAS BRASIL</t>
        </is>
      </c>
      <c r="U37" s="71" t="inlineStr">
        <is>
          <t>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Temos o de acordo do supex Pelizon para o cancelamento parcial das NFs do cliente Drogaria Minas Brasil. 
Serão canceladas: 
9 notas do gateway, de março a novembro.
4 notas do antifraude avançado de agosto a novembro.
No anexo está o de acordo com todos os email trocados. 
Fico a disposição.&lt;/p&gt;&lt;p&gt;&lt;strong&gt;ID da transação:&lt;/strong&gt; &lt;/p&gt;&lt;p&gt;&lt;strong&gt;Código do erro:&lt;/strong&gt; &lt;/p&gt;&lt;p&gt;&lt;strong&gt;Sobre qual produto ou área deseja falar?:&lt;/strong&gt; Financeiro&lt;/p&gt;&lt;p&gt;&lt;strong&gt;Como podemos te ajudar?:&lt;/strong&gt; Desejo falar com o setor f</t>
        </is>
      </c>
      <c r="V37" s="71">
        <f>IFERROR(_xlfn.TEXTBEFORE(_xlfn.TEXTAFTER(U37,"Descrição do problema:&lt;/strong"),"&lt;/p&gt;"),_xlfn.TEXTAFTER(U37,"Descrição do problema:&lt;/strong"))</f>
        <v/>
      </c>
      <c r="W37" s="76">
        <f>_xlfn.CONCAT(D37:E37)</f>
        <v/>
      </c>
      <c r="X37" s="77" t="n">
        <v>46287</v>
      </c>
      <c r="Y37" s="78">
        <f>IF(X37="","Aberto","Encerrado")</f>
        <v/>
      </c>
      <c r="Z37" s="78">
        <f>IF(OR(L37="PENDENTE",L37="EM ANDAMENTO",L37="PENDENTE APROVAÇÃO CANCELAMENTO NF"),TODAY()-O37,X37-O37)</f>
        <v/>
      </c>
      <c r="AA37" s="78">
        <f>IF(Y37="Aberto",Z37+ROW()/100000,"")</f>
        <v/>
      </c>
      <c r="AB37" s="2">
        <f>IF(ISNUMBER(FIND("@cielo.com.br",S37)),"Interno","Externo")</f>
        <v/>
      </c>
      <c r="AC37" t="inlineStr">
        <is>
          <t>Cancelar, substituir ou reemitir nota fiscal.</t>
        </is>
      </c>
      <c r="AD37" t="inlineStr">
        <is>
          <t>ACAO:CANCELAR; OBJETO:NOTA_FISCAL</t>
        </is>
      </c>
      <c r="AE37" t="inlineStr">
        <is>
          <t>Cancelamento de NF</t>
        </is>
      </c>
      <c r="AF37" t="inlineStr">
        <is>
          <t>Documento Fiscal</t>
        </is>
      </c>
      <c r="AG37" t="inlineStr">
        <is>
          <t>Cancelamento e Reemissão de Nota Fiscal</t>
        </is>
      </c>
      <c r="AI37" t="inlineStr">
        <is>
          <t>INT_NF_CANCEL_REEMISSAO</t>
        </is>
      </c>
      <c r="AJ37" t="inlineStr">
        <is>
          <t>Sugerida</t>
        </is>
      </c>
      <c r="AK37" t="b">
        <v>0</v>
      </c>
      <c r="AN37">
        <f>IF(OR(AG37="",AM37=""),"",IF(AG37=AM37,"SIM","NÃO"))</f>
        <v/>
      </c>
      <c r="AO37" t="inlineStr">
        <is>
          <t>CLASSIFIED_SIGNATURE</t>
        </is>
      </c>
    </row>
    <row r="38" ht="15.5" customHeight="1">
      <c r="A38" s="1" t="n"/>
      <c r="B38" s="67" t="inlineStr">
        <is>
          <t>Pamela de Sá</t>
        </is>
      </c>
      <c r="C38" s="70">
        <f>VLOOKUP(I:I,'Referencias '!H:I,2,0)</f>
        <v/>
      </c>
      <c r="D38" s="71" t="n">
        <v>18762416</v>
      </c>
      <c r="E38" s="71" t="n">
        <v>0</v>
      </c>
      <c r="F38" s="72" t="n">
        <v>2601918257712</v>
      </c>
      <c r="G38" s="72">
        <f>VLOOKUP(H:H,'Referencias '!B:C,2,0)</f>
        <v/>
      </c>
      <c r="H38" s="72">
        <f>TRIM(_xlfn.TEXTBEFORE(_xlfn.TEXTAFTER(U38,"CNPJ/CPF:&lt;/strong&gt;"),"&lt;/p&gt;"))</f>
        <v/>
      </c>
      <c r="I38" s="70" t="inlineStr">
        <is>
          <t>Pendente Retorno Comercial</t>
        </is>
      </c>
      <c r="J38" s="72" t="n"/>
      <c r="K38" s="72" t="n"/>
      <c r="L38" s="70" t="inlineStr">
        <is>
          <t>FINALIZADO</t>
        </is>
      </c>
      <c r="M38" s="73" t="inlineStr">
        <is>
          <t>Médio</t>
        </is>
      </c>
      <c r="N38" s="71" t="inlineStr">
        <is>
          <t>1018 Financeiro | Desejo falar com o setor financeiro | Clarissa Rissi | clarissa.rissi@cielo.com.br</t>
        </is>
      </c>
      <c r="O38" s="74" t="n">
        <v>46041</v>
      </c>
      <c r="P38" s="123" t="n">
        <v>46062</v>
      </c>
      <c r="Q38" s="177">
        <f>TEXT(O38,"mmm/aaaa")</f>
        <v/>
      </c>
      <c r="R38" s="71" t="inlineStr">
        <is>
          <t>Larissa QUIRINO CANUTO</t>
        </is>
      </c>
      <c r="S38" s="71" t="inlineStr">
        <is>
          <t>clarissa.rissi@cielo.com.br</t>
        </is>
      </c>
      <c r="T38" s="71" t="inlineStr">
        <is>
          <t>ZAPPING</t>
        </is>
      </c>
      <c r="U38" s="71" t="inlineStr">
        <is>
          <t>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
Fizemos a renegociação dos valores de antifraude do clientes, assim como a adição do emailage, crio esse chamado para reforçar as novas condições no termo em anexo, pois precisamos que elas reflitam no billing.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t>
        </is>
      </c>
      <c r="V38" s="71">
        <f>IFERROR(_xlfn.TEXTBEFORE(_xlfn.TEXTAFTER(U38,"Descrição do problema:&lt;/strong"),"&lt;/p&gt;"),_xlfn.TEXTAFTER(U38,"Descrição do problema:&lt;/strong"))</f>
        <v/>
      </c>
      <c r="W38" s="76">
        <f>_xlfn.CONCAT(D38:E38)</f>
        <v/>
      </c>
      <c r="X38" s="77" t="n">
        <v>46242</v>
      </c>
      <c r="Y38" s="78">
        <f>IF(X38="","Aberto","Encerrado")</f>
        <v/>
      </c>
      <c r="Z38" s="78">
        <f>IF(OR(L38="PENDENTE",L38="EM ANDAMENTO",L38="PENDENTE APROVAÇÃO CANCELAMENTO NF"),TODAY()-O38,X38-O38)</f>
        <v/>
      </c>
      <c r="AA38" s="78">
        <f>IF(Y38="Aberto",Z38+ROW()/100000,"")</f>
        <v/>
      </c>
      <c r="AB38" s="2">
        <f>IF(ISNUMBER(FIND("@cielo.com.br",S38)),"Interno","Externo")</f>
        <v/>
      </c>
      <c r="AC38" t="inlineStr">
        <is>
          <t>Alterar, renegociar ou atualizar condições comerciais ou contratuais.</t>
        </is>
      </c>
      <c r="AD38" t="inlineStr">
        <is>
          <t>renegociação + taxa; renegociação dos valores; renegociação de taxas</t>
        </is>
      </c>
      <c r="AE38" t="inlineStr">
        <is>
          <t>Pendente retorno comercial</t>
        </is>
      </c>
      <c r="AF38" t="inlineStr">
        <is>
          <t>Contrato/Cadastro</t>
        </is>
      </c>
      <c r="AG38" t="inlineStr">
        <is>
          <t>Contratos, Comercial e Cadastro</t>
        </is>
      </c>
      <c r="AI38" t="inlineStr">
        <is>
          <t>INT_CON_CONDICOES</t>
        </is>
      </c>
      <c r="AJ38" t="inlineStr">
        <is>
          <t>Sugerida</t>
        </is>
      </c>
      <c r="AK38" t="b">
        <v>0</v>
      </c>
      <c r="AN38">
        <f>IF(OR(AG38="",AM38=""),"",IF(AG38=AM38,"SIM","NÃO"))</f>
        <v/>
      </c>
      <c r="AO38" t="inlineStr">
        <is>
          <t>CLASSIFIED_PATTERN</t>
        </is>
      </c>
    </row>
    <row r="39" ht="15.5" customHeight="1">
      <c r="A39" s="1" t="n"/>
      <c r="B39" s="67" t="inlineStr">
        <is>
          <t>Emilly Maria</t>
        </is>
      </c>
      <c r="C39" s="70">
        <f>VLOOKUP(I:I,'Referencias '!H:I,2,0)</f>
        <v/>
      </c>
      <c r="D39" s="71" t="n">
        <v>18751902</v>
      </c>
      <c r="E39" s="71" t="n">
        <v>0</v>
      </c>
      <c r="F39" s="72" t="n">
        <v>2601915250536</v>
      </c>
      <c r="G39" s="72">
        <f>T39</f>
        <v/>
      </c>
      <c r="H39" s="72" t="n"/>
      <c r="I39" s="70" t="inlineStr">
        <is>
          <t>Pendente Retorno Comercial</t>
        </is>
      </c>
      <c r="J39" s="72" t="n"/>
      <c r="K39" s="72" t="n"/>
      <c r="L39" s="70" t="inlineStr">
        <is>
          <t>FINALIZADO</t>
        </is>
      </c>
      <c r="M39" s="73" t="inlineStr">
        <is>
          <t>Médio</t>
        </is>
      </c>
      <c r="N39" s="71" t="inlineStr">
        <is>
          <t>1002 Portais E-commerce | Estou com um problema em produção e preciso de ajuda | Raquel Bencini | raquel.bencini@mbrf.com</t>
        </is>
      </c>
      <c r="O39" s="74" t="n">
        <v>46041</v>
      </c>
      <c r="P39" s="123" t="n">
        <v>46050</v>
      </c>
      <c r="Q39" s="177">
        <f>TEXT(O39,"mmm/aaaa")</f>
        <v/>
      </c>
      <c r="R39" s="71" t="inlineStr">
        <is>
          <t>ECOMMERCE BP SUPORTE FINANCEIRO N2</t>
        </is>
      </c>
      <c r="S39" s="71" t="inlineStr">
        <is>
          <t>raquel.bencini@mbrf.com</t>
        </is>
      </c>
      <c r="T39" s="71" t="inlineStr">
        <is>
          <t>EMPORIO CHAP</t>
        </is>
      </c>
      <c r="U39" s="71" t="inlineStr">
        <is>
          <t>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t>
        </is>
      </c>
      <c r="V39" s="71">
        <f>IFERROR(_xlfn.TEXTBEFORE(_xlfn.TEXTAFTER(U39,"Descrição do problema:&lt;/strong"),"&lt;/p&gt;"),_xlfn.TEXTAFTER(U39,"Descrição do problema:&lt;/strong"))</f>
        <v/>
      </c>
      <c r="W39" s="76">
        <f>_xlfn.CONCAT(D39:E39)</f>
        <v/>
      </c>
      <c r="X39" s="77" t="n">
        <v>46245</v>
      </c>
      <c r="Y39" s="78">
        <f>IF(X39="","Aberto","Encerrado")</f>
        <v/>
      </c>
      <c r="Z39" s="78">
        <f>IF(OR(L39="PENDENTE",L39="EM ANDAMENTO",L39="PENDENTE APROVAÇÃO CANCELAMENTO NF"),TODAY()-O39,X39-O39)</f>
        <v/>
      </c>
      <c r="AA39" s="78">
        <f>IF(Y39="Aberto",Z39+ROW()/100000,"")</f>
        <v/>
      </c>
      <c r="AB39" s="2">
        <f>IF(ISNUMBER(FIND("@cielo.com.br",S39)),"Interno","Externo")</f>
        <v/>
      </c>
      <c r="AD39" t="inlineStr"/>
      <c r="AJ39" t="inlineStr">
        <is>
          <t>Sem correspondência</t>
        </is>
      </c>
      <c r="AK39" t="b">
        <v>0</v>
      </c>
      <c r="AN39">
        <f>IF(OR(AG39="",AM39=""),"",IF(AG39=AM39,"SIM","NÃO"))</f>
        <v/>
      </c>
      <c r="AO39" t="inlineStr">
        <is>
          <t>NO_PATTERN</t>
        </is>
      </c>
    </row>
    <row r="40" ht="15.5" customHeight="1">
      <c r="A40" s="1" t="n"/>
      <c r="B40" s="67" t="inlineStr">
        <is>
          <t>Emilly Maria</t>
        </is>
      </c>
      <c r="C40" s="70">
        <f>VLOOKUP(I:I,'Referencias '!H:I,2,0)</f>
        <v/>
      </c>
      <c r="D40" s="71" t="n">
        <v>18831004</v>
      </c>
      <c r="E40" s="71" t="n">
        <v>0</v>
      </c>
      <c r="F40" s="72" t="n">
        <v>2602114306856</v>
      </c>
      <c r="G40" s="72">
        <f>T40</f>
        <v/>
      </c>
      <c r="H40" s="72">
        <f>TRIM(_xlfn.TEXTBEFORE(_xlfn.TEXTAFTER(U40,"CNPJ/CPF:&lt;/strong&gt;"),"&lt;/p&gt;"))</f>
        <v/>
      </c>
      <c r="I40" s="70" t="inlineStr">
        <is>
          <t>Cancelamento de NF / reemissão</t>
        </is>
      </c>
      <c r="J40" s="72" t="n"/>
      <c r="K40" s="72" t="n"/>
      <c r="L40" s="70" t="inlineStr">
        <is>
          <t>EM ANDAMENTO</t>
        </is>
      </c>
      <c r="M40" s="73" t="inlineStr">
        <is>
          <t>Médio</t>
        </is>
      </c>
      <c r="N40" s="71" t="inlineStr">
        <is>
          <t>1018 Financeiro | Desejo falar com o setor financeiro | vinicius ferraz | vferraz@recordtv.com.br</t>
        </is>
      </c>
      <c r="O40" s="74" t="n">
        <v>46043</v>
      </c>
      <c r="P40" s="123" t="n">
        <v>46044</v>
      </c>
      <c r="Q40" s="177">
        <f>TEXT(O40,"mmm/aaaa")</f>
        <v/>
      </c>
      <c r="R40" s="71" t="inlineStr">
        <is>
          <t>ECOMMERCE BP SUPORTE FINANCEIRO N2</t>
        </is>
      </c>
      <c r="S40" s="71" t="inlineStr">
        <is>
          <t>vferraz@recordtv.com.br</t>
        </is>
      </c>
      <c r="T40" s="71" t="inlineStr">
        <is>
          <t>REDE RECORD DE TELEVISAO EOU RECORD TV</t>
        </is>
      </c>
      <c r="U40" s="71" t="inlineStr">
        <is>
          <t>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
por favor, as NF’s 103973 e 103863 estão com as tarifas incorretas segundo o contrato, por isso solicito o recalculo, cancelamento das nf’s e re-emissão no valor correto.
103973
Tarifa contrato  R$ 0,0100
Tarifa NF             R$ 0,1044
103863
Tarifa contrato  R$ 1.750,00
Tarifa NF             R$ 1.827,18
 Fico no aguardo&lt;/p&gt;&lt;p&gt;&lt;strong&gt;Data e hor</t>
        </is>
      </c>
      <c r="V40" s="71">
        <f>IFERROR(_xlfn.TEXTBEFORE(_xlfn.TEXTAFTER(U40,"Descrição do problema:&lt;/strong"),"&lt;/p&gt;"),_xlfn.TEXTAFTER(U40,"Descrição do problema:&lt;/strong"))</f>
        <v/>
      </c>
      <c r="W40" s="76">
        <f>_xlfn.CONCAT(D40:E40)</f>
        <v/>
      </c>
      <c r="X40" s="77" t="n"/>
      <c r="Y40" s="78">
        <f>IF(X40="","Aberto","Encerrado")</f>
        <v/>
      </c>
      <c r="Z40" s="78">
        <f>IF(OR(L40="PENDENTE",L40="EM ANDAMENTO",L40="PENDENTE APROVAÇÃO CANCELAMENTO NF"),TODAY()-O40,X40-O40)</f>
        <v/>
      </c>
      <c r="AA40" s="78">
        <f>IF(Y40="Aberto",Z40+ROW()/100000,"")</f>
        <v/>
      </c>
      <c r="AB40" s="2">
        <f>IF(ISNUMBER(FIND("@cielo.com.br",S40)),"Interno","Externo")</f>
        <v/>
      </c>
      <c r="AC40" t="inlineStr">
        <is>
          <t>Cancelar, substituir ou reemitir nota fiscal.</t>
        </is>
      </c>
      <c r="AD40" t="inlineStr">
        <is>
          <t>ACAO:CANCELAR; OBJETO:CONTRATO; OBJETO:NOTA_FISCAL</t>
        </is>
      </c>
      <c r="AE40" t="inlineStr">
        <is>
          <t>Cancelamento de NF</t>
        </is>
      </c>
      <c r="AF40" t="inlineStr">
        <is>
          <t>Documento Fiscal</t>
        </is>
      </c>
      <c r="AG40" t="inlineStr">
        <is>
          <t>Cancelamento e Reemissão de Nota Fiscal</t>
        </is>
      </c>
      <c r="AI40" t="inlineStr">
        <is>
          <t>INT_NF_CANCEL_REEMISSAO</t>
        </is>
      </c>
      <c r="AJ40" t="inlineStr">
        <is>
          <t>Sugerida</t>
        </is>
      </c>
      <c r="AK40" t="b">
        <v>0</v>
      </c>
      <c r="AN40">
        <f>IF(OR(AG40="",AM40=""),"",IF(AG40=AM40,"SIM","NÃO"))</f>
        <v/>
      </c>
      <c r="AO40" t="inlineStr">
        <is>
          <t>CLASSIFIED_SIGNATURE</t>
        </is>
      </c>
    </row>
    <row r="41" ht="15.5" customHeight="1">
      <c r="A41" s="1" t="n"/>
      <c r="B41" s="67" t="inlineStr">
        <is>
          <t>Stephany Lima</t>
        </is>
      </c>
      <c r="C41" s="70">
        <f>VLOOKUP(I:I,'Referencias '!H:I,2,0)</f>
        <v/>
      </c>
      <c r="D41" s="71" t="n">
        <v>18823102</v>
      </c>
      <c r="E41" s="71" t="n">
        <v>0</v>
      </c>
      <c r="F41" s="72" t="n">
        <v>2602112300919</v>
      </c>
      <c r="G41" s="72">
        <f>VLOOKUP(H:H,'Referencias '!B:C,2,0)</f>
        <v/>
      </c>
      <c r="H41" s="72">
        <f>TRIM(_xlfn.TEXTBEFORE(_xlfn.TEXTAFTER(U41,"CNPJ/CPF:&lt;/strong&gt;"),"&lt;/p&gt;"))</f>
        <v/>
      </c>
      <c r="I41" s="70" t="inlineStr">
        <is>
          <t>Cancelamento de NF</t>
        </is>
      </c>
      <c r="J41" s="72" t="n"/>
      <c r="K41" s="72" t="n"/>
      <c r="L41" s="70" t="inlineStr">
        <is>
          <t>FINALIZADO</t>
        </is>
      </c>
      <c r="M41" s="73" t="inlineStr">
        <is>
          <t>Médio</t>
        </is>
      </c>
      <c r="N41" s="71" t="inlineStr">
        <is>
          <t>1018 Financeiro | Desejo falar com o setor financeiro | COMERCIAL E IMPORTADORA DE PNEUS LTDA | ariane.pasilva@cielo.com.br</t>
        </is>
      </c>
      <c r="O41" s="74" t="n">
        <v>46043</v>
      </c>
      <c r="P41" s="123" t="n">
        <v>46073</v>
      </c>
      <c r="Q41" s="177">
        <f>TEXT(O41,"mmm/aaaa")</f>
        <v/>
      </c>
      <c r="R41" s="71" t="inlineStr">
        <is>
          <t>STEPHANY LIMA DE LISBOA</t>
        </is>
      </c>
      <c r="S41" s="71" t="inlineStr">
        <is>
          <t>ariane.pasilva@cielo.com.br</t>
        </is>
      </c>
      <c r="T41" s="71" t="inlineStr"/>
      <c r="U41" s="71" t="inlineStr">
        <is>
          <t>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
''Seguem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t>
        </is>
      </c>
      <c r="V41" s="71">
        <f>IFERROR(_xlfn.TEXTBEFORE(_xlfn.TEXTAFTER(U41,"Descrição do problema:&lt;/strong"),"&lt;/p&gt;"),_xlfn.TEXTAFTER(U41,"Descrição do problema:&lt;/strong"))</f>
        <v/>
      </c>
      <c r="W41" s="76">
        <f>_xlfn.CONCAT(D41:E41)</f>
        <v/>
      </c>
      <c r="X41" s="77" t="n">
        <v>46267</v>
      </c>
      <c r="Y41" s="78">
        <f>IF(X41="","Aberto","Encerrado")</f>
        <v/>
      </c>
      <c r="Z41" s="78">
        <f>IF(OR(L41="PENDENTE",L41="EM ANDAMENTO",L41="PENDENTE APROVAÇÃO CANCELAMENTO NF"),TODAY()-O41,X41-O41)</f>
        <v/>
      </c>
      <c r="AA41" s="78">
        <f>IF(Y41="Aberto",Z41+ROW()/100000,"")</f>
        <v/>
      </c>
      <c r="AB41" s="2">
        <f>IF(ISNUMBER(FIND("@cielo.com.br",S41)),"Interno","Externo")</f>
        <v/>
      </c>
      <c r="AD41" t="inlineStr"/>
      <c r="AJ41" t="inlineStr">
        <is>
          <t>Sem correspondência</t>
        </is>
      </c>
      <c r="AK41" t="b">
        <v>0</v>
      </c>
      <c r="AN41">
        <f>IF(OR(AG41="",AM41=""),"",IF(AG41=AM41,"SIM","NÃO"))</f>
        <v/>
      </c>
      <c r="AO41" t="inlineStr">
        <is>
          <t>NO_PATTERN</t>
        </is>
      </c>
    </row>
    <row r="42" ht="15.5" customHeight="1">
      <c r="A42" s="1" t="n"/>
      <c r="B42" s="67" t="inlineStr">
        <is>
          <t>Emilly Maria</t>
        </is>
      </c>
      <c r="C42" s="70">
        <f>VLOOKUP(I:I,'Referencias '!H:I,2,0)</f>
        <v/>
      </c>
      <c r="D42" s="71" t="n">
        <v>18822614</v>
      </c>
      <c r="E42" s="71" t="n">
        <v>0</v>
      </c>
      <c r="F42" s="72" t="n">
        <v>2602112300585</v>
      </c>
      <c r="G42" s="72">
        <f>T42</f>
        <v/>
      </c>
      <c r="H42" s="72">
        <f>TRIM(_xlfn.TEXTBEFORE(_xlfn.TEXTAFTER(U42,"CNPJ/CPF:&lt;/strong&gt;"),"&lt;/p&gt;"))</f>
        <v/>
      </c>
      <c r="I42" s="70" t="inlineStr">
        <is>
          <t>Cancelamento de NF / reemissão</t>
        </is>
      </c>
      <c r="J42" s="72" t="n"/>
      <c r="K42" s="72" t="n"/>
      <c r="L42" s="70" t="inlineStr">
        <is>
          <t>FINALIZADO</t>
        </is>
      </c>
      <c r="M42" s="73" t="inlineStr">
        <is>
          <t>Médio</t>
        </is>
      </c>
      <c r="N42" s="71" t="inlineStr">
        <is>
          <t>1018 Financeiro | Desejo falar com o setor financeiro | GSE COMERCIO DE ROUPAS LTDA | ariane.pasilva@cielo.com.br</t>
        </is>
      </c>
      <c r="O42" s="74" t="n">
        <v>46043</v>
      </c>
      <c r="P42" s="123" t="n">
        <v>46043</v>
      </c>
      <c r="Q42" s="177">
        <f>TEXT(O42,"mmm/aaaa")</f>
        <v/>
      </c>
      <c r="R42" s="71" t="inlineStr">
        <is>
          <t>ECOMMERCE BP SUPORTE FINANCEIRO N2</t>
        </is>
      </c>
      <c r="S42" s="71" t="inlineStr">
        <is>
          <t>ariane.pasilva@cielo.com.br</t>
        </is>
      </c>
      <c r="T42" s="71" t="inlineStr"/>
      <c r="U42" s="71" t="inlineStr">
        <is>
          <t>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t>
        </is>
      </c>
      <c r="V42" s="71">
        <f>IFERROR(_xlfn.TEXTBEFORE(_xlfn.TEXTAFTER(U42,"Descrição do problema:&lt;/strong"),"&lt;/p&gt;"),_xlfn.TEXTAFTER(U42,"Descrição do problema:&lt;/strong"))</f>
        <v/>
      </c>
      <c r="W42" s="76">
        <f>_xlfn.CONCAT(D42:E42)</f>
        <v/>
      </c>
      <c r="X42" s="77" t="n">
        <v>46245</v>
      </c>
      <c r="Y42" s="78">
        <f>IF(X42="","Aberto","Encerrado")</f>
        <v/>
      </c>
      <c r="Z42" s="78">
        <f>IF(OR(L42="PENDENTE",L42="EM ANDAMENTO",L42="PENDENTE APROVAÇÃO CANCELAMENTO NF"),TODAY()-O42,X42-O42)</f>
        <v/>
      </c>
      <c r="AA42" s="78">
        <f>IF(Y42="Aberto",Z42+ROW()/100000,"")</f>
        <v/>
      </c>
      <c r="AB42" s="2">
        <f>IF(ISNUMBER(FIND("@cielo.com.br",S42)),"Interno","Externo")</f>
        <v/>
      </c>
      <c r="AC42" t="inlineStr">
        <is>
          <t>Cancelar, substituir ou reemitir nota fiscal.</t>
        </is>
      </c>
      <c r="AD42" t="inlineStr">
        <is>
          <t>ACAO:CANCELAR; OBJETO:NOTA_FISCAL</t>
        </is>
      </c>
      <c r="AE42" t="inlineStr">
        <is>
          <t>Cancelamento de NF</t>
        </is>
      </c>
      <c r="AF42" t="inlineStr">
        <is>
          <t>Documento Fiscal</t>
        </is>
      </c>
      <c r="AG42" t="inlineStr">
        <is>
          <t>Cancelamento e Reemissão de Nota Fiscal</t>
        </is>
      </c>
      <c r="AI42" t="inlineStr">
        <is>
          <t>INT_NF_CANCEL_REEMISSAO</t>
        </is>
      </c>
      <c r="AJ42" t="inlineStr">
        <is>
          <t>Sugerida</t>
        </is>
      </c>
      <c r="AK42" t="b">
        <v>0</v>
      </c>
      <c r="AN42">
        <f>IF(OR(AG42="",AM42=""),"",IF(AG42=AM42,"SIM","NÃO"))</f>
        <v/>
      </c>
      <c r="AO42" t="inlineStr">
        <is>
          <t>CLASSIFIED_SIGNATURE</t>
        </is>
      </c>
    </row>
    <row r="43" ht="15.5" customHeight="1">
      <c r="A43" s="1" t="n"/>
      <c r="B43" s="67" t="inlineStr">
        <is>
          <t>Pamela de Sá</t>
        </is>
      </c>
      <c r="C43" s="70">
        <f>VLOOKUP(I:I,'Referencias '!H:I,2,0)</f>
        <v/>
      </c>
      <c r="D43" s="71" t="n">
        <v>18890788</v>
      </c>
      <c r="E43" s="71" t="n">
        <v>0</v>
      </c>
      <c r="F43" s="72" t="n">
        <v>2602222348735</v>
      </c>
      <c r="G43" s="72">
        <f>T43</f>
        <v/>
      </c>
      <c r="H43" s="72" t="n"/>
      <c r="I43" s="70" t="inlineStr">
        <is>
          <t>Sem solicitação encerrar</t>
        </is>
      </c>
      <c r="J43" s="72" t="n"/>
      <c r="K43" s="72" t="n"/>
      <c r="L43" s="70" t="inlineStr">
        <is>
          <t>FINALIZADO</t>
        </is>
      </c>
      <c r="M43" s="73" t="inlineStr">
        <is>
          <t>Médio</t>
        </is>
      </c>
      <c r="N43" s="71" t="inlineStr">
        <is>
          <t>1018 Financeiro | Desejo falar com o setor financeiro | Daiani | daiani.sopran@herval.com.br</t>
        </is>
      </c>
      <c r="O43" s="74" t="n">
        <v>46044</v>
      </c>
      <c r="P43" s="123" t="n">
        <v>46114</v>
      </c>
      <c r="Q43" s="177">
        <f>TEXT(O43,"mmm/aaaa")</f>
        <v/>
      </c>
      <c r="R43" s="71" t="inlineStr">
        <is>
          <t>Larissa QUIRINO CANUTO</t>
        </is>
      </c>
      <c r="S43" s="71" t="inlineStr">
        <is>
          <t>daiani.sopran@herval.com.br</t>
        </is>
      </c>
      <c r="T43" s="71" t="inlineStr"/>
      <c r="U43" s="71" t="inlineStr">
        <is>
          <t>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
Pode  verificar  se foi emitida a fatura referente ao antifraude agora em Janeiro?
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t>
        </is>
      </c>
      <c r="V43" s="71">
        <f>IFERROR(_xlfn.TEXTBEFORE(_xlfn.TEXTAFTER(U43,"Descrição do problema:&lt;/strong"),"&lt;/p&gt;"),_xlfn.TEXTAFTER(U43,"Descrição do problema:&lt;/strong"))</f>
        <v/>
      </c>
      <c r="W43" s="76">
        <f>_xlfn.CONCAT(D43:E43)</f>
        <v/>
      </c>
      <c r="X43" s="77" t="n">
        <v>46242</v>
      </c>
      <c r="Y43" s="78">
        <f>IF(X43="","Aberto","Encerrado")</f>
        <v/>
      </c>
      <c r="Z43" s="78">
        <f>IF(OR(L43="PENDENTE",L43="EM ANDAMENTO",L43="PENDENTE APROVAÇÃO CANCELAMENTO NF"),TODAY()-O43,X43-O43)</f>
        <v/>
      </c>
      <c r="AA43" s="78">
        <f>IF(Y43="Aberto",Z43+ROW()/100000,"")</f>
        <v/>
      </c>
      <c r="AB43" s="2">
        <f>IF(ISNUMBER(FIND("@cielo.com.br",S43)),"Interno","Externo")</f>
        <v/>
      </c>
      <c r="AC43" t="inlineStr">
        <is>
          <t>Consultar ou verificar faturamento, fatura ou obrigações fiscais.</t>
        </is>
      </c>
      <c r="AD43" t="inlineStr">
        <is>
          <t>verificar se foi emitida a fatura</t>
        </is>
      </c>
      <c r="AE43" t="inlineStr">
        <is>
          <t>Dúvida sobre faturamento</t>
        </is>
      </c>
      <c r="AF43" t="inlineStr">
        <is>
          <t>Parâmetro de Faturamento</t>
        </is>
      </c>
      <c r="AG43" t="inlineStr">
        <is>
          <t>Faturamento e Obrigações Fiscais</t>
        </is>
      </c>
      <c r="AI43" t="inlineStr">
        <is>
          <t>INT_FAT_DUVIDA</t>
        </is>
      </c>
      <c r="AJ43" t="inlineStr">
        <is>
          <t>Sugerida</t>
        </is>
      </c>
      <c r="AK43" t="b">
        <v>0</v>
      </c>
      <c r="AN43">
        <f>IF(OR(AG43="",AM43=""),"",IF(AG43=AM43,"SIM","NÃO"))</f>
        <v/>
      </c>
      <c r="AO43" t="inlineStr">
        <is>
          <t>CLASSIFIED_PATTERN</t>
        </is>
      </c>
    </row>
    <row r="44" ht="15.5" customHeight="1">
      <c r="A44" s="1" t="n"/>
      <c r="B44" s="67" t="inlineStr">
        <is>
          <t>Stephany Lima</t>
        </is>
      </c>
      <c r="C44" s="70">
        <f>VLOOKUP(I:I,'Referencias '!H:I,2,0)</f>
        <v/>
      </c>
      <c r="D44" s="71" t="n">
        <v>18863113</v>
      </c>
      <c r="E44" s="71" t="n">
        <v>0</v>
      </c>
      <c r="F44" s="72" t="n">
        <v>2602211329882</v>
      </c>
      <c r="G44" s="72">
        <f>VLOOKUP(H:H,'Referencias '!B:C,2,0)</f>
        <v/>
      </c>
      <c r="H44" s="72">
        <f>TRIM(_xlfn.TEXTBEFORE(_xlfn.TEXTAFTER(U44,"CNPJ/CPF:&lt;/strong&gt;"),"&lt;/p&gt;"))</f>
        <v/>
      </c>
      <c r="I44" s="70" t="inlineStr">
        <is>
          <t>Cancelamento de NF</t>
        </is>
      </c>
      <c r="J44" s="72" t="n"/>
      <c r="K44" s="72" t="n"/>
      <c r="L44" s="70" t="inlineStr">
        <is>
          <t>FINALIZADO</t>
        </is>
      </c>
      <c r="M44" s="73" t="inlineStr">
        <is>
          <t>Médio</t>
        </is>
      </c>
      <c r="N44" s="71" t="inlineStr">
        <is>
          <t>1018 Financeiro | Desejo falar com o setor financeiro | Emiliana Lima | emiliana.lima@newland.com.br</t>
        </is>
      </c>
      <c r="O44" s="74" t="n">
        <v>46044</v>
      </c>
      <c r="P44" s="123" t="n">
        <v>46107</v>
      </c>
      <c r="Q44" s="177">
        <f>TEXT(O44,"mmm/aaaa")</f>
        <v/>
      </c>
      <c r="R44" s="71" t="inlineStr">
        <is>
          <t>STEPHANY LIMA DE LISBOA</t>
        </is>
      </c>
      <c r="S44" s="71" t="inlineStr">
        <is>
          <t>emiliana.lima@newland.com.br</t>
        </is>
      </c>
      <c r="T44" s="71" t="inlineStr">
        <is>
          <t>NEWLAND VEICULOS LTDA</t>
        </is>
      </c>
      <c r="U44" s="71" t="inlineStr">
        <is>
          <t>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t>
        </is>
      </c>
      <c r="V44" s="71">
        <f>IFERROR(_xlfn.TEXTBEFORE(_xlfn.TEXTAFTER(U44,"Descrição do problema:&lt;/strong"),"&lt;/p&gt;"),_xlfn.TEXTAFTER(U44,"Descrição do problema:&lt;/strong"))</f>
        <v/>
      </c>
      <c r="W44" s="76">
        <f>_xlfn.CONCAT(D44:E44)</f>
        <v/>
      </c>
      <c r="X44" s="77" t="n">
        <v>46241</v>
      </c>
      <c r="Y44" s="78">
        <f>IF(X44="","Aberto","Encerrado")</f>
        <v/>
      </c>
      <c r="Z44" s="78">
        <f>IF(OR(L44="PENDENTE",L44="EM ANDAMENTO",L44="PENDENTE APROVAÇÃO CANCELAMENTO NF"),TODAY()-O44,X44-O44)</f>
        <v/>
      </c>
      <c r="AA44" s="78">
        <f>IF(Y44="Aberto",Z44+ROW()/100000,"")</f>
        <v/>
      </c>
      <c r="AB44" s="2">
        <f>IF(ISNUMBER(FIND("@cielo.com.br",S44)),"Interno","Externo")</f>
        <v/>
      </c>
      <c r="AC44" t="inlineStr">
        <is>
          <t>Consultar pagamentos, débitos, pendências ou recebíveis.</t>
        </is>
      </c>
      <c r="AD44" t="inlineStr">
        <is>
          <t>pendências de pagamento</t>
        </is>
      </c>
      <c r="AE44" t="inlineStr">
        <is>
          <t>Consulta financeira</t>
        </is>
      </c>
      <c r="AF44" t="inlineStr">
        <is>
          <t>Título Financeiro</t>
        </is>
      </c>
      <c r="AG44" t="inlineStr">
        <is>
          <t>Pagamentos, Boletos e Recebimentos</t>
        </is>
      </c>
      <c r="AI44" t="inlineStr">
        <is>
          <t>INT_PAG_FINANCEIRO</t>
        </is>
      </c>
      <c r="AJ44" t="inlineStr">
        <is>
          <t>Sugerida</t>
        </is>
      </c>
      <c r="AK44" t="b">
        <v>0</v>
      </c>
      <c r="AN44">
        <f>IF(OR(AG44="",AM44=""),"",IF(AG44=AM44,"SIM","NÃO"))</f>
        <v/>
      </c>
      <c r="AO44" t="inlineStr">
        <is>
          <t>CLASSIFIED_PATTERN</t>
        </is>
      </c>
    </row>
    <row r="45" ht="15.5" customHeight="1">
      <c r="A45" s="1" t="n"/>
      <c r="B45" s="67" t="inlineStr">
        <is>
          <t>Stephany Lima</t>
        </is>
      </c>
      <c r="C45" s="70">
        <f>VLOOKUP(I:I,'Referencias '!H:I,2,0)</f>
        <v/>
      </c>
      <c r="D45" s="71" t="n">
        <v>18915650</v>
      </c>
      <c r="E45" s="71" t="n">
        <v>0</v>
      </c>
      <c r="F45" s="72" t="n">
        <v>2602314366053</v>
      </c>
      <c r="G45" s="72">
        <f>T45</f>
        <v/>
      </c>
      <c r="H45" s="72">
        <f>TRIM(_xlfn.TEXTBEFORE(_xlfn.TEXTAFTER(U45,"CNPJ/CPF:&lt;/strong&gt;"),"&lt;/p&gt;"))</f>
        <v/>
      </c>
      <c r="I45" s="70" t="inlineStr">
        <is>
          <t>Cancelamento de NF / reemissão</t>
        </is>
      </c>
      <c r="J45" s="72" t="n"/>
      <c r="K45" s="72" t="n"/>
      <c r="L45" s="70" t="inlineStr">
        <is>
          <t>FINALIZADO</t>
        </is>
      </c>
      <c r="M45" s="73" t="inlineStr">
        <is>
          <t>Alta</t>
        </is>
      </c>
      <c r="N45" s="71" t="inlineStr">
        <is>
          <t>1018 Financeiro | Desejo falar com o setor financeiro | WISHPAG LTDA | ariane.pasilva@cielo.com.br</t>
        </is>
      </c>
      <c r="O45" s="74" t="n">
        <v>46045</v>
      </c>
      <c r="P45" s="123" t="n">
        <v>46157</v>
      </c>
      <c r="Q45" s="177">
        <f>TEXT(O45,"mmm/aaaa")</f>
        <v/>
      </c>
      <c r="R45" s="71" t="inlineStr">
        <is>
          <t>STEPHANY LIMA DE LISBOA</t>
        </is>
      </c>
      <c r="S45" s="71" t="inlineStr">
        <is>
          <t>ariane.pasilva@cielo.com.br</t>
        </is>
      </c>
      <c r="T45" s="71" t="inlineStr"/>
      <c r="U45" s="71" t="inlineStr">
        <is>
          <t>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
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t>
        </is>
      </c>
      <c r="V45" s="71">
        <f>IFERROR(_xlfn.TEXTBEFORE(_xlfn.TEXTAFTER(U45,"Descrição do problema:&lt;/strong"),"&lt;/p&gt;"),_xlfn.TEXTAFTER(U45,"Descrição do problema:&lt;/strong"))</f>
        <v/>
      </c>
      <c r="W45" s="76">
        <f>_xlfn.CONCAT(D45:E45)</f>
        <v/>
      </c>
      <c r="X45" s="77" t="n">
        <v>46254</v>
      </c>
      <c r="Y45" s="78">
        <f>IF(X45="","Aberto","Encerrado")</f>
        <v/>
      </c>
      <c r="Z45" s="78">
        <f>IF(OR(L45="PENDENTE",L45="EM ANDAMENTO",L45="PENDENTE APROVAÇÃO CANCELAMENTO NF"),TODAY()-O45,X45-O45)</f>
        <v/>
      </c>
      <c r="AA45" s="78">
        <f>IF(Y45="Aberto",Z45+ROW()/100000,"")</f>
        <v/>
      </c>
      <c r="AB45" s="2">
        <f>IF(ISNUMBER(FIND("@cielo.com.br",S45)),"Interno","Externo")</f>
        <v/>
      </c>
      <c r="AC45" t="inlineStr">
        <is>
          <t>Cancelar, substituir ou reemitir nota fiscal.</t>
        </is>
      </c>
      <c r="AD45" t="inlineStr">
        <is>
          <t>ACAO:CANCELAR; OBJETO:NOTA_FISCAL</t>
        </is>
      </c>
      <c r="AE45" t="inlineStr">
        <is>
          <t>Cancelamento de NF</t>
        </is>
      </c>
      <c r="AF45" t="inlineStr">
        <is>
          <t>Documento Fiscal</t>
        </is>
      </c>
      <c r="AG45" t="inlineStr">
        <is>
          <t>Cancelamento e Reemissão de Nota Fiscal</t>
        </is>
      </c>
      <c r="AI45" t="inlineStr">
        <is>
          <t>INT_NF_CANCEL_REEMISSAO</t>
        </is>
      </c>
      <c r="AJ45" t="inlineStr">
        <is>
          <t>Sugerida</t>
        </is>
      </c>
      <c r="AK45" t="b">
        <v>0</v>
      </c>
      <c r="AN45">
        <f>IF(OR(AG45="",AM45=""),"",IF(AG45=AM45,"SIM","NÃO"))</f>
        <v/>
      </c>
      <c r="AO45" t="inlineStr">
        <is>
          <t>CLASSIFIED_SIGNATURE</t>
        </is>
      </c>
    </row>
    <row r="46" ht="15.5" customHeight="1">
      <c r="A46" s="1" t="n"/>
      <c r="B46" s="67" t="inlineStr">
        <is>
          <t>Emilly Maria</t>
        </is>
      </c>
      <c r="C46" s="70">
        <f>VLOOKUP(I:I,'Referencias '!H:I,2,0)</f>
        <v/>
      </c>
      <c r="D46" s="71" t="n">
        <v>18899169</v>
      </c>
      <c r="E46" s="71" t="n">
        <v>0</v>
      </c>
      <c r="F46" s="72" t="n">
        <v>2602310354728</v>
      </c>
      <c r="G46" s="72">
        <f>VLOOKUP(H:H,'Referencias '!B:C,2,0)</f>
        <v/>
      </c>
      <c r="H46" s="72">
        <f>TRIM(_xlfn.TEXTBEFORE(_xlfn.TEXTAFTER(U46,"CNPJ/CPF:&lt;/strong&gt;"),"&lt;/p&gt;"))</f>
        <v/>
      </c>
      <c r="I46" s="70" t="inlineStr">
        <is>
          <t>Cancelamento de NF / reemissão</t>
        </is>
      </c>
      <c r="J46" s="72" t="n"/>
      <c r="K46" s="72" t="n"/>
      <c r="L46" s="70" t="inlineStr">
        <is>
          <t>FINALIZADO</t>
        </is>
      </c>
      <c r="M46" s="73" t="inlineStr">
        <is>
          <t>Médio</t>
        </is>
      </c>
      <c r="N46" s="71" t="inlineStr">
        <is>
          <t>1018 Financeiro | Desejo falar com o setor financeiro | CINEMARK BRASIL S.A. | ariane.pasilva@cielo.com.br</t>
        </is>
      </c>
      <c r="O46" s="74" t="n">
        <v>46045</v>
      </c>
      <c r="P46" s="123" t="n">
        <v>46045</v>
      </c>
      <c r="Q46" s="177">
        <f>TEXT(O46,"mmm/aaaa")</f>
        <v/>
      </c>
      <c r="R46" s="71" t="inlineStr">
        <is>
          <t>ECOMMERCE BP SUPORTE FINANCEIRO N2</t>
        </is>
      </c>
      <c r="S46" s="71" t="inlineStr">
        <is>
          <t>ariane.pasilva@cielo.com.br</t>
        </is>
      </c>
      <c r="T46" s="71" t="inlineStr"/>
      <c r="U46" s="71" t="inlineStr">
        <is>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t>
        </is>
      </c>
      <c r="V46" s="71">
        <f>IFERROR(_xlfn.TEXTBEFORE(_xlfn.TEXTAFTER(U46,"Descrição do problema:&lt;/strong"),"&lt;/p&gt;"),_xlfn.TEXTAFTER(U46,"Descrição do problema:&lt;/strong"))</f>
        <v/>
      </c>
      <c r="W46" s="76">
        <f>_xlfn.CONCAT(D46:E46)</f>
        <v/>
      </c>
      <c r="X46" s="77" t="n">
        <v>46240</v>
      </c>
      <c r="Y46" s="78">
        <f>IF(X46="","Aberto","Encerrado")</f>
        <v/>
      </c>
      <c r="Z46" s="78">
        <f>IF(OR(L46="PENDENTE",L46="EM ANDAMENTO",L46="PENDENTE APROVAÇÃO CANCELAMENTO NF"),TODAY()-O46,X46-O46)</f>
        <v/>
      </c>
      <c r="AA46" s="78">
        <f>IF(Y46="Aberto",Z46+ROW()/100000,"")</f>
        <v/>
      </c>
      <c r="AB46" s="2">
        <f>IF(ISNUMBER(FIND("@cielo.com.br",S46)),"Interno","Externo")</f>
        <v/>
      </c>
      <c r="AC46" t="inlineStr">
        <is>
          <t>Cancelar, substituir ou reemitir nota fiscal.</t>
        </is>
      </c>
      <c r="AD46" t="inlineStr">
        <is>
          <t>ACAO:SUBSTITUIR; OBJETO:NOTA_FISCAL</t>
        </is>
      </c>
      <c r="AE46" t="inlineStr">
        <is>
          <t>Cancelamento de NF</t>
        </is>
      </c>
      <c r="AF46" t="inlineStr">
        <is>
          <t>Documento Fiscal</t>
        </is>
      </c>
      <c r="AG46" t="inlineStr">
        <is>
          <t>Cancelamento e Reemissão de Nota Fiscal</t>
        </is>
      </c>
      <c r="AI46" t="inlineStr">
        <is>
          <t>INT_NF_CANCEL_REEMISSAO</t>
        </is>
      </c>
      <c r="AJ46" t="inlineStr">
        <is>
          <t>Sugerida</t>
        </is>
      </c>
      <c r="AK46" t="b">
        <v>0</v>
      </c>
      <c r="AN46">
        <f>IF(OR(AG46="",AM46=""),"",IF(AG46=AM46,"SIM","NÃO"))</f>
        <v/>
      </c>
      <c r="AO46" t="inlineStr">
        <is>
          <t>CLASSIFIED_SIGNATURE</t>
        </is>
      </c>
    </row>
    <row r="47" ht="15.5" customHeight="1">
      <c r="A47" s="1" t="n"/>
      <c r="B47" s="67" t="inlineStr">
        <is>
          <t>Emilly Maria</t>
        </is>
      </c>
      <c r="C47" s="70">
        <f>VLOOKUP(I:I,'Referencias '!H:I,2,0)</f>
        <v/>
      </c>
      <c r="D47" s="71" t="n">
        <v>18973729</v>
      </c>
      <c r="E47" s="71" t="n">
        <v>0</v>
      </c>
      <c r="F47" s="72" t="n">
        <v>2602617408016</v>
      </c>
      <c r="G47" s="72">
        <f>VLOOKUP(H:H,'Referencias '!B:C,2,0)</f>
        <v/>
      </c>
      <c r="H47" s="72">
        <f>TRIM(_xlfn.TEXTBEFORE(_xlfn.TEXTAFTER(U47,"CNPJ/CPF:&lt;/strong&gt;"),"&lt;/p&gt;"))</f>
        <v/>
      </c>
      <c r="I47" s="70" t="inlineStr">
        <is>
          <t>Cancelamento de NF / reemissão</t>
        </is>
      </c>
      <c r="J47" s="72" t="n"/>
      <c r="K47" s="72" t="n"/>
      <c r="L47" s="70" t="inlineStr">
        <is>
          <t>FINALIZADO</t>
        </is>
      </c>
      <c r="M47" s="73" t="inlineStr">
        <is>
          <t>Médio</t>
        </is>
      </c>
      <c r="N47" s="71" t="inlineStr">
        <is>
          <t>1018 Financeiro | Desejo falar com o setor financeiro | BERTOLINI S/A | bordini@cielo.com.br</t>
        </is>
      </c>
      <c r="O47" s="74" t="n">
        <v>46048</v>
      </c>
      <c r="P47" s="123" t="n">
        <v>46108</v>
      </c>
      <c r="Q47" s="177">
        <f>TEXT(O47,"mmm/aaaa")</f>
        <v/>
      </c>
      <c r="R47" s="71" t="inlineStr">
        <is>
          <t>ECOMMERCE BP SUPORTE FINANCEIRO N2</t>
        </is>
      </c>
      <c r="S47" s="71" t="inlineStr">
        <is>
          <t>bordini@cielo.com.br</t>
        </is>
      </c>
      <c r="T47" s="71" t="inlineStr">
        <is>
          <t>BERTOLINI SA</t>
        </is>
      </c>
      <c r="U47" s="71" t="inlineStr">
        <is>
          <t>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
Boa tarde, Jessica, tudo bem?
Novamente a NF 105031 foi emitida para o CNPJ da matriz.
Precisamos que cancelem essa NF e emitam para o CNPJ da Bertolini Móveis: 87.556.560/0015-00.
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t>
        </is>
      </c>
      <c r="V47" s="71">
        <f>IFERROR(_xlfn.TEXTBEFORE(_xlfn.TEXTAFTER(U47,"Descrição do problema:&lt;/strong"),"&lt;/p&gt;"),_xlfn.TEXTAFTER(U47,"Descrição do problema:&lt;/strong"))</f>
        <v/>
      </c>
      <c r="W47" s="76">
        <f>_xlfn.CONCAT(D47:E47)</f>
        <v/>
      </c>
      <c r="X47" s="77" t="n">
        <v>46108</v>
      </c>
      <c r="Y47" s="78">
        <f>IF(X47="","Aberto","Encerrado")</f>
        <v/>
      </c>
      <c r="Z47" s="78">
        <f>IF(OR(L47="PENDENTE",L47="EM ANDAMENTO",L47="PENDENTE APROVAÇÃO CANCELAMENTO NF"),TODAY()-O47,X47-O47)</f>
        <v/>
      </c>
      <c r="AA47" s="78">
        <f>IF(Y47="Aberto",Z47+ROW()/100000,"")</f>
        <v/>
      </c>
      <c r="AB47" s="2">
        <f>IF(ISNUMBER(FIND("@cielo.com.br",S47)),"Interno","Externo")</f>
        <v/>
      </c>
      <c r="AD47" t="inlineStr">
        <is>
          <t>ACAO:CANCELAR; OBJETO:BOLETO; OBJETO:NOTA_FISCAL</t>
        </is>
      </c>
      <c r="AJ47" t="inlineStr">
        <is>
          <t>Ambígua</t>
        </is>
      </c>
      <c r="AK47" t="b">
        <v>1</v>
      </c>
      <c r="AN47">
        <f>IF(OR(AG47="",AM47=""),"",IF(AG47=AM47,"SIM","NÃO"))</f>
        <v/>
      </c>
      <c r="AO47" t="inlineStr">
        <is>
          <t>AMBIGUOUS_CAUSE</t>
        </is>
      </c>
    </row>
    <row r="48" ht="15.5" customHeight="1">
      <c r="A48" s="1" t="n"/>
      <c r="B48" s="67" t="inlineStr">
        <is>
          <t>Pamela de Sá</t>
        </is>
      </c>
      <c r="C48" s="70">
        <f>VLOOKUP(I:I,'Referencias '!H:I,2,0)</f>
        <v/>
      </c>
      <c r="D48" s="129" t="n">
        <v>18967500</v>
      </c>
      <c r="E48" s="71" t="n">
        <v>0</v>
      </c>
      <c r="F48" s="72" t="n">
        <v>2602615403575</v>
      </c>
      <c r="G48" s="72">
        <f>T48</f>
        <v/>
      </c>
      <c r="H48" s="72">
        <f>TRIM(_xlfn.TEXTBEFORE(_xlfn.TEXTAFTER(U48,"CNPJ/CPF:&lt;/strong&gt;"),"&lt;/p&gt;"))</f>
        <v/>
      </c>
      <c r="I48" s="70" t="inlineStr">
        <is>
          <t>Contestação de cobrança</t>
        </is>
      </c>
      <c r="J48" s="72" t="n"/>
      <c r="K48" s="72" t="n"/>
      <c r="L48" s="70" t="inlineStr">
        <is>
          <t>EM ANDAMENTO</t>
        </is>
      </c>
      <c r="M48" s="73" t="inlineStr">
        <is>
          <t>Médio</t>
        </is>
      </c>
      <c r="N48" s="71" t="inlineStr">
        <is>
          <t>1018 Financeiro | Desejo falar com o setor financeiro | Pedro Sales Queiroz Martins | pedro.martins@bateriasmoura.com</t>
        </is>
      </c>
      <c r="O48" s="74" t="n">
        <v>46048</v>
      </c>
      <c r="P48" s="123" t="n">
        <v>46114</v>
      </c>
      <c r="Q48" s="177">
        <f>TEXT(O48,"mmm/aaaa")</f>
        <v/>
      </c>
      <c r="R48" s="71" t="inlineStr">
        <is>
          <t>Larissa QUIRINO CANUTO</t>
        </is>
      </c>
      <c r="S48" s="71" t="inlineStr">
        <is>
          <t>pedro.martins@bateriasmoura.com</t>
        </is>
      </c>
      <c r="T48" s="71" t="inlineStr"/>
      <c r="U48" s="71" t="inlineStr">
        <is>
          <t>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
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t>
        </is>
      </c>
      <c r="V48" s="71">
        <f>IFERROR(_xlfn.TEXTBEFORE(_xlfn.TEXTAFTER(U48,"Descrição do problema:&lt;/strong"),"&lt;/p&gt;"),_xlfn.TEXTAFTER(U48,"Descrição do problema:&lt;/strong"))</f>
        <v/>
      </c>
      <c r="W48" s="76">
        <f>_xlfn.CONCAT(D48:E48)</f>
        <v/>
      </c>
      <c r="X48" s="77" t="n"/>
      <c r="Y48" s="78">
        <f>IF(X48="","Aberto","Encerrado")</f>
        <v/>
      </c>
      <c r="Z48" s="78">
        <f>IF(OR(L48="PENDENTE",L48="EM ANDAMENTO",L48="PENDENTE APROVAÇÃO CANCELAMENTO NF"),TODAY()-O48,X48-O48)</f>
        <v/>
      </c>
      <c r="AA48" s="78">
        <f>IF(Y48="Aberto",Z48+ROW()/100000,"")</f>
        <v/>
      </c>
      <c r="AB48" s="2">
        <f>IF(ISNUMBER(FIND("@cielo.com.br",S48)),"Interno","Externo")</f>
        <v/>
      </c>
      <c r="AC48" t="inlineStr">
        <is>
          <t>Solicitar estorno ou devolução de cobrança.</t>
        </is>
      </c>
      <c r="AD48" t="inlineStr">
        <is>
          <t>ACAO:ESTORNAR; OBJETO:COBRANCA; CONTEXTO:DIVERGENCIA</t>
        </is>
      </c>
      <c r="AE48" t="inlineStr">
        <is>
          <t>Estorno de cobrança</t>
        </is>
      </c>
      <c r="AF48" t="inlineStr">
        <is>
          <t>Valor Cobrado</t>
        </is>
      </c>
      <c r="AG48" t="inlineStr">
        <is>
          <t>Cobrança e Contestação</t>
        </is>
      </c>
      <c r="AI48" t="inlineStr">
        <is>
          <t>INT_COB_ESTORNO</t>
        </is>
      </c>
      <c r="AJ48" t="inlineStr">
        <is>
          <t>Sugerida</t>
        </is>
      </c>
      <c r="AK48" t="b">
        <v>0</v>
      </c>
      <c r="AN48">
        <f>IF(OR(AG48="",AM48=""),"",IF(AG48=AM48,"SIM","NÃO"))</f>
        <v/>
      </c>
      <c r="AO48" t="inlineStr">
        <is>
          <t>CLASSIFIED_SIGNATURE</t>
        </is>
      </c>
    </row>
    <row r="49" ht="15.5" customHeight="1">
      <c r="A49" s="1" t="n"/>
      <c r="B49" s="67" t="inlineStr">
        <is>
          <t>Emilly Maria</t>
        </is>
      </c>
      <c r="C49" s="70">
        <f>VLOOKUP(I:I,'Referencias '!H:I,2,0)</f>
        <v/>
      </c>
      <c r="D49" s="71" t="n">
        <v>18983285</v>
      </c>
      <c r="E49" s="71" t="n">
        <v>0</v>
      </c>
      <c r="F49" s="72" t="n">
        <v>2602709414783</v>
      </c>
      <c r="G49" s="72">
        <f>VLOOKUP(H:H,'Referencias '!B:C,2,0)</f>
        <v/>
      </c>
      <c r="H49" s="72">
        <f>TRIM(_xlfn.TEXTBEFORE(_xlfn.TEXTAFTER(U49,"CNPJ/CPF:&lt;/strong&gt;"),"&lt;/p&gt;"))</f>
        <v/>
      </c>
      <c r="I49" s="70" t="inlineStr">
        <is>
          <t>Cancelamento de NF / reemissão</t>
        </is>
      </c>
      <c r="J49" s="72" t="n"/>
      <c r="K49" s="72" t="n"/>
      <c r="L49" s="70" t="inlineStr">
        <is>
          <t>FINALIZADO</t>
        </is>
      </c>
      <c r="M49" s="73" t="inlineStr">
        <is>
          <t>Médio</t>
        </is>
      </c>
      <c r="N49" s="71" t="inlineStr">
        <is>
          <t>1018 Financeiro | Desejo falar com o setor financeiro | Matheus Paulielo | matheus.psilva@cielo.com.br</t>
        </is>
      </c>
      <c r="O49" s="74" t="n">
        <v>46049</v>
      </c>
      <c r="P49" s="123" t="n">
        <v>46051</v>
      </c>
      <c r="Q49" s="177">
        <f>TEXT(O49,"mmm/aaaa")</f>
        <v/>
      </c>
      <c r="R49" s="71" t="inlineStr">
        <is>
          <t>ECOMMERCE BP SUPORTE FINANCEIRO N2</t>
        </is>
      </c>
      <c r="S49" s="71" t="inlineStr">
        <is>
          <t>matheus.psilva@cielo.com.br</t>
        </is>
      </c>
      <c r="T49" s="71" t="inlineStr">
        <is>
          <t>GRUPO ECOFILLER</t>
        </is>
      </c>
      <c r="U49" s="71" t="inlineStr">
        <is>
          <t xml:space="preserve">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
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t>
        </is>
      </c>
      <c r="V49" s="71">
        <f>IFERROR(_xlfn.TEXTBEFORE(_xlfn.TEXTAFTER(U49,"Descrição do problema:&lt;/strong"),"&lt;/p&gt;"),_xlfn.TEXTAFTER(U49,"Descrição do problema:&lt;/strong"))</f>
        <v/>
      </c>
      <c r="W49" s="76">
        <f>_xlfn.CONCAT(D49:E49)</f>
        <v/>
      </c>
      <c r="X49" s="77" t="n">
        <v>46269</v>
      </c>
      <c r="Y49" s="78">
        <f>IF(X49="","Aberto","Encerrado")</f>
        <v/>
      </c>
      <c r="Z49" s="78">
        <f>IF(OR(L49="PENDENTE",L49="EM ANDAMENTO",L49="PENDENTE APROVAÇÃO CANCELAMENTO NF"),TODAY()-O49,X49-O49)</f>
        <v/>
      </c>
      <c r="AA49" s="78">
        <f>IF(Y49="Aberto",Z49+ROW()/100000,"")</f>
        <v/>
      </c>
      <c r="AB49" s="2">
        <f>IF(ISNUMBER(FIND("@cielo.com.br",S49)),"Interno","Externo")</f>
        <v/>
      </c>
      <c r="AC49" t="inlineStr">
        <is>
          <t>Cancelar contrato, serviço ou produto contratado.</t>
        </is>
      </c>
      <c r="AD49" t="inlineStr">
        <is>
          <t>cancelamento sem multa</t>
        </is>
      </c>
      <c r="AE49" t="inlineStr">
        <is>
          <t>Cancelamento de contrato</t>
        </is>
      </c>
      <c r="AF49" t="inlineStr">
        <is>
          <t>Contrato/Cadastro</t>
        </is>
      </c>
      <c r="AG49" t="inlineStr">
        <is>
          <t>Contratos, Comercial e Cadastro</t>
        </is>
      </c>
      <c r="AI49" t="inlineStr">
        <is>
          <t>INT_CON_CANCELAMENTO</t>
        </is>
      </c>
      <c r="AJ49" t="inlineStr">
        <is>
          <t>Sugerida</t>
        </is>
      </c>
      <c r="AK49" t="b">
        <v>0</v>
      </c>
      <c r="AN49">
        <f>IF(OR(AG49="",AM49=""),"",IF(AG49=AM49,"SIM","NÃO"))</f>
        <v/>
      </c>
      <c r="AO49" t="inlineStr">
        <is>
          <t>CLASSIFIED_PATTERN</t>
        </is>
      </c>
    </row>
    <row r="50" ht="15.5" customHeight="1">
      <c r="A50" s="1" t="n"/>
      <c r="B50" s="67" t="inlineStr">
        <is>
          <t>Emilly Maria</t>
        </is>
      </c>
      <c r="C50" s="70">
        <f>VLOOKUP(I:I,'Referencias '!H:I,2,0)</f>
        <v/>
      </c>
      <c r="D50" s="71" t="n">
        <v>19094173</v>
      </c>
      <c r="E50" s="71" t="n">
        <v>0</v>
      </c>
      <c r="F50" s="72" t="n">
        <v>2602914494650</v>
      </c>
      <c r="G50" s="72">
        <f>VLOOKUP(H:H,'Referencias '!B:C,2,0)</f>
        <v/>
      </c>
      <c r="H50" s="72">
        <f>TRIM(_xlfn.TEXTBEFORE(_xlfn.TEXTAFTER(U50,"CNPJ/CPF:&lt;/strong&gt;"),"&lt;/p&gt;"))</f>
        <v/>
      </c>
      <c r="I50" s="70" t="inlineStr">
        <is>
          <t>Cancelamento de NF / reemissão</t>
        </is>
      </c>
      <c r="J50" s="72" t="n"/>
      <c r="K50" s="72" t="n"/>
      <c r="L50" s="70" t="inlineStr">
        <is>
          <t>FINALIZADO</t>
        </is>
      </c>
      <c r="M50" s="73" t="inlineStr">
        <is>
          <t>Médio</t>
        </is>
      </c>
      <c r="N50" s="71" t="inlineStr">
        <is>
          <t>1018 Financeiro | Desejo falar com o setor financeiro | AGRO-COMERCIAL AFUBRA LTDA | ariane.pasilva@cielo.com.br</t>
        </is>
      </c>
      <c r="O50" s="74" t="n">
        <v>46051</v>
      </c>
      <c r="P50" s="123" t="n">
        <v>46051</v>
      </c>
      <c r="Q50" s="177">
        <f>TEXT(O50,"mmm/aaaa")</f>
        <v/>
      </c>
      <c r="R50" s="71" t="inlineStr">
        <is>
          <t>ECOMMERCE BP SUPORTE FINANCEIRO N2</t>
        </is>
      </c>
      <c r="S50" s="71" t="inlineStr">
        <is>
          <t>ariane.pasilva@cielo.com.br</t>
        </is>
      </c>
      <c r="T50" s="71" t="inlineStr">
        <is>
          <t>AGRO COMERCIAL AFUBRA</t>
        </is>
      </c>
      <c r="U50" s="71" t="inlineStr">
        <is>
          <t>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
Mesmo produto, mesmo período, mesmo valor?
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is>
      </c>
      <c r="V50" s="71">
        <f>IFERROR(_xlfn.TEXTBEFORE(_xlfn.TEXTAFTER(U50,"Descrição do problema:&lt;/strong"),"&lt;/p&gt;"),_xlfn.TEXTAFTER(U50,"Descrição do problema:&lt;/strong"))</f>
        <v/>
      </c>
      <c r="W50" s="76">
        <f>_xlfn.CONCAT(D50:E50)</f>
        <v/>
      </c>
      <c r="X50" s="77" t="n">
        <v>46240</v>
      </c>
      <c r="Y50" s="78">
        <f>IF(X50="","Aberto","Encerrado")</f>
        <v/>
      </c>
      <c r="Z50" s="78">
        <f>IF(OR(L50="PENDENTE",L50="EM ANDAMENTO",L50="PENDENTE APROVAÇÃO CANCELAMENTO NF"),TODAY()-O50,X50-O50)</f>
        <v/>
      </c>
      <c r="AA50" s="78">
        <f>IF(Y50="Aberto",Z50+ROW()/100000,"")</f>
        <v/>
      </c>
      <c r="AB50" s="2">
        <f>IF(ISNUMBER(FIND("@cielo.com.br",S50)),"Interno","Externo")</f>
        <v/>
      </c>
      <c r="AC50" t="inlineStr">
        <is>
          <t>Corrigir cobrança ou pagamento em duplicidade.</t>
        </is>
      </c>
      <c r="AD50" t="inlineStr">
        <is>
          <t>ACAO:ESTORNAR; OBJETO:NOTA_FISCAL; CONTEXTO:DUPLICIDADE</t>
        </is>
      </c>
      <c r="AE50" t="inlineStr">
        <is>
          <t>Duplicidade de cobrança</t>
        </is>
      </c>
      <c r="AF50" t="inlineStr">
        <is>
          <t>Valor Cobrado</t>
        </is>
      </c>
      <c r="AG50" t="inlineStr">
        <is>
          <t>Cobrança e Contestação</t>
        </is>
      </c>
      <c r="AI50" t="inlineStr">
        <is>
          <t>INT_COB_DUPLICIDADE</t>
        </is>
      </c>
      <c r="AJ50" t="inlineStr">
        <is>
          <t>Sugerida</t>
        </is>
      </c>
      <c r="AK50" t="b">
        <v>0</v>
      </c>
      <c r="AN50">
        <f>IF(OR(AG50="",AM50=""),"",IF(AG50=AM50,"SIM","NÃO"))</f>
        <v/>
      </c>
      <c r="AO50" t="inlineStr">
        <is>
          <t>CLASSIFIED_SIGNATURE</t>
        </is>
      </c>
    </row>
    <row r="51" ht="15.5" customHeight="1">
      <c r="A51" s="1" t="n"/>
      <c r="B51" s="67" t="inlineStr">
        <is>
          <t>Pamela de Sá</t>
        </is>
      </c>
      <c r="C51" s="70">
        <f>VLOOKUP(I:I,'Referencias '!H:I,2,0)</f>
        <v/>
      </c>
      <c r="D51" s="71" t="n">
        <v>19076026</v>
      </c>
      <c r="E51" s="71" t="n">
        <v>0</v>
      </c>
      <c r="F51" s="72" t="n">
        <v>2602910481963</v>
      </c>
      <c r="G51" s="72">
        <f>VLOOKUP(H:H,'Referencias '!B:C,2,0)</f>
        <v/>
      </c>
      <c r="H51" s="72">
        <f>TRIM(_xlfn.TEXTBEFORE(_xlfn.TEXTAFTER(U51,"CNPJ/CPF:&lt;/strong&gt;"),"&lt;/p&gt;"))</f>
        <v/>
      </c>
      <c r="I51" s="70" t="inlineStr">
        <is>
          <t>Alteração de vencimento / prorrogação</t>
        </is>
      </c>
      <c r="J51" s="72" t="n"/>
      <c r="K51" s="72" t="n"/>
      <c r="L51" s="70" t="inlineStr">
        <is>
          <t>FINALIZADO</t>
        </is>
      </c>
      <c r="M51" s="73" t="inlineStr">
        <is>
          <t>Médio</t>
        </is>
      </c>
      <c r="N51" s="71" t="inlineStr">
        <is>
          <t>1018 Financeiro | Desejo falar com o setor financeiro | CLARO S.A. | ariane.pasilva@cielo.com.br</t>
        </is>
      </c>
      <c r="O51" s="74" t="n">
        <v>46051</v>
      </c>
      <c r="P51" s="123" t="n">
        <v>46059</v>
      </c>
      <c r="Q51" s="177">
        <f>TEXT(O51,"mmm/aaaa")</f>
        <v/>
      </c>
      <c r="R51" s="71" t="inlineStr">
        <is>
          <t>Larissa QUIRINO CANUTO</t>
        </is>
      </c>
      <c r="S51" s="71" t="inlineStr">
        <is>
          <t>ariane.pasilva@cielo.com.br</t>
        </is>
      </c>
      <c r="T51" s="71" t="inlineStr"/>
      <c r="U51" s="71" t="inlineStr">
        <is>
          <t>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
fev/25	600660281
abr/25	600680581
jun/25	600697748
jul/25	600708919
set/25	600732907
out/25	600742360
Preciso que a data de emissão das seguintes NFS estejam no mesmo mês que o vencimento:
087139
090419
094211
095870
097871
099723
101659
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t>
        </is>
      </c>
      <c r="V51" s="71">
        <f>IFERROR(_xlfn.TEXTBEFORE(_xlfn.TEXTAFTER(U51,"Descrição do problema:&lt;/strong"),"&lt;/p&gt;"),_xlfn.TEXTAFTER(U51,"Descrição do problema:&lt;/strong"))</f>
        <v/>
      </c>
      <c r="W51" s="76">
        <f>_xlfn.CONCAT(D51:E51)</f>
        <v/>
      </c>
      <c r="X51" s="77" t="n">
        <v>46234</v>
      </c>
      <c r="Y51" s="78">
        <f>IF(X51="","Aberto","Encerrado")</f>
        <v/>
      </c>
      <c r="Z51" s="78">
        <f>IF(OR(L51="PENDENTE",L51="EM ANDAMENTO",L51="PENDENTE APROVAÇÃO CANCELAMENTO NF"),TODAY()-O51,X51-O51)</f>
        <v/>
      </c>
      <c r="AA51" s="78">
        <f>IF(Y51="Aberto",Z51+ROW()/100000,"")</f>
        <v/>
      </c>
      <c r="AB51" s="2">
        <f>IF(ISNUMBER(FIND("@cielo.com.br",S51)),"Interno","Externo")</f>
        <v/>
      </c>
      <c r="AC51" t="inlineStr">
        <is>
          <t>Substituir ou reemitir NF com PO.</t>
        </is>
      </c>
      <c r="AD51" t="inlineStr">
        <is>
          <t>ACAO:PO; ACAO:SUBSTITUIR; OBJETO:NOTA_FISCAL; OBJETO:PO; CANAL:PO</t>
        </is>
      </c>
      <c r="AE51" t="inlineStr">
        <is>
          <t>Reemissão de NF com PO</t>
        </is>
      </c>
      <c r="AF51" t="inlineStr">
        <is>
          <t>Documento Fiscal</t>
        </is>
      </c>
      <c r="AG51" t="inlineStr">
        <is>
          <t>Cancelamento e Reemissão de Nota Fiscal</t>
        </is>
      </c>
      <c r="AI51" t="inlineStr">
        <is>
          <t>INT_NF_REEMISSAO_PO</t>
        </is>
      </c>
      <c r="AJ51" t="inlineStr">
        <is>
          <t>Sugerida</t>
        </is>
      </c>
      <c r="AK51" t="b">
        <v>0</v>
      </c>
      <c r="AN51">
        <f>IF(OR(AG51="",AM51=""),"",IF(AG51=AM51,"SIM","NÃO"))</f>
        <v/>
      </c>
      <c r="AO51" t="inlineStr">
        <is>
          <t>CLASSIFIED_SIGNATURE</t>
        </is>
      </c>
    </row>
    <row r="52" ht="15.5" customHeight="1">
      <c r="A52" s="1" t="n"/>
      <c r="B52" s="67" t="inlineStr">
        <is>
          <t>Stephany Lima</t>
        </is>
      </c>
      <c r="C52" s="70">
        <f>VLOOKUP(I:I,'Referencias '!H:I,2,0)</f>
        <v/>
      </c>
      <c r="D52" s="71" t="n">
        <v>19068976</v>
      </c>
      <c r="E52" s="71" t="n">
        <v>0</v>
      </c>
      <c r="F52" s="72" t="n">
        <v>0</v>
      </c>
      <c r="G52" s="72">
        <f>VLOOKUP(H:H,'Referencias '!B:C,2,0)</f>
        <v/>
      </c>
      <c r="H52" s="72">
        <f>TRIM(_xlfn.TEXTBEFORE(_xlfn.TEXTAFTER(U52,"CNPJ/CPF:&lt;/strong&gt;"),"&lt;/p&gt;"))</f>
        <v/>
      </c>
      <c r="I52" s="70" t="inlineStr">
        <is>
          <t>Cancelamento de NF / reemissão</t>
        </is>
      </c>
      <c r="J52" s="72" t="n"/>
      <c r="K52" s="72" t="n"/>
      <c r="L52" s="70" t="inlineStr">
        <is>
          <t>FINALIZADO</t>
        </is>
      </c>
      <c r="M52" s="73" t="inlineStr">
        <is>
          <t>Médio</t>
        </is>
      </c>
      <c r="N52" s="71" t="inlineStr">
        <is>
          <t>1018 Financeiro | Desejo falar com o setor financeiro | CINEMARK BRASIL S.A. | ariane.pasilva@cielo.com.br</t>
        </is>
      </c>
      <c r="O52" s="74" t="n">
        <v>46051</v>
      </c>
      <c r="P52" s="123" t="n">
        <v>46073</v>
      </c>
      <c r="Q52" s="177">
        <f>TEXT(O52,"mmm/aaaa")</f>
        <v/>
      </c>
      <c r="R52" s="71" t="inlineStr">
        <is>
          <t>STEPHANY LIMA DE LISBOA</t>
        </is>
      </c>
      <c r="S52" s="71" t="inlineStr">
        <is>
          <t>ariane.pasilva@cielo.com.br</t>
        </is>
      </c>
      <c r="T52" s="71" t="inlineStr"/>
      <c r="U52" s="71" t="inlineStr">
        <is>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
Adiciono o pedido do antifraude de dez/25.
OC000743944 – R$46.109,23 Antifraude Dezembro 2025.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t>
        </is>
      </c>
      <c r="V52" s="71">
        <f>IFERROR(_xlfn.TEXTBEFORE(_xlfn.TEXTAFTER(U52,"Descrição do problema:&lt;/strong"),"&lt;/p&gt;"),_xlfn.TEXTAFTER(U52,"Descrição do problema:&lt;/strong"))</f>
        <v/>
      </c>
      <c r="W52" s="76">
        <f>_xlfn.CONCAT(D52:E52)</f>
        <v/>
      </c>
      <c r="X52" s="77" t="n">
        <v>46232</v>
      </c>
      <c r="Y52" s="78">
        <f>IF(X52="","Aberto","Encerrado")</f>
        <v/>
      </c>
      <c r="Z52" s="78">
        <f>IF(OR(L52="PENDENTE",L52="EM ANDAMENTO",L52="PENDENTE APROVAÇÃO CANCELAMENTO NF"),TODAY()-O52,X52-O52)</f>
        <v/>
      </c>
      <c r="AA52" s="78">
        <f>IF(Y52="Aberto",Z52+ROW()/100000,"")</f>
        <v/>
      </c>
      <c r="AB52" s="2">
        <f>IF(ISNUMBER(FIND("@cielo.com.br",S52)),"Interno","Externo")</f>
        <v/>
      </c>
      <c r="AC52" t="inlineStr">
        <is>
          <t>Substituir ou reemitir NF com PO.</t>
        </is>
      </c>
      <c r="AD52" t="inlineStr">
        <is>
          <t>ACAO:PO; ACAO:SUBSTITUIR; OBJETO:NOTA_FISCAL; OBJETO:PO; CANAL:PO</t>
        </is>
      </c>
      <c r="AE52" t="inlineStr">
        <is>
          <t>Reemissão de NF com PO</t>
        </is>
      </c>
      <c r="AF52" t="inlineStr">
        <is>
          <t>Documento Fiscal</t>
        </is>
      </c>
      <c r="AG52" t="inlineStr">
        <is>
          <t>Cancelamento e Reemissão de Nota Fiscal</t>
        </is>
      </c>
      <c r="AI52" t="inlineStr">
        <is>
          <t>INT_NF_REEMISSAO_PO</t>
        </is>
      </c>
      <c r="AJ52" t="inlineStr">
        <is>
          <t>Sugerida</t>
        </is>
      </c>
      <c r="AK52" t="b">
        <v>0</v>
      </c>
      <c r="AN52">
        <f>IF(OR(AG52="",AM52=""),"",IF(AG52=AM52,"SIM","NÃO"))</f>
        <v/>
      </c>
      <c r="AO52" t="inlineStr">
        <is>
          <t>CLASSIFIED_SIGNATURE</t>
        </is>
      </c>
    </row>
    <row r="53" ht="15.5" customHeight="1">
      <c r="A53" s="1" t="n"/>
      <c r="B53" s="67" t="inlineStr">
        <is>
          <t>Vanessa Araujo</t>
        </is>
      </c>
      <c r="C53" s="70">
        <f>VLOOKUP(I:I,'Referencias '!H:I,2,0)</f>
        <v/>
      </c>
      <c r="D53" s="129" t="n">
        <v>19318187</v>
      </c>
      <c r="E53" s="71" t="n">
        <v>0</v>
      </c>
      <c r="F53" s="72" t="n">
        <v>2603615657622</v>
      </c>
      <c r="G53" s="72">
        <f>VLOOKUP(H:H,'Referencias '!B:C,2,0)</f>
        <v/>
      </c>
      <c r="H53" s="72">
        <f>TRIM(_xlfn.TEXTBEFORE(_xlfn.TEXTAFTER(U53,"CNPJ/CPF:&lt;/strong&gt;"),"&lt;/p&gt;"))</f>
        <v/>
      </c>
      <c r="I53" s="70" t="inlineStr">
        <is>
          <t>Alteração de vencimento / prorrogação</t>
        </is>
      </c>
      <c r="J53" s="72" t="n"/>
      <c r="K53" s="72" t="n"/>
      <c r="L53" s="70" t="inlineStr">
        <is>
          <t>FINALIZADO</t>
        </is>
      </c>
      <c r="M53" s="73" t="inlineStr">
        <is>
          <t>Médio</t>
        </is>
      </c>
      <c r="N53" s="71" t="inlineStr">
        <is>
          <t>1018 Financeiro | Desejo falar com o setor financeiro | Yasmin Melo | yasmin.melo@pneubras.com</t>
        </is>
      </c>
      <c r="O53" s="74" t="n">
        <v>46058</v>
      </c>
      <c r="P53" s="123" t="n">
        <v>46073</v>
      </c>
      <c r="Q53" s="177">
        <f>TEXT(O53,"mmm/aaaa")</f>
        <v/>
      </c>
      <c r="R53" s="71" t="inlineStr">
        <is>
          <t>Vanessa dos Santos Araujo</t>
        </is>
      </c>
      <c r="S53" s="71" t="inlineStr">
        <is>
          <t>yasmin.melo@pneubras.com</t>
        </is>
      </c>
      <c r="T53" s="71" t="inlineStr">
        <is>
          <t>PNEUBRAS</t>
        </is>
      </c>
      <c r="U53" s="71" t="inlineStr">
        <is>
          <t>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Referente a essa nova cobrança que chegou aqui para nós, eu só consigo entregar as notas emitidas dentro do mês até o dia 25 de cada mês apenas. Devido aos prazos internos que possuímos.
Quero saber se é possível realizar o cancelamento desta nota e emitir essa cobrança no dia 02/02 por gentileza?
Aguardo um retorno.&lt;/p&gt;&lt;p&gt;&lt;strong&gt;Merchant ID/Estabelecimento Comercial (EC):&lt;/strong&gt; 12f6759a-2a45-48dc-9edf-e01cca4836c8&lt;/p&gt;&lt;p&gt;&lt;strong&gt;GA</t>
        </is>
      </c>
      <c r="V53" s="71">
        <f>IFERROR(_xlfn.TEXTBEFORE(_xlfn.TEXTAFTER(U53,"Descrição do problema:&lt;/strong"),"&lt;/p&gt;"),_xlfn.TEXTAFTER(U53,"Descrição do problema:&lt;/strong"))</f>
        <v/>
      </c>
      <c r="W53" s="76">
        <f>_xlfn.CONCAT(D53:E53)</f>
        <v/>
      </c>
      <c r="X53" s="77" t="n">
        <v>46233</v>
      </c>
      <c r="Y53" s="78">
        <f>IF(X53="","Aberto","Encerrado")</f>
        <v/>
      </c>
      <c r="Z53" s="78">
        <f>IF(OR(L53="PENDENTE",L53="EM ANDAMENTO",L53="PENDENTE APROVAÇÃO CANCELAMENTO NF"),TODAY()-O53,X53-O53)</f>
        <v/>
      </c>
      <c r="AA53" s="78">
        <f>IF(Y53="Aberto",Z53+ROW()/100000,"")</f>
        <v/>
      </c>
      <c r="AB53" s="2">
        <f>IF(ISNUMBER(FIND("@cielo.com.br",S53)),"Interno","Externo")</f>
        <v/>
      </c>
      <c r="AC53" t="inlineStr">
        <is>
          <t>Cancelar boleto ou interromper cobranças futuras ligadas a boleto.</t>
        </is>
      </c>
      <c r="AD53" t="inlineStr">
        <is>
          <t>ACAO:CANCELAR; OBJETO:BOLETO; OBJETO:COBRANCA</t>
        </is>
      </c>
      <c r="AE53" t="inlineStr">
        <is>
          <t>Cancelamento de boleto</t>
        </is>
      </c>
      <c r="AF53" t="inlineStr">
        <is>
          <t>Título Financeiro</t>
        </is>
      </c>
      <c r="AG53" t="inlineStr">
        <is>
          <t>Pagamentos, Boletos e Recebimentos</t>
        </is>
      </c>
      <c r="AI53" t="inlineStr">
        <is>
          <t>INT_PAG_BOLETO_CANCELAMENTO</t>
        </is>
      </c>
      <c r="AJ53" t="inlineStr">
        <is>
          <t>Sugerida</t>
        </is>
      </c>
      <c r="AK53" t="b">
        <v>0</v>
      </c>
      <c r="AN53">
        <f>IF(OR(AG53="",AM53=""),"",IF(AG53=AM53,"SIM","NÃO"))</f>
        <v/>
      </c>
      <c r="AO53" t="inlineStr">
        <is>
          <t>CLASSIFIED_SIGNATURE</t>
        </is>
      </c>
    </row>
    <row r="54" ht="15.5" customHeight="1">
      <c r="A54" s="1" t="n"/>
      <c r="B54" s="67" t="inlineStr">
        <is>
          <t>Stephany Lima</t>
        </is>
      </c>
      <c r="C54" s="70">
        <f>VLOOKUP(I:I,'Referencias '!H:I,2,0)</f>
        <v/>
      </c>
      <c r="D54" s="71" t="n">
        <v>19294254</v>
      </c>
      <c r="E54" s="71" t="n">
        <v>0</v>
      </c>
      <c r="F54" s="72" t="n">
        <v>2603610640508</v>
      </c>
      <c r="G54" s="72">
        <f>VLOOKUP(H:H,'Referencias '!B:C,2,0)</f>
        <v/>
      </c>
      <c r="H54" s="72">
        <f>TRIM(_xlfn.TEXTBEFORE(_xlfn.TEXTAFTER(U54,"CNPJ/CPF:&lt;/strong&gt;"),"&lt;/p&gt;"))</f>
        <v/>
      </c>
      <c r="I54" s="70" t="inlineStr">
        <is>
          <t>Cancelamento de NF / reemissão</t>
        </is>
      </c>
      <c r="J54" s="72" t="n"/>
      <c r="K54" s="72" t="n"/>
      <c r="L54" s="70" t="inlineStr">
        <is>
          <t>FINALIZADO</t>
        </is>
      </c>
      <c r="M54" s="73" t="inlineStr">
        <is>
          <t>Médio</t>
        </is>
      </c>
      <c r="N54" s="71" t="inlineStr">
        <is>
          <t>1018 Financeiro | Desejo falar com o setor financeiro | Elaine Nascimento | elaine.nascimento@espm.br</t>
        </is>
      </c>
      <c r="O54" s="74" t="n">
        <v>46058</v>
      </c>
      <c r="P54" s="123" t="n">
        <v>46064</v>
      </c>
      <c r="Q54" s="177">
        <f>TEXT(O54,"mmm/aaaa")</f>
        <v/>
      </c>
      <c r="R54" s="71" t="inlineStr">
        <is>
          <t>STEPHANY LIMA DE LISBOA</t>
        </is>
      </c>
      <c r="S54" s="71" t="inlineStr">
        <is>
          <t>elaine.nascimento@espm.br</t>
        </is>
      </c>
      <c r="T54" s="71" t="inlineStr">
        <is>
          <t>ESPM</t>
        </is>
      </c>
      <c r="U54" s="71" t="inlineStr">
        <is>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correto a ser pago seria R$ 1.642,70.
Dessa forma, entendemos que a NF nº 0105703 foi cobrada indevidamente e que há um créd</t>
        </is>
      </c>
      <c r="V54" s="71">
        <f>IFERROR(_xlfn.TEXTBEFORE(_xlfn.TEXTAFTER(U54,"Descrição do problema:&lt;/strong"),"&lt;/p&gt;"),_xlfn.TEXTAFTER(U54,"Descrição do problema:&lt;/strong"))</f>
        <v/>
      </c>
      <c r="W54" s="76">
        <f>_xlfn.CONCAT(D54:E54)</f>
        <v/>
      </c>
      <c r="X54" s="77" t="n">
        <v>46289</v>
      </c>
      <c r="Y54" s="78">
        <f>IF(X54="","Aberto","Encerrado")</f>
        <v/>
      </c>
      <c r="Z54" s="78">
        <f>IF(OR(L54="PENDENTE",L54="EM ANDAMENTO",L54="PENDENTE APROVAÇÃO CANCELAMENTO NF"),TODAY()-O54,X54-O54)</f>
        <v/>
      </c>
      <c r="AA54" s="78">
        <f>IF(Y54="Aberto",Z54+ROW()/100000,"")</f>
        <v/>
      </c>
      <c r="AB54" s="2">
        <f>IF(ISNUMBER(FIND("@cielo.com.br",S54)),"Interno","Externo")</f>
        <v/>
      </c>
      <c r="AC54" t="inlineStr">
        <is>
          <t>Contestar divergência, valor ou critério de cobrança.</t>
        </is>
      </c>
      <c r="AD54" t="inlineStr">
        <is>
          <t>cobrança + indevida; cobrança + contrato; cobrança + indevida</t>
        </is>
      </c>
      <c r="AE54" t="inlineStr">
        <is>
          <t>Contestação de cobrança</t>
        </is>
      </c>
      <c r="AF54" t="inlineStr">
        <is>
          <t>Valor Cobrado</t>
        </is>
      </c>
      <c r="AG54" t="inlineStr">
        <is>
          <t>Cobrança e Contestação</t>
        </is>
      </c>
      <c r="AI54" t="inlineStr">
        <is>
          <t>INT_COB_CONTESTACAO</t>
        </is>
      </c>
      <c r="AJ54" t="inlineStr">
        <is>
          <t>Sugerida</t>
        </is>
      </c>
      <c r="AK54" t="b">
        <v>0</v>
      </c>
      <c r="AN54">
        <f>IF(OR(AG54="",AM54=""),"",IF(AG54=AM54,"SIM","NÃO"))</f>
        <v/>
      </c>
      <c r="AO54" t="inlineStr">
        <is>
          <t>CLASSIFIED_PATTERN</t>
        </is>
      </c>
    </row>
    <row r="55" ht="15.5" customHeight="1">
      <c r="A55" s="1" t="n"/>
      <c r="B55" s="67" t="inlineStr">
        <is>
          <t>Pamela de Sá</t>
        </is>
      </c>
      <c r="C55" s="70">
        <f>VLOOKUP(I:I,'Referencias '!H:I,2,0)</f>
        <v/>
      </c>
      <c r="D55" s="71" t="n">
        <v>19334708</v>
      </c>
      <c r="E55" s="71" t="n">
        <v>0</v>
      </c>
      <c r="F55" s="72" t="n">
        <v>2603709669813</v>
      </c>
      <c r="G55" s="72">
        <f>VLOOKUP(H:H,'Referencias '!B:C,2,0)</f>
        <v/>
      </c>
      <c r="H55" s="72">
        <f>TRIM(_xlfn.TEXTBEFORE(_xlfn.TEXTAFTER(U55,"CNPJ/CPF:&lt;/strong&gt;"),"&lt;/p&gt;"))</f>
        <v/>
      </c>
      <c r="I55" s="70" t="inlineStr">
        <is>
          <t>Cancelamento contrato (produto) / NF</t>
        </is>
      </c>
      <c r="J55" s="72" t="n"/>
      <c r="K55" s="72" t="n"/>
      <c r="L55" s="70" t="inlineStr">
        <is>
          <t>FINALIZADO</t>
        </is>
      </c>
      <c r="M55" s="73" t="inlineStr">
        <is>
          <t>Médio</t>
        </is>
      </c>
      <c r="N55" s="71" t="inlineStr">
        <is>
          <t>1018 Financeiro | Desejo falar com o setor financeiro | Giulia | giuliac@cielo.com.br</t>
        </is>
      </c>
      <c r="O55" s="74" t="n">
        <v>46059</v>
      </c>
      <c r="P55" s="123" t="n">
        <v>46063</v>
      </c>
      <c r="Q55" s="177">
        <f>TEXT(O55,"mmm/aaaa")</f>
        <v/>
      </c>
      <c r="R55" s="71" t="inlineStr">
        <is>
          <t>Emilly Maria Sousa Almeida</t>
        </is>
      </c>
      <c r="S55" s="71" t="inlineStr">
        <is>
          <t>giuliac@cielo.com.br</t>
        </is>
      </c>
      <c r="T55" s="71" t="inlineStr">
        <is>
          <t>MASTER CARGAS BRASIL</t>
        </is>
      </c>
      <c r="U55" s="71" t="inlineStr">
        <is>
          <t>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t>
        </is>
      </c>
      <c r="V55" s="71">
        <f>IFERROR(_xlfn.TEXTBEFORE(_xlfn.TEXTAFTER(U55,"Descrição do problema:&lt;/strong"),"&lt;/p&gt;"),_xlfn.TEXTAFTER(U55,"Descrição do problema:&lt;/strong"))</f>
        <v/>
      </c>
      <c r="W55" s="76">
        <f>_xlfn.CONCAT(D55:E55)</f>
        <v/>
      </c>
      <c r="X55" s="77" t="n">
        <v>46233</v>
      </c>
      <c r="Y55" s="78">
        <f>IF(X55="","Aberto","Encerrado")</f>
        <v/>
      </c>
      <c r="Z55" s="78">
        <f>IF(OR(L55="PENDENTE",L55="EM ANDAMENTO",L55="PENDENTE APROVAÇÃO CANCELAMENTO NF"),TODAY()-O55,X55-O55)</f>
        <v/>
      </c>
      <c r="AA55" s="78">
        <f>IF(Y55="Aberto",Z55+ROW()/100000,"")</f>
        <v/>
      </c>
      <c r="AB55" s="2">
        <f>IF(ISNUMBER(FIND("@cielo.com.br",S55)),"Interno","Externo")</f>
        <v/>
      </c>
      <c r="AC55" t="inlineStr">
        <is>
          <t>Cancelar contrato, serviço ou produto contratado.</t>
        </is>
      </c>
      <c r="AD55" t="inlineStr">
        <is>
          <t>cancelar apenas esse produto</t>
        </is>
      </c>
      <c r="AE55" t="inlineStr">
        <is>
          <t>Cancelamento de contrato</t>
        </is>
      </c>
      <c r="AF55" t="inlineStr">
        <is>
          <t>Contrato/Cadastro</t>
        </is>
      </c>
      <c r="AG55" t="inlineStr">
        <is>
          <t>Contratos, Comercial e Cadastro</t>
        </is>
      </c>
      <c r="AI55" t="inlineStr">
        <is>
          <t>INT_CON_CANCELAMENTO</t>
        </is>
      </c>
      <c r="AJ55" t="inlineStr">
        <is>
          <t>Sugerida</t>
        </is>
      </c>
      <c r="AK55" t="b">
        <v>0</v>
      </c>
      <c r="AN55">
        <f>IF(OR(AG55="",AM55=""),"",IF(AG55=AM55,"SIM","NÃO"))</f>
        <v/>
      </c>
      <c r="AO55" t="inlineStr">
        <is>
          <t>CLASSIFIED_PATTERN</t>
        </is>
      </c>
    </row>
    <row r="56" ht="15.5" customHeight="1">
      <c r="A56" s="1" t="n"/>
      <c r="B56" s="67" t="inlineStr">
        <is>
          <t>Stephany Lima</t>
        </is>
      </c>
      <c r="C56" s="70">
        <f>VLOOKUP(I:I,'Referencias '!H:I,2,0)</f>
        <v/>
      </c>
      <c r="D56" s="71" t="n">
        <v>19332816</v>
      </c>
      <c r="E56" s="71" t="n">
        <v>0</v>
      </c>
      <c r="F56" s="72" t="n">
        <v>2603709668429</v>
      </c>
      <c r="G56" s="72">
        <f>T56</f>
        <v/>
      </c>
      <c r="H56" s="72">
        <f>TRIM(_xlfn.TEXTBEFORE(_xlfn.TEXTAFTER(U56,"CNPJ/CPF:&lt;/strong&gt;"),"&lt;/p&gt;"))</f>
        <v/>
      </c>
      <c r="I56" s="70" t="inlineStr">
        <is>
          <t>Cancelamento de NF / reemissão</t>
        </is>
      </c>
      <c r="J56" s="72" t="n"/>
      <c r="K56" s="72" t="n"/>
      <c r="L56" s="70" t="inlineStr">
        <is>
          <t>FINALIZADO</t>
        </is>
      </c>
      <c r="M56" s="73" t="inlineStr">
        <is>
          <t>Médio</t>
        </is>
      </c>
      <c r="N56" s="71" t="inlineStr">
        <is>
          <t>1018 Financeiro | Desejo falar com o setor financeiro | SERASA S.A. | ariane.pasilva@cielo.com.br</t>
        </is>
      </c>
      <c r="O56" s="74" t="n">
        <v>46059</v>
      </c>
      <c r="P56" s="123" t="n">
        <v>46086</v>
      </c>
      <c r="Q56" s="177">
        <f>TEXT(O56,"mmm/aaaa")</f>
        <v/>
      </c>
      <c r="R56" s="71" t="inlineStr">
        <is>
          <t>Larissa QUIRINO CANUTO</t>
        </is>
      </c>
      <c r="S56" s="71" t="inlineStr">
        <is>
          <t>ariane.pasilva@cielo.com.br</t>
        </is>
      </c>
      <c r="T56" s="71" t="inlineStr">
        <is>
          <t>SERASA SA</t>
        </is>
      </c>
      <c r="U56" s="71" t="inlineStr">
        <is>
          <t>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
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t>
        </is>
      </c>
      <c r="V56" s="71">
        <f>IFERROR(_xlfn.TEXTBEFORE(_xlfn.TEXTAFTER(U56,"Descrição do problema:&lt;/strong"),"&lt;/p&gt;"),_xlfn.TEXTAFTER(U56,"Descrição do problema:&lt;/strong"))</f>
        <v/>
      </c>
      <c r="W56" s="76">
        <f>_xlfn.CONCAT(D56:E56)</f>
        <v/>
      </c>
      <c r="X56" s="77" t="n">
        <v>46233</v>
      </c>
      <c r="Y56" s="78">
        <f>IF(X56="","Aberto","Encerrado")</f>
        <v/>
      </c>
      <c r="Z56" s="78">
        <f>IF(OR(L56="PENDENTE",L56="EM ANDAMENTO",L56="PENDENTE APROVAÇÃO CANCELAMENTO NF"),TODAY()-O56,X56-O56)</f>
        <v/>
      </c>
      <c r="AA56" s="78">
        <f>IF(Y56="Aberto",Z56+ROW()/100000,"")</f>
        <v/>
      </c>
      <c r="AB56" s="2">
        <f>IF(ISNUMBER(FIND("@cielo.com.br",S56)),"Interno","Externo")</f>
        <v/>
      </c>
      <c r="AC56" t="inlineStr">
        <is>
          <t>Cancelar, substituir ou reemitir nota fiscal.</t>
        </is>
      </c>
      <c r="AD56" t="inlineStr">
        <is>
          <t>ACAO:CANCELAR; OBJETO:NOTA_FISCAL</t>
        </is>
      </c>
      <c r="AE56" t="inlineStr">
        <is>
          <t>Cancelamento de NF</t>
        </is>
      </c>
      <c r="AF56" t="inlineStr">
        <is>
          <t>Documento Fiscal</t>
        </is>
      </c>
      <c r="AG56" t="inlineStr">
        <is>
          <t>Cancelamento e Reemissão de Nota Fiscal</t>
        </is>
      </c>
      <c r="AI56" t="inlineStr">
        <is>
          <t>INT_NF_CANCEL_REEMISSAO</t>
        </is>
      </c>
      <c r="AJ56" t="inlineStr">
        <is>
          <t>Sugerida</t>
        </is>
      </c>
      <c r="AK56" t="b">
        <v>0</v>
      </c>
      <c r="AN56">
        <f>IF(OR(AG56="",AM56=""),"",IF(AG56=AM56,"SIM","NÃO"))</f>
        <v/>
      </c>
      <c r="AO56" t="inlineStr">
        <is>
          <t>CLASSIFIED_SIGNATURE</t>
        </is>
      </c>
    </row>
    <row r="57" ht="15.5" customHeight="1">
      <c r="A57" s="1" t="n"/>
      <c r="B57" s="67" t="inlineStr">
        <is>
          <t>Emilly Maria</t>
        </is>
      </c>
      <c r="C57" s="70">
        <f>VLOOKUP(I:I,'Referencias '!H:I,2,0)</f>
        <v/>
      </c>
      <c r="D57" s="71" t="n">
        <v>19467621</v>
      </c>
      <c r="E57" s="71" t="n">
        <v>0</v>
      </c>
      <c r="F57" s="72" t="n">
        <v>2604118768702</v>
      </c>
      <c r="G57" s="72">
        <f>T57</f>
        <v/>
      </c>
      <c r="H57" s="72">
        <f>TRIM(_xlfn.TEXTBEFORE(_xlfn.TEXTAFTER(U57,"CNPJ/CPF:&lt;/strong&gt;"),"&lt;/p&gt;"))</f>
        <v/>
      </c>
      <c r="I57" s="70" t="inlineStr">
        <is>
          <t>Cancelamento de NF / reemissão</t>
        </is>
      </c>
      <c r="J57" s="72" t="n"/>
      <c r="K57" s="72" t="n"/>
      <c r="L57" s="70" t="inlineStr">
        <is>
          <t>FINALIZADO</t>
        </is>
      </c>
      <c r="M57" s="73" t="inlineStr">
        <is>
          <t>Médio</t>
        </is>
      </c>
      <c r="N57" s="71" t="inlineStr">
        <is>
          <t>1018 Financeiro | Desejo falar com o setor financeiro | Mariane Oliveira dos Santos | marianeodossantos@gmail.com</t>
        </is>
      </c>
      <c r="O57" s="74" t="n">
        <v>46063</v>
      </c>
      <c r="P57" s="123" t="n">
        <v>46064</v>
      </c>
      <c r="Q57" s="177">
        <f>TEXT(O57,"mmm/aaaa")</f>
        <v/>
      </c>
      <c r="R57" s="71" t="inlineStr">
        <is>
          <t>ECOMMERCE BP SUPORTE FINANCEIRO N2</t>
        </is>
      </c>
      <c r="S57" s="71" t="inlineStr">
        <is>
          <t>marianeodossantos@gmail.com</t>
        </is>
      </c>
      <c r="T57" s="71" t="inlineStr"/>
      <c r="U57" s="71" t="inlineStr">
        <is>
          <t>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
A JBS nunca pagou suas faturas, entramos em contato para entender o motivo e o cliente disse que não pode receber fatura no CNPJ cadastrado na Braspag.
Com isso, o jurídico elaborou um documento para formalizar a alteração do CNPJ, segue o documento assinado em anexo.
Precisamos seguir com a emissão das NFs no CNPJ correto&lt;/p&gt;&lt;p&gt;&lt;strong&gt;Merchant ID/Estabelecimento Comercial (EC):&lt;/strong&gt; 02.916.265/0298-18&lt;/p&gt;&lt;p&gt;&lt;strong&gt;GA Clie</t>
        </is>
      </c>
      <c r="V57" s="71">
        <f>IFERROR(_xlfn.TEXTBEFORE(_xlfn.TEXTAFTER(U57,"Descrição do problema:&lt;/strong"),"&lt;/p&gt;"),_xlfn.TEXTAFTER(U57,"Descrição do problema:&lt;/strong"))</f>
        <v/>
      </c>
      <c r="W57" s="76">
        <f>_xlfn.CONCAT(D57:E57)</f>
        <v/>
      </c>
      <c r="X57" s="77" t="n">
        <v>46233</v>
      </c>
      <c r="Y57" s="78">
        <f>IF(X57="","Aberto","Encerrado")</f>
        <v/>
      </c>
      <c r="Z57" s="78">
        <f>IF(OR(L57="PENDENTE",L57="EM ANDAMENTO",L57="PENDENTE APROVAÇÃO CANCELAMENTO NF"),TODAY()-O57,X57-O57)</f>
        <v/>
      </c>
      <c r="AA57" s="78">
        <f>IF(Y57="Aberto",Z57+ROW()/100000,"")</f>
        <v/>
      </c>
      <c r="AB57" s="2">
        <f>IF(ISNUMBER(FIND("@cielo.com.br",S57)),"Interno","Externo")</f>
        <v/>
      </c>
      <c r="AC57" t="inlineStr">
        <is>
          <t>Cancelar, substituir ou reemitir nota fiscal.</t>
        </is>
      </c>
      <c r="AD57" t="inlineStr">
        <is>
          <t>cnpj correto + nf</t>
        </is>
      </c>
      <c r="AE57" t="inlineStr">
        <is>
          <t>Cancelamento de NF</t>
        </is>
      </c>
      <c r="AF57" t="inlineStr">
        <is>
          <t>Documento Fiscal</t>
        </is>
      </c>
      <c r="AG57" t="inlineStr">
        <is>
          <t>Cancelamento e Reemissão de Nota Fiscal</t>
        </is>
      </c>
      <c r="AI57" t="inlineStr">
        <is>
          <t>INT_NF_CANCEL_REEMISSAO</t>
        </is>
      </c>
      <c r="AJ57" t="inlineStr">
        <is>
          <t>Sugerida</t>
        </is>
      </c>
      <c r="AK57" t="b">
        <v>0</v>
      </c>
      <c r="AN57">
        <f>IF(OR(AG57="",AM57=""),"",IF(AG57=AM57,"SIM","NÃO"))</f>
        <v/>
      </c>
      <c r="AO57" t="inlineStr">
        <is>
          <t>CLASSIFIED_PATTERN</t>
        </is>
      </c>
    </row>
    <row r="58" ht="15.5" customHeight="1">
      <c r="A58" s="1" t="n"/>
      <c r="B58" s="67" t="inlineStr">
        <is>
          <t>Emilly Maria</t>
        </is>
      </c>
      <c r="C58" s="70">
        <f>VLOOKUP(I:I,'Referencias '!H:I,2,0)</f>
        <v/>
      </c>
      <c r="D58" s="71" t="n">
        <v>19467525</v>
      </c>
      <c r="E58" s="71" t="n">
        <v>0</v>
      </c>
      <c r="F58" s="72" t="n">
        <v>2604118768638</v>
      </c>
      <c r="G58" s="72">
        <f>VLOOKUP(H:H,'Referencias '!B:C,2,0)</f>
        <v/>
      </c>
      <c r="H58" s="72">
        <f>TRIM(_xlfn.TEXTBEFORE(_xlfn.TEXTAFTER(U58,"CNPJ/CPF:&lt;/strong&gt;"),"&lt;/p&gt;"))</f>
        <v/>
      </c>
      <c r="I58" s="70" t="inlineStr">
        <is>
          <t>Congelamento de contrato</t>
        </is>
      </c>
      <c r="J58" s="72" t="n"/>
      <c r="K58" s="72" t="n"/>
      <c r="L58" s="70" t="inlineStr">
        <is>
          <t>FINALIZADO</t>
        </is>
      </c>
      <c r="M58" s="73" t="inlineStr">
        <is>
          <t>Médio</t>
        </is>
      </c>
      <c r="N58" s="71" t="inlineStr">
        <is>
          <t>1018 Financeiro | Desejo falar com o setor financeiro | ALFA AGENCIA DE VIAGENS LTDA | bordini@cielo.com.br</t>
        </is>
      </c>
      <c r="O58" s="74" t="n">
        <v>46063</v>
      </c>
      <c r="P58" s="123" t="n">
        <v>46064</v>
      </c>
      <c r="Q58" s="177">
        <f>TEXT(O58,"mmm/aaaa")</f>
        <v/>
      </c>
      <c r="R58" s="71" t="inlineStr">
        <is>
          <t>ECOMMERCE BP SUPORTE FINANCEIRO N2</t>
        </is>
      </c>
      <c r="S58" s="71" t="inlineStr">
        <is>
          <t>bordini@cielo.com.br</t>
        </is>
      </c>
      <c r="T58" s="71" t="inlineStr"/>
      <c r="U58" s="71" t="inlineStr">
        <is>
          <t>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
Cliente deseja congelar o contrato , dos produtos de AF mínimo mensal e Analista dedicado mensal Cyber, sendo assim segue documento assinado por todos. 
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t>
        </is>
      </c>
      <c r="V58" s="71">
        <f>IFERROR(_xlfn.TEXTBEFORE(_xlfn.TEXTAFTER(U58,"Descrição do problema:&lt;/strong"),"&lt;/p&gt;"),_xlfn.TEXTAFTER(U58,"Descrição do problema:&lt;/strong"))</f>
        <v/>
      </c>
      <c r="W58" s="76">
        <f>_xlfn.CONCAT(D58:E58)</f>
        <v/>
      </c>
      <c r="X58" s="77" t="n">
        <v>46233</v>
      </c>
      <c r="Y58" s="78">
        <f>IF(X58="","Aberto","Encerrado")</f>
        <v/>
      </c>
      <c r="Z58" s="78">
        <f>IF(OR(L58="PENDENTE",L58="EM ANDAMENTO",L58="PENDENTE APROVAÇÃO CANCELAMENTO NF"),TODAY()-O58,X58-O58)</f>
        <v/>
      </c>
      <c r="AA58" s="78">
        <f>IF(Y58="Aberto",Z58+ROW()/100000,"")</f>
        <v/>
      </c>
      <c r="AB58" s="2">
        <f>IF(ISNUMBER(FIND("@cielo.com.br",S58)),"Interno","Externo")</f>
        <v/>
      </c>
      <c r="AC58" t="inlineStr">
        <is>
          <t>Congelar ou suspender temporariamente contrato ou serviço.</t>
        </is>
      </c>
      <c r="AD58" t="inlineStr">
        <is>
          <t>ACAO:SUSPENDER; OBJETO:CONTRATO; OBJETO:SUSPENDER</t>
        </is>
      </c>
      <c r="AE58" t="inlineStr">
        <is>
          <t>Congelamento de contrato</t>
        </is>
      </c>
      <c r="AF58" t="inlineStr">
        <is>
          <t>Contrato/Cadastro</t>
        </is>
      </c>
      <c r="AG58" t="inlineStr">
        <is>
          <t>Contratos, Comercial e Cadastro</t>
        </is>
      </c>
      <c r="AI58" t="inlineStr">
        <is>
          <t>INT_CON_CONGELAMENTO</t>
        </is>
      </c>
      <c r="AJ58" t="inlineStr">
        <is>
          <t>Sugerida</t>
        </is>
      </c>
      <c r="AK58" t="b">
        <v>0</v>
      </c>
      <c r="AN58">
        <f>IF(OR(AG58="",AM58=""),"",IF(AG58=AM58,"SIM","NÃO"))</f>
        <v/>
      </c>
      <c r="AO58" t="inlineStr">
        <is>
          <t>CLASSIFIED_SIGNATURE</t>
        </is>
      </c>
    </row>
    <row r="59" ht="15.5" customHeight="1">
      <c r="A59" s="1" t="n"/>
      <c r="B59" s="67" t="inlineStr">
        <is>
          <t>Emilly Maria</t>
        </is>
      </c>
      <c r="C59" s="70">
        <f>VLOOKUP(I:I,'Referencias '!H:I,2,0)</f>
        <v/>
      </c>
      <c r="D59" s="129" t="n">
        <v>19443812</v>
      </c>
      <c r="E59" s="71" t="n">
        <v>0</v>
      </c>
      <c r="F59" s="72" t="n">
        <v>2604112751267</v>
      </c>
      <c r="G59" s="72">
        <f>VLOOKUP(H:H,'Referencias '!B:C,2,0)</f>
        <v/>
      </c>
      <c r="H59" s="72">
        <f>TRIM(_xlfn.TEXTBEFORE(_xlfn.TEXTAFTER(U59,"CNPJ/CPF:&lt;/strong&gt;"),"&lt;/p&gt;"))</f>
        <v/>
      </c>
      <c r="I59" s="70" t="inlineStr">
        <is>
          <t>Contestação de cobrança</t>
        </is>
      </c>
      <c r="J59" s="72" t="n"/>
      <c r="K59" s="72" t="n"/>
      <c r="L59" s="70" t="inlineStr">
        <is>
          <t>FINALIZADO</t>
        </is>
      </c>
      <c r="M59" s="73" t="inlineStr">
        <is>
          <t>Médio</t>
        </is>
      </c>
      <c r="N59" s="71" t="inlineStr">
        <is>
          <t>1001 Split de Pagamento | Carta de cancelamento Split | Elaine Nascimento | elaine.nascimento@espm.br</t>
        </is>
      </c>
      <c r="O59" s="74" t="n">
        <v>46063</v>
      </c>
      <c r="P59" s="123" t="n">
        <v>46064</v>
      </c>
      <c r="Q59" s="177">
        <f>TEXT(O59,"mmm/aaaa")</f>
        <v/>
      </c>
      <c r="R59" s="71" t="inlineStr">
        <is>
          <t>ECOMMERCE BP SUPORTE FINANCEIRO N2</t>
        </is>
      </c>
      <c r="S59" s="71" t="inlineStr">
        <is>
          <t>elaine.nascimento@espm.br</t>
        </is>
      </c>
      <c r="T59" s="71" t="inlineStr"/>
      <c r="U59" s="71" t="inlineStr">
        <is>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
Prezados,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
        </is>
      </c>
      <c r="V59" s="71">
        <f>IFERROR(_xlfn.TEXTBEFORE(_xlfn.TEXTAFTER(U59,"Descrição do problema:&lt;/strong"),"&lt;/p&gt;"),_xlfn.TEXTAFTER(U59,"Descrição do problema:&lt;/strong"))</f>
        <v/>
      </c>
      <c r="W59" s="76">
        <f>_xlfn.CONCAT(D59:E59)</f>
        <v/>
      </c>
      <c r="X59" s="77" t="n">
        <v>46269</v>
      </c>
      <c r="Y59" s="78">
        <f>IF(X59="","Aberto","Encerrado")</f>
        <v/>
      </c>
      <c r="Z59" s="78">
        <f>IF(OR(L59="PENDENTE",L59="EM ANDAMENTO",L59="PENDENTE APROVAÇÃO CANCELAMENTO NF"),TODAY()-O59,X59-O59)</f>
        <v/>
      </c>
      <c r="AA59" s="78">
        <f>IF(Y59="Aberto",Z59+ROW()/100000,"")</f>
        <v/>
      </c>
      <c r="AB59" s="2">
        <f>IF(ISNUMBER(FIND("@cielo.com.br",S59)),"Interno","Externo")</f>
        <v/>
      </c>
      <c r="AC59" t="inlineStr">
        <is>
          <t>Contestar divergência, valor ou critério de cobrança.</t>
        </is>
      </c>
      <c r="AD59" t="inlineStr">
        <is>
          <t>cobrança + contrato</t>
        </is>
      </c>
      <c r="AE59" t="inlineStr">
        <is>
          <t>Contestação de cobrança</t>
        </is>
      </c>
      <c r="AF59" t="inlineStr">
        <is>
          <t>Valor Cobrado</t>
        </is>
      </c>
      <c r="AG59" t="inlineStr">
        <is>
          <t>Cobrança e Contestação</t>
        </is>
      </c>
      <c r="AI59" t="inlineStr">
        <is>
          <t>INT_COB_CONTESTACAO</t>
        </is>
      </c>
      <c r="AJ59" t="inlineStr">
        <is>
          <t>Sugerida</t>
        </is>
      </c>
      <c r="AK59" t="b">
        <v>0</v>
      </c>
      <c r="AN59">
        <f>IF(OR(AG59="",AM59=""),"",IF(AG59=AM59,"SIM","NÃO"))</f>
        <v/>
      </c>
      <c r="AO59" t="inlineStr">
        <is>
          <t>CLASSIFIED_PATTERN</t>
        </is>
      </c>
    </row>
    <row r="60" ht="15.5" customHeight="1">
      <c r="A60" s="1" t="inlineStr">
        <is>
          <t>Aberto antigos</t>
        </is>
      </c>
      <c r="B60" s="67" t="inlineStr">
        <is>
          <t>Pamela de Sá</t>
        </is>
      </c>
      <c r="C60" s="70">
        <f>VLOOKUP(I:I,'Referencias '!H:I,2,0)</f>
        <v/>
      </c>
      <c r="D60" s="71" t="n">
        <v>19555123</v>
      </c>
      <c r="E60" s="71" t="n">
        <v>0</v>
      </c>
      <c r="F60" s="72" t="n">
        <v>2604317832446</v>
      </c>
      <c r="G60" s="72">
        <f>VLOOKUP(H:H,'Referencias '!B:C,2,0)</f>
        <v/>
      </c>
      <c r="H60" s="72">
        <f>TRIM(_xlfn.TEXTBEFORE(_xlfn.TEXTAFTER(U60,"CNPJ/CPF:&lt;/strong&gt;"),"&lt;/p&gt;"))</f>
        <v/>
      </c>
      <c r="I60" s="70" t="inlineStr">
        <is>
          <t>questionar a volumetria cobrada referente ao produto 3DS</t>
        </is>
      </c>
      <c r="J60" s="72" t="n"/>
      <c r="K60" s="72" t="n"/>
      <c r="L60" s="70" t="inlineStr">
        <is>
          <t>EM ANDAMENTO</t>
        </is>
      </c>
      <c r="M60" s="73" t="inlineStr">
        <is>
          <t>Alta</t>
        </is>
      </c>
      <c r="N60" s="71" t="inlineStr">
        <is>
          <t>1018 Financeiro | Desejo falar com o setor financeiro | Mariane Oliveira dos Santos | mariane.santos@cielo.com.br</t>
        </is>
      </c>
      <c r="O60" s="74" t="n">
        <v>46065</v>
      </c>
      <c r="P60" s="123" t="inlineStr">
        <is>
          <t>12/02/2026</t>
        </is>
      </c>
      <c r="Q60" s="177">
        <f>TEXT(O60,"mmm/aaaa")</f>
        <v/>
      </c>
      <c r="R60" s="71" t="inlineStr">
        <is>
          <t>ECOMMERCE BP SUPORTE FINANCEIRO N2</t>
        </is>
      </c>
      <c r="S60" s="71" t="inlineStr">
        <is>
          <t>mariane.santos@cielo.com.br</t>
        </is>
      </c>
      <c r="T60" s="71" t="inlineStr"/>
      <c r="U60" s="71" t="inlineStr">
        <is>
          <t xml:space="preserve">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
A BRF nos acionou recentemente para questionar a volumetria cobrada referente ao produto 3DS, considerando que hoje eles não possuem visibilidade do consumo diretamente no portal.
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t>
        </is>
      </c>
      <c r="V60" s="71">
        <f>IFERROR(_xlfn.TEXTBEFORE(_xlfn.TEXTAFTER(U60,"Descrição do problema:&lt;/strong"),"&lt;/p&gt;"),_xlfn.TEXTAFTER(U60,"Descrição do problema:&lt;/strong"))</f>
        <v/>
      </c>
      <c r="W60" s="76">
        <f>_xlfn.CONCAT(D60:E60)</f>
        <v/>
      </c>
      <c r="X60" s="77" t="n"/>
      <c r="Y60" s="78">
        <f>IF(X60="","Aberto","Encerrado")</f>
        <v/>
      </c>
      <c r="Z60" s="78">
        <f>IF(OR(L60="PENDENTE",L60="EM ANDAMENTO",L60="PENDENTE APROVAÇÃO CANCELAMENTO NF"),TODAY()-O60,X60-O60)</f>
        <v/>
      </c>
      <c r="AA60" s="78">
        <f>IF(Y60="Aberto",Z60+ROW()/100000,"")</f>
        <v/>
      </c>
      <c r="AB60" s="2">
        <f>IF(ISNUMBER(FIND("@cielo.com.br",S60)),"Interno","Externo")</f>
        <v/>
      </c>
      <c r="AC60" t="inlineStr">
        <is>
          <t>Contestar divergência, valor ou critério de cobrança.</t>
        </is>
      </c>
      <c r="AD60" t="inlineStr">
        <is>
          <t>volumetria cobrada</t>
        </is>
      </c>
      <c r="AE60" t="inlineStr">
        <is>
          <t>Contestação de cobrança</t>
        </is>
      </c>
      <c r="AF60" t="inlineStr">
        <is>
          <t>Valor Cobrado</t>
        </is>
      </c>
      <c r="AG60" t="inlineStr">
        <is>
          <t>Cobrança e Contestação</t>
        </is>
      </c>
      <c r="AI60" t="inlineStr">
        <is>
          <t>INT_COB_CONTESTACAO</t>
        </is>
      </c>
      <c r="AJ60" t="inlineStr">
        <is>
          <t>Sugerida</t>
        </is>
      </c>
      <c r="AK60" t="b">
        <v>0</v>
      </c>
      <c r="AN60">
        <f>IF(OR(AG60="",AM60=""),"",IF(AG60=AM60,"SIM","NÃO"))</f>
        <v/>
      </c>
      <c r="AO60" t="inlineStr">
        <is>
          <t>CLASSIFIED_PATTERN</t>
        </is>
      </c>
    </row>
    <row r="61" ht="15.5" customHeight="1">
      <c r="A61" s="1" t="inlineStr">
        <is>
          <t>Aberto antigos</t>
        </is>
      </c>
      <c r="B61" s="67" t="inlineStr">
        <is>
          <t>Pamela de Sá</t>
        </is>
      </c>
      <c r="C61" s="70">
        <f>VLOOKUP(I:I,'Referencias '!H:I,2,0)</f>
        <v/>
      </c>
      <c r="D61" s="71" t="n">
        <v>19575216</v>
      </c>
      <c r="E61" s="71" t="n">
        <v>0</v>
      </c>
      <c r="F61" s="72" t="n">
        <v>2604411846581</v>
      </c>
      <c r="G61" s="72">
        <f>VLOOKUP(H:H,'Referencias '!B:C,2,0)</f>
        <v/>
      </c>
      <c r="H61" s="72">
        <f>TRIM(_xlfn.TEXTBEFORE(_xlfn.TEXTAFTER(U61,"CNPJ/CPF:&lt;/strong&gt;"),"&lt;/p&gt;"))</f>
        <v/>
      </c>
      <c r="I61" s="70" t="inlineStr">
        <is>
          <t>Contestação de cobrança</t>
        </is>
      </c>
      <c r="J61" s="72" t="n"/>
      <c r="K61" s="72" t="n"/>
      <c r="L61" s="70" t="inlineStr">
        <is>
          <t>EM ANDAMENTO</t>
        </is>
      </c>
      <c r="M61" s="73" t="inlineStr">
        <is>
          <t>Alta</t>
        </is>
      </c>
      <c r="N61" s="71" t="inlineStr">
        <is>
          <t>1018 Financeiro | Desejo falar com o setor financeiro | Caroline Mendes | carolineal@cielo.com.br</t>
        </is>
      </c>
      <c r="O61" s="74" t="n">
        <v>46066</v>
      </c>
      <c r="P61" s="123" t="inlineStr">
        <is>
          <t>13/04/2026</t>
        </is>
      </c>
      <c r="Q61" s="177">
        <f>TEXT(O61,"mmm/aaaa")</f>
        <v/>
      </c>
      <c r="R61" s="71" t="inlineStr">
        <is>
          <t>FABIANA DE JESUS MARTINS LISBOA</t>
        </is>
      </c>
      <c r="S61" s="71" t="inlineStr">
        <is>
          <t>carolineal@cielo.com.br</t>
        </is>
      </c>
      <c r="T61" s="71" t="inlineStr"/>
      <c r="U61" s="71" t="inlineStr">
        <is>
          <t>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
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t>
        </is>
      </c>
      <c r="V61" s="71">
        <f>IFERROR(_xlfn.TEXTBEFORE(_xlfn.TEXTAFTER(U61,"Descrição do problema:&lt;/strong"),"&lt;/p&gt;"),_xlfn.TEXTAFTER(U61,"Descrição do problema:&lt;/strong"))</f>
        <v/>
      </c>
      <c r="W61" s="76">
        <f>_xlfn.CONCAT(D61:E61)</f>
        <v/>
      </c>
      <c r="X61" s="77" t="n"/>
      <c r="Y61" s="78">
        <f>IF(X61="","Aberto","Encerrado")</f>
        <v/>
      </c>
      <c r="Z61" s="78">
        <f>IF(OR(L61="PENDENTE",L61="EM ANDAMENTO",L61="PENDENTE APROVAÇÃO CANCELAMENTO NF"),TODAY()-O61,X61-O61)</f>
        <v/>
      </c>
      <c r="AA61" s="78">
        <f>IF(Y61="Aberto",Z61+ROW()/100000,"")</f>
        <v/>
      </c>
      <c r="AB61" s="2">
        <f>IF(ISNUMBER(FIND("@cielo.com.br",S61)),"Interno","Externo")</f>
        <v/>
      </c>
      <c r="AC61" t="inlineStr">
        <is>
          <t>Contestar divergência, valor ou critério de cobrança.</t>
        </is>
      </c>
      <c r="AD61" t="inlineStr">
        <is>
          <t>OBJETO:COBRANCA; OBJETO:CONTRATO; CONTEXTO:DIVERGENCIA</t>
        </is>
      </c>
      <c r="AE61" t="inlineStr">
        <is>
          <t>Contestação de cobrança</t>
        </is>
      </c>
      <c r="AF61" t="inlineStr">
        <is>
          <t>Valor Cobrado</t>
        </is>
      </c>
      <c r="AG61" t="inlineStr">
        <is>
          <t>Cobrança e Contestação</t>
        </is>
      </c>
      <c r="AI61" t="inlineStr">
        <is>
          <t>INT_COB_CONTESTACAO</t>
        </is>
      </c>
      <c r="AJ61" t="inlineStr">
        <is>
          <t>Sugerida</t>
        </is>
      </c>
      <c r="AK61" t="b">
        <v>0</v>
      </c>
      <c r="AN61">
        <f>IF(OR(AG61="",AM61=""),"",IF(AG61=AM61,"SIM","NÃO"))</f>
        <v/>
      </c>
      <c r="AO61" t="inlineStr">
        <is>
          <t>CLASSIFIED_SIGNATURE</t>
        </is>
      </c>
    </row>
    <row r="62" ht="15.5" customHeight="1">
      <c r="A62" s="1" t="n"/>
      <c r="B62" s="67" t="inlineStr">
        <is>
          <t>Stephany Lima</t>
        </is>
      </c>
      <c r="C62" s="70">
        <f>VLOOKUP(I:I,'Referencias '!H:I,2,0)</f>
        <v/>
      </c>
      <c r="D62" s="71" t="n">
        <v>19754719</v>
      </c>
      <c r="E62" s="71" t="n">
        <v>0</v>
      </c>
      <c r="F62" s="72" t="n">
        <v>2605409978915</v>
      </c>
      <c r="G62" s="72">
        <f>VLOOKUP(H:H,'Referencias '!B:C,2,0)</f>
        <v/>
      </c>
      <c r="H62" s="72">
        <f>TRIM(_xlfn.TEXTBEFORE(_xlfn.TEXTAFTER(U62,"CNPJ/CPF:&lt;/strong&gt;"),"&lt;/p&gt;"))</f>
        <v/>
      </c>
      <c r="I62" s="70" t="inlineStr">
        <is>
          <t>Congelamento de contrato</t>
        </is>
      </c>
      <c r="J62" s="72" t="n"/>
      <c r="K62" s="72" t="n"/>
      <c r="L62" s="70" t="inlineStr">
        <is>
          <t>FINALIZADO</t>
        </is>
      </c>
      <c r="M62" s="73" t="inlineStr">
        <is>
          <t>Médio</t>
        </is>
      </c>
      <c r="N62" s="71" t="inlineStr">
        <is>
          <t>1018 Financeiro | Desejo falar com o setor financeiro | Clarissa | clarissa.rissi@cielo.com.br</t>
        </is>
      </c>
      <c r="O62" s="74" t="n">
        <v>46076</v>
      </c>
      <c r="P62" s="123" t="n">
        <v>46129</v>
      </c>
      <c r="Q62" s="177">
        <f>TEXT(O62,"mmm/aaaa")</f>
        <v/>
      </c>
      <c r="R62" s="71" t="inlineStr">
        <is>
          <t>Larissa QUIRINO CANUTO</t>
        </is>
      </c>
      <c r="S62" s="71" t="inlineStr">
        <is>
          <t>clarissa.rissi@cielo.com.br</t>
        </is>
      </c>
      <c r="T62" s="71" t="inlineStr"/>
      <c r="U62" s="71" t="inlineStr">
        <is>
          <t>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
Conforme previsto no aditivo contratual da Central do Carnaval, precisamos realizar o congelamento da cobrança do analista.
Dessa forma, a última nota a ser emitida será em março, referente ao consumo de fevereiro.
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t>
        </is>
      </c>
      <c r="V62" s="71">
        <f>IFERROR(_xlfn.TEXTBEFORE(_xlfn.TEXTAFTER(U62,"Descrição do problema:&lt;/strong"),"&lt;/p&gt;"),_xlfn.TEXTAFTER(U62,"Descrição do problema:&lt;/strong"))</f>
        <v/>
      </c>
      <c r="W62" s="76">
        <f>_xlfn.CONCAT(D62:E62)</f>
        <v/>
      </c>
      <c r="X62" s="77" t="n">
        <v>46232</v>
      </c>
      <c r="Y62" s="78">
        <f>IF(X62="","Aberto","Encerrado")</f>
        <v/>
      </c>
      <c r="Z62" s="78">
        <f>IF(OR(L62="PENDENTE",L62="EM ANDAMENTO",L62="PENDENTE APROVAÇÃO CANCELAMENTO NF"),TODAY()-O62,X62-O62)</f>
        <v/>
      </c>
      <c r="AA62" s="78">
        <f>IF(Y62="Aberto",Z62+ROW()/100000,"")</f>
        <v/>
      </c>
      <c r="AB62" s="2">
        <f>IF(ISNUMBER(FIND("@cielo.com.br",S62)),"Interno","Externo")</f>
        <v/>
      </c>
      <c r="AC62" t="inlineStr">
        <is>
          <t>Congelar ou suspender temporariamente contrato ou serviço.</t>
        </is>
      </c>
      <c r="AD62" t="inlineStr">
        <is>
          <t>ACAO:SUSPENDER; OBJETO:COBRANCA; OBJETO:CONTRATO; OBJETO:SUSPENDER</t>
        </is>
      </c>
      <c r="AE62" t="inlineStr">
        <is>
          <t>Congelamento de contrato</t>
        </is>
      </c>
      <c r="AF62" t="inlineStr">
        <is>
          <t>Contrato/Cadastro</t>
        </is>
      </c>
      <c r="AG62" t="inlineStr">
        <is>
          <t>Contratos, Comercial e Cadastro</t>
        </is>
      </c>
      <c r="AI62" t="inlineStr">
        <is>
          <t>INT_CON_CONGELAMENTO</t>
        </is>
      </c>
      <c r="AJ62" t="inlineStr">
        <is>
          <t>Sugerida</t>
        </is>
      </c>
      <c r="AK62" t="b">
        <v>0</v>
      </c>
      <c r="AN62">
        <f>IF(OR(AG62="",AM62=""),"",IF(AG62=AM62,"SIM","NÃO"))</f>
        <v/>
      </c>
      <c r="AO62" t="inlineStr">
        <is>
          <t>CLASSIFIED_SIGNATURE</t>
        </is>
      </c>
    </row>
    <row r="63" ht="15.5" customHeight="1">
      <c r="A63" s="1" t="n"/>
      <c r="B63" s="67" t="inlineStr">
        <is>
          <t>Emilly Maria</t>
        </is>
      </c>
      <c r="C63" s="70">
        <f>VLOOKUP(I:I,'Referencias '!H:I,2,0)</f>
        <v/>
      </c>
      <c r="D63" s="71" t="n">
        <v>19754066</v>
      </c>
      <c r="E63" s="71" t="n">
        <v>0</v>
      </c>
      <c r="F63" s="72" t="n">
        <v>2605409978402</v>
      </c>
      <c r="G63" s="72">
        <f>VLOOKUP(H:H,'Referencias '!B:C,2,0)</f>
        <v/>
      </c>
      <c r="H63" s="72">
        <f>TRIM(_xlfn.TEXTBEFORE(_xlfn.TEXTAFTER(U63,"CNPJ/CPF:&lt;/strong&gt;"),"&lt;/p&gt;"))</f>
        <v/>
      </c>
      <c r="I63" s="70" t="inlineStr">
        <is>
          <t>Congelamento de contrato</t>
        </is>
      </c>
      <c r="J63" s="72" t="n"/>
      <c r="K63" s="72" t="n"/>
      <c r="L63" s="70" t="inlineStr">
        <is>
          <t>FINALIZADO</t>
        </is>
      </c>
      <c r="M63" s="73" t="inlineStr">
        <is>
          <t>Médio</t>
        </is>
      </c>
      <c r="N63" s="71" t="inlineStr">
        <is>
          <t>1018 Financeiro | Desejo falar com o setor financeiro | Clarissa | clarissa.rissi@cielo.com.br</t>
        </is>
      </c>
      <c r="O63" s="74" t="n">
        <v>46076</v>
      </c>
      <c r="P63" s="123" t="n">
        <v>46175</v>
      </c>
      <c r="Q63" s="177">
        <f>TEXT(O63,"mmm/aaaa")</f>
        <v/>
      </c>
      <c r="R63" s="71" t="inlineStr">
        <is>
          <t>Emilly Maria Sousa Almeida</t>
        </is>
      </c>
      <c r="S63" s="71" t="inlineStr">
        <is>
          <t>clarissa.rissi@cielo.com.br</t>
        </is>
      </c>
      <c r="T63" s="71" t="inlineStr">
        <is>
          <t>Bloco do Urso DSC</t>
        </is>
      </c>
      <c r="U63" s="71" t="inlineStr">
        <is>
          <t>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
Conforme alinhado em reunião com o time financeiro e formalizado no aditivo contratual celebrado com a DSC, seguiremos com o congelamento da cobrança do Antifraude.
Não devemos emitir novas cobranças referentes ao mínimo mensal nem ao custo do analista dedicado nos períodos em que não houver utilização efetiva do serviço, conforme estipulado para a operação sazonal da cliente.
Permanece válida apenas a cobrança caso haja transações ou uso efetivo da solução durante os meses não sazonais, conforme tabela vi</t>
        </is>
      </c>
      <c r="V63" s="71">
        <f>IFERROR(_xlfn.TEXTBEFORE(_xlfn.TEXTAFTER(U63,"Descrição do problema:&lt;/strong"),"&lt;/p&gt;"),_xlfn.TEXTAFTER(U63,"Descrição do problema:&lt;/strong"))</f>
        <v/>
      </c>
      <c r="W63" s="76">
        <f>_xlfn.CONCAT(D63:E63)</f>
        <v/>
      </c>
      <c r="X63" s="77" t="n">
        <v>46238</v>
      </c>
      <c r="Y63" s="78">
        <f>IF(X63="","Aberto","Encerrado")</f>
        <v/>
      </c>
      <c r="Z63" s="78">
        <f>IF(OR(L63="PENDENTE",L63="EM ANDAMENTO",L63="PENDENTE APROVAÇÃO CANCELAMENTO NF"),TODAY()-O63,X63-O63)</f>
        <v/>
      </c>
      <c r="AA63" s="78">
        <f>IF(Y63="Aberto",Z63+ROW()/100000,"")</f>
        <v/>
      </c>
      <c r="AB63" s="2">
        <f>IF(ISNUMBER(FIND("@cielo.com.br",S63)),"Interno","Externo")</f>
        <v/>
      </c>
      <c r="AC63" t="inlineStr">
        <is>
          <t>Congelar ou suspender temporariamente contrato ou serviço.</t>
        </is>
      </c>
      <c r="AD63" t="inlineStr">
        <is>
          <t>ACAO:SUSPENDER; OBJETO:COBRANCA; OBJETO:CONTRATO; OBJETO:SUSPENDER</t>
        </is>
      </c>
      <c r="AE63" t="inlineStr">
        <is>
          <t>Congelamento de contrato</t>
        </is>
      </c>
      <c r="AF63" t="inlineStr">
        <is>
          <t>Contrato/Cadastro</t>
        </is>
      </c>
      <c r="AG63" t="inlineStr">
        <is>
          <t>Contratos, Comercial e Cadastro</t>
        </is>
      </c>
      <c r="AI63" t="inlineStr">
        <is>
          <t>INT_CON_CONGELAMENTO</t>
        </is>
      </c>
      <c r="AJ63" t="inlineStr">
        <is>
          <t>Sugerida</t>
        </is>
      </c>
      <c r="AK63" t="b">
        <v>0</v>
      </c>
      <c r="AN63">
        <f>IF(OR(AG63="",AM63=""),"",IF(AG63=AM63,"SIM","NÃO"))</f>
        <v/>
      </c>
      <c r="AO63" t="inlineStr">
        <is>
          <t>CLASSIFIED_SIGNATURE</t>
        </is>
      </c>
    </row>
    <row r="64" ht="15.5" customHeight="1">
      <c r="A64" s="1" t="n"/>
      <c r="B64" s="67" t="inlineStr">
        <is>
          <t>Emilly Maria</t>
        </is>
      </c>
      <c r="C64" s="70">
        <f>VLOOKUP(I:I,'Referencias '!H:I,2,0)</f>
        <v/>
      </c>
      <c r="D64" s="71" t="n">
        <v>19809905</v>
      </c>
      <c r="E64" s="71" t="n">
        <v>0</v>
      </c>
      <c r="F64" s="72" t="n">
        <v>2605511021859</v>
      </c>
      <c r="G64" s="72">
        <f>T64</f>
        <v/>
      </c>
      <c r="H64" s="72">
        <f>TRIM(_xlfn.TEXTBEFORE(_xlfn.TEXTAFTER(U64,"CNPJ/CPF:&lt;/strong&gt;"),"&lt;/p&gt;"))</f>
        <v/>
      </c>
      <c r="I64" s="70" t="inlineStr">
        <is>
          <t>Cancelamento de NF</t>
        </is>
      </c>
      <c r="J64" s="72" t="n"/>
      <c r="K64" s="72" t="n"/>
      <c r="L64" s="70" t="inlineStr">
        <is>
          <t>FINALIZADO</t>
        </is>
      </c>
      <c r="M64" s="73" t="inlineStr">
        <is>
          <t>Médio</t>
        </is>
      </c>
      <c r="N64" s="71" t="inlineStr">
        <is>
          <t>1018 Financeiro | Desejo falar com o setor financeiro | Júlia Angelolozzi | julia.djesus@cielo.com.br</t>
        </is>
      </c>
      <c r="O64" s="74" t="n">
        <v>46077</v>
      </c>
      <c r="P64" s="123" t="n">
        <v>46077</v>
      </c>
      <c r="Q64" s="177">
        <f>TEXT(O64,"mmm/aaaa")</f>
        <v/>
      </c>
      <c r="R64" s="71" t="inlineStr">
        <is>
          <t>ECOMMERCE BP SUPORTE FINANCEIRO N2</t>
        </is>
      </c>
      <c r="S64" s="71" t="inlineStr">
        <is>
          <t>julia.djesus@cielo.com.br</t>
        </is>
      </c>
      <c r="T64" s="71" t="inlineStr"/>
      <c r="U64" s="71" t="inlineStr">
        <is>
          <t>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t>
        </is>
      </c>
      <c r="V64" s="71">
        <f>IFERROR(_xlfn.TEXTBEFORE(_xlfn.TEXTAFTER(U64,"Descrição do problema:&lt;/strong"),"&lt;/p&gt;"),_xlfn.TEXTAFTER(U64,"Descrição do problema:&lt;/strong"))</f>
        <v/>
      </c>
      <c r="W64" s="76">
        <f>_xlfn.CONCAT(D64:E64)</f>
        <v/>
      </c>
      <c r="X64" s="77" t="n">
        <v>46247</v>
      </c>
      <c r="Y64" s="78">
        <f>IF(X64="","Aberto","Encerrado")</f>
        <v/>
      </c>
      <c r="Z64" s="78">
        <f>IF(OR(L64="PENDENTE",L64="EM ANDAMENTO",L64="PENDENTE APROVAÇÃO CANCELAMENTO NF"),TODAY()-O64,X64-O64)</f>
        <v/>
      </c>
      <c r="AA64" s="78">
        <f>IF(Y64="Aberto",Z64+ROW()/100000,"")</f>
        <v/>
      </c>
      <c r="AB64" s="2">
        <f>IF(ISNUMBER(FIND("@cielo.com.br",S64)),"Interno","Externo")</f>
        <v/>
      </c>
      <c r="AC64" t="inlineStr">
        <is>
          <t>Cancelar, substituir ou reemitir nota fiscal.</t>
        </is>
      </c>
      <c r="AD64" t="inlineStr">
        <is>
          <t>ACAO:CANCELAR; OBJETO:COBRANCA; OBJETO:NOTA_FISCAL; CONTEXTO:DIVERGENCIA</t>
        </is>
      </c>
      <c r="AE64" t="inlineStr">
        <is>
          <t>Cancelamento de NF</t>
        </is>
      </c>
      <c r="AF64" t="inlineStr">
        <is>
          <t>Documento Fiscal</t>
        </is>
      </c>
      <c r="AG64" t="inlineStr">
        <is>
          <t>Cancelamento e Reemissão de Nota Fiscal</t>
        </is>
      </c>
      <c r="AI64" t="inlineStr">
        <is>
          <t>INT_NF_CANCEL_REEMISSAO</t>
        </is>
      </c>
      <c r="AJ64" t="inlineStr">
        <is>
          <t>Sugerida</t>
        </is>
      </c>
      <c r="AK64" t="b">
        <v>0</v>
      </c>
      <c r="AN64">
        <f>IF(OR(AG64="",AM64=""),"",IF(AG64=AM64,"SIM","NÃO"))</f>
        <v/>
      </c>
      <c r="AO64" t="inlineStr">
        <is>
          <t>CLASSIFIED_SIGNATURE</t>
        </is>
      </c>
    </row>
    <row r="65" ht="15.5" customHeight="1">
      <c r="A65" s="1" t="n"/>
      <c r="B65" s="67" t="inlineStr">
        <is>
          <t>Pamela de Sá</t>
        </is>
      </c>
      <c r="C65" s="70">
        <f>VLOOKUP(I:I,'Referencias '!H:I,2,0)</f>
        <v/>
      </c>
      <c r="D65" s="71" t="n">
        <v>20009201</v>
      </c>
      <c r="E65" s="71" t="n">
        <v>0</v>
      </c>
      <c r="F65" s="72" t="n">
        <v>2606116169975</v>
      </c>
      <c r="G65" s="72">
        <f>VLOOKUP(H:H,'Referencias '!B:C,2,0)</f>
        <v/>
      </c>
      <c r="H65" s="72">
        <f>TRIM(_xlfn.TEXTBEFORE(_xlfn.TEXTAFTER(U65,"CNPJ/CPF:&lt;/strong&gt;"),"&lt;/p&gt;"))</f>
        <v/>
      </c>
      <c r="I65" s="70" t="inlineStr">
        <is>
          <t>Outros</t>
        </is>
      </c>
      <c r="J65" s="72" t="n"/>
      <c r="K65" s="72" t="n"/>
      <c r="L65" s="70" t="inlineStr">
        <is>
          <t>FINALIZADO</t>
        </is>
      </c>
      <c r="M65" s="73" t="inlineStr">
        <is>
          <t>Médio</t>
        </is>
      </c>
      <c r="N65" s="71" t="inlineStr">
        <is>
          <t>1018 Financeiro | Desejo falar com o setor financeiro | Joice Rosa | joice.dsilva@cielo.com.br</t>
        </is>
      </c>
      <c r="O65" s="74" t="n">
        <v>46083</v>
      </c>
      <c r="P65" s="123" t="n">
        <v>46160</v>
      </c>
      <c r="Q65" s="177">
        <f>TEXT(O65,"mmm/aaaa")</f>
        <v/>
      </c>
      <c r="R65" s="71" t="inlineStr">
        <is>
          <t>STEPHANY LIMA DE LISBOA</t>
        </is>
      </c>
      <c r="S65" s="71" t="inlineStr">
        <is>
          <t>joice.dsilva@cielo.com.br</t>
        </is>
      </c>
      <c r="T65" s="71" t="inlineStr"/>
      <c r="U65" s="71" t="inlineStr">
        <is>
          <t>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
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t>
        </is>
      </c>
      <c r="V65" s="71">
        <f>IFERROR(_xlfn.TEXTBEFORE(_xlfn.TEXTAFTER(U65,"Descrição do problema:&lt;/strong"),"&lt;/p&gt;"),_xlfn.TEXTAFTER(U65,"Descrição do problema:&lt;/strong"))</f>
        <v/>
      </c>
      <c r="W65" s="76">
        <f>_xlfn.CONCAT(D65:E65)</f>
        <v/>
      </c>
      <c r="X65" s="77" t="n">
        <v>46233</v>
      </c>
      <c r="Y65" s="78">
        <f>IF(X65="","Aberto","Encerrado")</f>
        <v/>
      </c>
      <c r="Z65" s="78">
        <f>IF(OR(L65="PENDENTE",L65="EM ANDAMENTO",L65="PENDENTE APROVAÇÃO CANCELAMENTO NF"),TODAY()-O65,X65-O65)</f>
        <v/>
      </c>
      <c r="AA65" s="78">
        <f>IF(Y65="Aberto",Z65+ROW()/100000,"")</f>
        <v/>
      </c>
      <c r="AB65" s="2">
        <f>IF(ISNUMBER(FIND("@cielo.com.br",S65)),"Interno","Externo")</f>
        <v/>
      </c>
      <c r="AC65" t="inlineStr">
        <is>
          <t>Contestar divergência, valor ou critério de cobrança.</t>
        </is>
      </c>
      <c r="AD65" t="inlineStr">
        <is>
          <t>cobrança + contrato</t>
        </is>
      </c>
      <c r="AE65" t="inlineStr">
        <is>
          <t>Contestação de cobrança</t>
        </is>
      </c>
      <c r="AF65" t="inlineStr">
        <is>
          <t>Valor Cobrado</t>
        </is>
      </c>
      <c r="AG65" t="inlineStr">
        <is>
          <t>Cobrança e Contestação</t>
        </is>
      </c>
      <c r="AI65" t="inlineStr">
        <is>
          <t>INT_COB_CONTESTACAO</t>
        </is>
      </c>
      <c r="AJ65" t="inlineStr">
        <is>
          <t>Sugerida</t>
        </is>
      </c>
      <c r="AK65" t="b">
        <v>0</v>
      </c>
      <c r="AN65">
        <f>IF(OR(AG65="",AM65=""),"",IF(AG65=AM65,"SIM","NÃO"))</f>
        <v/>
      </c>
      <c r="AO65" t="inlineStr">
        <is>
          <t>CLASSIFIED_PATTERN</t>
        </is>
      </c>
    </row>
    <row r="66" ht="15.5" customHeight="1">
      <c r="A66" s="1" t="n"/>
      <c r="B66" s="67" t="inlineStr">
        <is>
          <t>Stephany Lima</t>
        </is>
      </c>
      <c r="C66" s="70">
        <f>VLOOKUP(I:I,'Referencias '!H:I,2,0)</f>
        <v/>
      </c>
      <c r="D66" s="71" t="n">
        <v>20000723</v>
      </c>
      <c r="E66" s="71" t="n">
        <v>0</v>
      </c>
      <c r="F66" s="72" t="n">
        <v>2606114163429</v>
      </c>
      <c r="G66" s="72">
        <f>T66</f>
        <v/>
      </c>
      <c r="H66" s="72">
        <f>TRIM(_xlfn.TEXTBEFORE(_xlfn.TEXTAFTER(U66,"CNPJ/CPF:&lt;/strong&gt;"),"&lt;/p&gt;"))</f>
        <v/>
      </c>
      <c r="I66" s="70" t="inlineStr">
        <is>
          <t>Cancelamento de NF / reemissão</t>
        </is>
      </c>
      <c r="J66" s="72" t="n"/>
      <c r="K66" s="72" t="n"/>
      <c r="L66" s="70" t="inlineStr">
        <is>
          <t>FINALIZADO</t>
        </is>
      </c>
      <c r="M66" s="73" t="inlineStr">
        <is>
          <t>Médio</t>
        </is>
      </c>
      <c r="N66" s="71" t="inlineStr">
        <is>
          <t>1018 Financeiro | Desejo falar com o setor financeiro | Clarissa | clarissa.rissi@cielo.com.br</t>
        </is>
      </c>
      <c r="O66" s="74" t="n">
        <v>46083</v>
      </c>
      <c r="P66" s="123" t="n">
        <v>46127</v>
      </c>
      <c r="Q66" s="177">
        <f>TEXT(O66,"mmm/aaaa")</f>
        <v/>
      </c>
      <c r="R66" s="71" t="inlineStr">
        <is>
          <t>Larissa QUIRINO CANUTO</t>
        </is>
      </c>
      <c r="S66" s="71" t="inlineStr">
        <is>
          <t>clarissa.rissi@cielo.com.br</t>
        </is>
      </c>
      <c r="T66" s="71" t="inlineStr">
        <is>
          <t>LACLO INDUSTRIA E COMERCIO DE MO</t>
        </is>
      </c>
      <c r="U66" s="71" t="inlineStr">
        <is>
          <t>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
Acredito que tenhamos emitido em duplicidade a nota da multa rescisória da Laclô.
Notas fiscais:
0108142 – 342,86
0109042 – 342,86
0108143 – 477,55
0109043 – 477,55
Podem por gentileza atuar na correção?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t>
        </is>
      </c>
      <c r="V66" s="71">
        <f>IFERROR(_xlfn.TEXTBEFORE(_xlfn.TEXTAFTER(U66,"Descrição do problema:&lt;/strong"),"&lt;/p&gt;"),_xlfn.TEXTAFTER(U66,"Descrição do problema:&lt;/strong"))</f>
        <v/>
      </c>
      <c r="W66" s="76">
        <f>_xlfn.CONCAT(D66:E66)</f>
        <v/>
      </c>
      <c r="X66" s="77" t="n">
        <v>46233</v>
      </c>
      <c r="Y66" s="78">
        <f>IF(X66="","Aberto","Encerrado")</f>
        <v/>
      </c>
      <c r="Z66" s="78">
        <f>IF(OR(L66="PENDENTE",L66="EM ANDAMENTO",L66="PENDENTE APROVAÇÃO CANCELAMENTO NF"),TODAY()-O66,X66-O66)</f>
        <v/>
      </c>
      <c r="AA66" s="78">
        <f>IF(Y66="Aberto",Z66+ROW()/100000,"")</f>
        <v/>
      </c>
      <c r="AB66" s="2">
        <f>IF(ISNUMBER(FIND("@cielo.com.br",S66)),"Interno","Externo")</f>
        <v/>
      </c>
      <c r="AC66" t="inlineStr">
        <is>
          <t>Corrigir cobrança ou pagamento em duplicidade.</t>
        </is>
      </c>
      <c r="AD66" t="inlineStr">
        <is>
          <t>OBJETO:NOTA_FISCAL; CONTEXTO:DUPLICIDADE</t>
        </is>
      </c>
      <c r="AE66" t="inlineStr">
        <is>
          <t>Duplicidade de cobrança</t>
        </is>
      </c>
      <c r="AF66" t="inlineStr">
        <is>
          <t>Valor Cobrado</t>
        </is>
      </c>
      <c r="AG66" t="inlineStr">
        <is>
          <t>Cobrança e Contestação</t>
        </is>
      </c>
      <c r="AI66" t="inlineStr">
        <is>
          <t>INT_COB_DUPLICIDADE</t>
        </is>
      </c>
      <c r="AJ66" t="inlineStr">
        <is>
          <t>Sugerida</t>
        </is>
      </c>
      <c r="AK66" t="b">
        <v>0</v>
      </c>
      <c r="AN66">
        <f>IF(OR(AG66="",AM66=""),"",IF(AG66=AM66,"SIM","NÃO"))</f>
        <v/>
      </c>
      <c r="AO66" t="inlineStr">
        <is>
          <t>CLASSIFIED_SIGNATURE</t>
        </is>
      </c>
    </row>
    <row r="67" ht="15.5" customHeight="1">
      <c r="A67" s="1" t="n"/>
      <c r="B67" s="67" t="inlineStr">
        <is>
          <t>Emilly Maria</t>
        </is>
      </c>
      <c r="C67" s="70">
        <f>VLOOKUP(I:I,'Referencias '!H:I,2,0)</f>
        <v/>
      </c>
      <c r="D67" s="71" t="n">
        <v>20000132</v>
      </c>
      <c r="E67" s="71" t="n">
        <v>0</v>
      </c>
      <c r="F67" s="72" t="n">
        <v>2606114162959</v>
      </c>
      <c r="G67" s="72">
        <f>VLOOKUP(H:H,'Referencias '!B:C,2,0)</f>
        <v/>
      </c>
      <c r="H67" s="72">
        <f>TRIM(_xlfn.TEXTBEFORE(_xlfn.TEXTAFTER(U67,"CNPJ/CPF:&lt;/strong&gt;"),"&lt;/p&gt;"))</f>
        <v/>
      </c>
      <c r="I67" s="70" t="inlineStr">
        <is>
          <t>Cancelamento de NF / reemissão</t>
        </is>
      </c>
      <c r="J67" s="72" t="n"/>
      <c r="K67" s="72" t="n"/>
      <c r="L67" s="70" t="inlineStr">
        <is>
          <t>FINALIZADO</t>
        </is>
      </c>
      <c r="M67" s="73" t="inlineStr">
        <is>
          <t>Médio</t>
        </is>
      </c>
      <c r="N67" s="71" t="inlineStr">
        <is>
          <t>1018 Financeiro | Desejo falar com o setor financeiro | Renata Sombra | renata.sombra@autopass.com.br</t>
        </is>
      </c>
      <c r="O67" s="74" t="n">
        <v>46083</v>
      </c>
      <c r="P67" s="123" t="n">
        <v>46099</v>
      </c>
      <c r="Q67" s="177">
        <f>TEXT(O67,"mmm/aaaa")</f>
        <v/>
      </c>
      <c r="R67" s="71" t="inlineStr">
        <is>
          <t>ECOMMERCE BP SUPORTE FINANCEIRO N2</t>
        </is>
      </c>
      <c r="S67" s="71" t="inlineStr">
        <is>
          <t>renata.sombra@autopass.com.br</t>
        </is>
      </c>
      <c r="T67" s="71" t="inlineStr">
        <is>
          <t>TARIFA TRANSP METRA</t>
        </is>
      </c>
      <c r="U67" s="71" t="inlineStr">
        <is>
          <t>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
Em 29/09/2025 foi emitida a nota fiscal nº 098096 no valor de R$ 41.913,06. Foi solicitado o cancelamento por não prestação de serviços, mas a nota fiscal continua ativa na prefeitura. Poderia verificar, por favor?
Atenciosamente,
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t>
        </is>
      </c>
      <c r="V67" s="71">
        <f>IFERROR(_xlfn.TEXTBEFORE(_xlfn.TEXTAFTER(U67,"Descrição do problema:&lt;/strong"),"&lt;/p&gt;"),_xlfn.TEXTAFTER(U67,"Descrição do problema:&lt;/strong"))</f>
        <v/>
      </c>
      <c r="W67" s="76">
        <f>_xlfn.CONCAT(D67:E67)</f>
        <v/>
      </c>
      <c r="X67" s="77" t="n">
        <v>46233</v>
      </c>
      <c r="Y67" s="78">
        <f>IF(X67="","Aberto","Encerrado")</f>
        <v/>
      </c>
      <c r="Z67" s="78">
        <f>IF(OR(L67="PENDENTE",L67="EM ANDAMENTO",L67="PENDENTE APROVAÇÃO CANCELAMENTO NF"),TODAY()-O67,X67-O67)</f>
        <v/>
      </c>
      <c r="AA67" s="78">
        <f>IF(Y67="Aberto",Z67+ROW()/100000,"")</f>
        <v/>
      </c>
      <c r="AB67" s="2">
        <f>IF(ISNUMBER(FIND("@cielo.com.br",S67)),"Interno","Externo")</f>
        <v/>
      </c>
      <c r="AC67" t="inlineStr">
        <is>
          <t>Cancelar, substituir ou reemitir nota fiscal.</t>
        </is>
      </c>
      <c r="AD67" t="inlineStr">
        <is>
          <t>ACAO:CANCELAR; ACAO:CONSULTAR; OBJETO:NOTA_FISCAL</t>
        </is>
      </c>
      <c r="AE67" t="inlineStr">
        <is>
          <t>Cancelamento de NF</t>
        </is>
      </c>
      <c r="AF67" t="inlineStr">
        <is>
          <t>Documento Fiscal</t>
        </is>
      </c>
      <c r="AG67" t="inlineStr">
        <is>
          <t>Cancelamento e Reemissão de Nota Fiscal</t>
        </is>
      </c>
      <c r="AI67" t="inlineStr">
        <is>
          <t>INT_NF_CANCEL_REEMISSAO</t>
        </is>
      </c>
      <c r="AJ67" t="inlineStr">
        <is>
          <t>Sugerida</t>
        </is>
      </c>
      <c r="AK67" t="b">
        <v>0</v>
      </c>
      <c r="AN67">
        <f>IF(OR(AG67="",AM67=""),"",IF(AG67=AM67,"SIM","NÃO"))</f>
        <v/>
      </c>
      <c r="AO67" t="inlineStr">
        <is>
          <t>CLASSIFIED_SIGNATURE</t>
        </is>
      </c>
    </row>
    <row r="68" ht="15.5" customHeight="1">
      <c r="A68" s="1" t="n"/>
      <c r="B68" s="67" t="inlineStr">
        <is>
          <t>Fabiana Lisboa</t>
        </is>
      </c>
      <c r="C68" s="70">
        <f>VLOOKUP(I:I,'Referencias '!H:I,2,0)</f>
        <v/>
      </c>
      <c r="D68" s="71" t="n">
        <v>19985861</v>
      </c>
      <c r="E68" s="71" t="n">
        <v>0</v>
      </c>
      <c r="F68" s="72" t="n">
        <v>2606110151971</v>
      </c>
      <c r="G68" s="72">
        <f>VLOOKUP(H:H,'Referencias '!B:C,2,0)</f>
        <v/>
      </c>
      <c r="H68" s="72">
        <f>TRIM(_xlfn.TEXTBEFORE(_xlfn.TEXTAFTER(U68,"CNPJ/CPF:&lt;/strong&gt;"),"&lt;/p&gt;"))</f>
        <v/>
      </c>
      <c r="I68" s="70" t="inlineStr">
        <is>
          <t>Reenvio de boleto / NF</t>
        </is>
      </c>
      <c r="J68" s="72" t="n"/>
      <c r="K68" s="72" t="n"/>
      <c r="L68" s="70" t="inlineStr">
        <is>
          <t>FINALIZADO</t>
        </is>
      </c>
      <c r="M68" s="73" t="inlineStr">
        <is>
          <t>Médio</t>
        </is>
      </c>
      <c r="N68" s="71" t="inlineStr">
        <is>
          <t>1018 Financeiro | Desejo falar com o setor financeiro | Bianca dos Santos | bianca.lourdes@corpay.com.br</t>
        </is>
      </c>
      <c r="O68" s="74" t="n">
        <v>46083</v>
      </c>
      <c r="P68" s="123" t="n">
        <v>46107</v>
      </c>
      <c r="Q68" s="177">
        <f>TEXT(O68,"mmm/aaaa")</f>
        <v/>
      </c>
      <c r="R68" s="71" t="inlineStr">
        <is>
          <t>ECOMMERCE BP SUPORTE FINANCEIRO N2</t>
        </is>
      </c>
      <c r="S68" s="71" t="inlineStr">
        <is>
          <t>bianca.lourdes@corpay.com.br</t>
        </is>
      </c>
      <c r="T68" s="71" t="inlineStr">
        <is>
          <t>ZAPAY</t>
        </is>
      </c>
      <c r="U68" s="71" t="inlineStr">
        <is>
          <t>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
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Aguardo retorno.&lt;/p&gt;&lt;p&gt;&lt;strong&gt;GA Clie</t>
        </is>
      </c>
      <c r="V68" s="71">
        <f>IFERROR(_xlfn.TEXTBEFORE(_xlfn.TEXTAFTER(U68,"Descrição do problema:&lt;/strong"),"&lt;/p&gt;"),_xlfn.TEXTAFTER(U68,"Descrição do problema:&lt;/strong"))</f>
        <v/>
      </c>
      <c r="W68" s="76">
        <f>_xlfn.CONCAT(D68:E68)</f>
        <v/>
      </c>
      <c r="X68" s="77" t="n">
        <v>46230</v>
      </c>
      <c r="Y68" s="78">
        <f>IF(X68="","Aberto","Encerrado")</f>
        <v/>
      </c>
      <c r="Z68" s="78">
        <f>IF(OR(L68="PENDENTE",L68="EM ANDAMENTO",L68="PENDENTE APROVAÇÃO CANCELAMENTO NF"),TODAY()-O68,X68-O68)</f>
        <v/>
      </c>
      <c r="AA68" s="78">
        <f>IF(Y68="Aberto",Z68+ROW()/100000,"")</f>
        <v/>
      </c>
      <c r="AB68" s="2">
        <f>IF(ISNUMBER(FIND("@cielo.com.br",S68)),"Interno","Externo")</f>
        <v/>
      </c>
      <c r="AC68" t="inlineStr">
        <is>
          <t>Solicitar segunda via, reenvio ou reemissão de boleto.</t>
        </is>
      </c>
      <c r="AD68" t="inlineStr">
        <is>
          <t>reenvio de boleto; emitir um novo boleto; novo boleto; reenvio + boleto; novo + boleto</t>
        </is>
      </c>
      <c r="AE68" t="inlineStr">
        <is>
          <t>Reenvio de boleto</t>
        </is>
      </c>
      <c r="AF68" t="inlineStr">
        <is>
          <t>Título Financeiro</t>
        </is>
      </c>
      <c r="AG68" t="inlineStr">
        <is>
          <t>Pagamentos, Boletos e Recebimentos</t>
        </is>
      </c>
      <c r="AI68" t="inlineStr">
        <is>
          <t>INT_PAG_BOLETO_REENVIO</t>
        </is>
      </c>
      <c r="AJ68" t="inlineStr">
        <is>
          <t>Sugerida</t>
        </is>
      </c>
      <c r="AK68" t="b">
        <v>0</v>
      </c>
      <c r="AN68">
        <f>IF(OR(AG68="",AM68=""),"",IF(AG68=AM68,"SIM","NÃO"))</f>
        <v/>
      </c>
      <c r="AO68" t="inlineStr">
        <is>
          <t>CLASSIFIED_PATTERN</t>
        </is>
      </c>
    </row>
    <row r="69" ht="15.5" customHeight="1">
      <c r="A69" s="1" t="n"/>
      <c r="B69" s="67" t="inlineStr">
        <is>
          <t>Emilly Maria</t>
        </is>
      </c>
      <c r="C69" s="70">
        <f>VLOOKUP(I:I,'Referencias '!H:I,2,0)</f>
        <v/>
      </c>
      <c r="D69" s="71" t="n">
        <v>19985167</v>
      </c>
      <c r="E69" s="71" t="n">
        <v>0</v>
      </c>
      <c r="F69" s="72" t="n">
        <v>2606110151454</v>
      </c>
      <c r="G69" s="72">
        <f>VLOOKUP(H:H,'Referencias '!B:C,2,0)</f>
        <v/>
      </c>
      <c r="H69" s="72">
        <f>TRIM(_xlfn.TEXTBEFORE(_xlfn.TEXTAFTER(U69,"CNPJ/CPF:&lt;/strong&gt;"),"&lt;/p&gt;"))</f>
        <v/>
      </c>
      <c r="I69" s="70" t="inlineStr">
        <is>
          <t>Cancelamento de NF</t>
        </is>
      </c>
      <c r="J69" s="72" t="n"/>
      <c r="K69" s="72" t="n"/>
      <c r="L69" s="70" t="inlineStr">
        <is>
          <t>FINALIZADO</t>
        </is>
      </c>
      <c r="M69" s="73" t="inlineStr">
        <is>
          <t>Médio</t>
        </is>
      </c>
      <c r="N69" s="71" t="inlineStr">
        <is>
          <t>1018 Financeiro | Desejo falar com o setor financeiro | Oza Selvino | financeiro@farmaciaartmed.com.br</t>
        </is>
      </c>
      <c r="O69" s="74" t="n">
        <v>46083</v>
      </c>
      <c r="P69" s="123" t="n">
        <v>46121</v>
      </c>
      <c r="Q69" s="177">
        <f>TEXT(O69,"mmm/aaaa")</f>
        <v/>
      </c>
      <c r="R69" s="71" t="inlineStr">
        <is>
          <t>ECOMMERCE BP SUPORTE FINANCEIRO N2</t>
        </is>
      </c>
      <c r="S69" s="71" t="inlineStr">
        <is>
          <t>financeiro@farmaciaartmed.com.br</t>
        </is>
      </c>
      <c r="T69" s="71" t="inlineStr">
        <is>
          <t>ART MED</t>
        </is>
      </c>
      <c r="U69" s="71" t="inlineStr">
        <is>
          <t>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
De 08/02 a 11/02 sofremos ataque robô com tentativas de compra em nosso PV 85560995 do e-commerce, nenhumas das vendas foi aprovada.
Assim que notamos, entramos em contato com o suporte da AI9, o técnico Kauê aumentou a segurança da plataforma com a instalação do recapcha, o que solucionou o problema.
Recebemos a fatura para pagamento (NF 108009 / 107860) e todas essas tentativas de fraude, foram cobradas.
Solicito que verifique e desconsidere esses valores,</t>
        </is>
      </c>
      <c r="V69" s="71">
        <f>IFERROR(_xlfn.TEXTBEFORE(_xlfn.TEXTAFTER(U69,"Descrição do problema:&lt;/strong"),"&lt;/p&gt;"),_xlfn.TEXTAFTER(U69,"Descrição do problema:&lt;/strong"))</f>
        <v/>
      </c>
      <c r="W69" s="76">
        <f>_xlfn.CONCAT(D69:E69)</f>
        <v/>
      </c>
      <c r="X69" s="77" t="n">
        <v>46287</v>
      </c>
      <c r="Y69" s="78">
        <f>IF(X69="","Aberto","Encerrado")</f>
        <v/>
      </c>
      <c r="Z69" s="78">
        <f>IF(OR(L69="PENDENTE",L69="EM ANDAMENTO",L69="PENDENTE APROVAÇÃO CANCELAMENTO NF"),TODAY()-O69,X69-O69)</f>
        <v/>
      </c>
      <c r="AA69" s="78">
        <f>IF(Y69="Aberto",Z69+ROW()/100000,"")</f>
        <v/>
      </c>
      <c r="AB69" s="2">
        <f>IF(ISNUMBER(FIND("@cielo.com.br",S69)),"Interno","Externo")</f>
        <v/>
      </c>
      <c r="AC69" t="inlineStr">
        <is>
          <t>Contestar divergência, valor ou critério de cobrança.</t>
        </is>
      </c>
      <c r="AD69" t="inlineStr">
        <is>
          <t>OBJETO:COBRANCA; OBJETO:NOTA_FISCAL; CONTEXTO:DIVERGENCIA</t>
        </is>
      </c>
      <c r="AE69" t="inlineStr">
        <is>
          <t>Contestação de cobrança</t>
        </is>
      </c>
      <c r="AF69" t="inlineStr">
        <is>
          <t>Valor Cobrado</t>
        </is>
      </c>
      <c r="AG69" t="inlineStr">
        <is>
          <t>Cobrança e Contestação</t>
        </is>
      </c>
      <c r="AI69" t="inlineStr">
        <is>
          <t>INT_COB_CONTESTACAO</t>
        </is>
      </c>
      <c r="AJ69" t="inlineStr">
        <is>
          <t>Sugerida</t>
        </is>
      </c>
      <c r="AK69" t="b">
        <v>0</v>
      </c>
      <c r="AN69">
        <f>IF(OR(AG69="",AM69=""),"",IF(AG69=AM69,"SIM","NÃO"))</f>
        <v/>
      </c>
      <c r="AO69" t="inlineStr">
        <is>
          <t>CLASSIFIED_SIGNATURE</t>
        </is>
      </c>
    </row>
    <row r="70" ht="15.5" customHeight="1">
      <c r="A70" s="1" t="n"/>
      <c r="B70" s="67" t="inlineStr">
        <is>
          <t>Emilly Maria</t>
        </is>
      </c>
      <c r="C70" s="70">
        <f>VLOOKUP(I:I,'Referencias '!H:I,2,0)</f>
        <v/>
      </c>
      <c r="D70" s="71" t="n">
        <v>20046202</v>
      </c>
      <c r="E70" s="71" t="n">
        <v>0</v>
      </c>
      <c r="F70" s="72" t="n">
        <v>2606215197400</v>
      </c>
      <c r="G70" s="72">
        <f>VLOOKUP(H:H,'Referencias '!B:C,2,0)</f>
        <v/>
      </c>
      <c r="H70" s="72">
        <f>TRIM(_xlfn.TEXTBEFORE(_xlfn.TEXTAFTER(U70,"CNPJ/CPF:&lt;/strong&gt;"),"&lt;/p&gt;"))</f>
        <v/>
      </c>
      <c r="I70" s="70" t="inlineStr">
        <is>
          <t>Cancelamento de NF / reemissão</t>
        </is>
      </c>
      <c r="J70" s="72" t="n"/>
      <c r="K70" s="72" t="n"/>
      <c r="L70" s="70" t="inlineStr">
        <is>
          <t>FINALIZADO</t>
        </is>
      </c>
      <c r="M70" s="73" t="inlineStr">
        <is>
          <t>Médio</t>
        </is>
      </c>
      <c r="N70" s="71" t="inlineStr">
        <is>
          <t>1018 Financeiro | Desejo falar com o setor financeiro | Larissa Venancio Nascimento Araujo | larissave@cielo.com.br</t>
        </is>
      </c>
      <c r="O70" s="74" t="n">
        <v>46084</v>
      </c>
      <c r="P70" s="123" t="n">
        <v>46084</v>
      </c>
      <c r="Q70" s="177">
        <f>TEXT(O70,"mmm/aaaa")</f>
        <v/>
      </c>
      <c r="R70" s="71" t="inlineStr">
        <is>
          <t>ECOMMERCE BP SUPORTE FINANCEIRO N2</t>
        </is>
      </c>
      <c r="S70" s="71" t="inlineStr">
        <is>
          <t>larissave@cielo.com.br</t>
        </is>
      </c>
      <c r="T70" s="71" t="inlineStr"/>
      <c r="U70" s="71" t="inlineStr">
        <is>
          <t xml:space="preserve">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
Favor atualizar precificação do cliente, conforme contratados já inseridos e aprovados via SF. 
OBS: do split já enviamos para fila responsável. 
Abraços,&lt;/p&gt;&lt;p&gt;&lt;strong&gt;GA Client ID:&lt;/strong&gt; 2039273388.1743804731&lt;/p&gt;&lt;p&gt;&lt;strong&gt;Lead Hash ID:&lt;/strong&gt; 07c8dc77a82120543d9be874c2aae63f64100a83b250242489917b2c434c2350&lt;/p&gt;&lt;p&gt;&lt;strong&gt;Lead Form ID:&lt;/strong&gt; </t>
        </is>
      </c>
      <c r="V70" s="71">
        <f>IFERROR(_xlfn.TEXTBEFORE(_xlfn.TEXTAFTER(U70,"Descrição do problema:&lt;/strong"),"&lt;/p&gt;"),_xlfn.TEXTAFTER(U70,"Descrição do problema:&lt;/strong"))</f>
        <v/>
      </c>
      <c r="W70" s="76">
        <f>_xlfn.CONCAT(D70:E70)</f>
        <v/>
      </c>
      <c r="X70" s="77" t="n">
        <v>46233</v>
      </c>
      <c r="Y70" s="78">
        <f>IF(X70="","Aberto","Encerrado")</f>
        <v/>
      </c>
      <c r="Z70" s="78">
        <f>IF(OR(L70="PENDENTE",L70="EM ANDAMENTO",L70="PENDENTE APROVAÇÃO CANCELAMENTO NF"),TODAY()-O70,X70-O70)</f>
        <v/>
      </c>
      <c r="AA70" s="78">
        <f>IF(Y70="Aberto",Z70+ROW()/100000,"")</f>
        <v/>
      </c>
      <c r="AB70" s="2">
        <f>IF(ISNUMBER(FIND("@cielo.com.br",S70)),"Interno","Externo")</f>
        <v/>
      </c>
      <c r="AC70" t="inlineStr">
        <is>
          <t>Alterar, renegociar ou atualizar condições comerciais ou contratuais.</t>
        </is>
      </c>
      <c r="AD70" t="inlineStr">
        <is>
          <t>atualizar precificação</t>
        </is>
      </c>
      <c r="AE70" t="inlineStr">
        <is>
          <t>Pendente retorno comercial</t>
        </is>
      </c>
      <c r="AF70" t="inlineStr">
        <is>
          <t>Contrato/Cadastro</t>
        </is>
      </c>
      <c r="AG70" t="inlineStr">
        <is>
          <t>Contratos, Comercial e Cadastro</t>
        </is>
      </c>
      <c r="AI70" t="inlineStr">
        <is>
          <t>INT_CON_CONDICOES</t>
        </is>
      </c>
      <c r="AJ70" t="inlineStr">
        <is>
          <t>Sugerida</t>
        </is>
      </c>
      <c r="AK70" t="b">
        <v>0</v>
      </c>
      <c r="AN70">
        <f>IF(OR(AG70="",AM70=""),"",IF(AG70=AM70,"SIM","NÃO"))</f>
        <v/>
      </c>
      <c r="AO70" t="inlineStr">
        <is>
          <t>CLASSIFIED_PATTERN</t>
        </is>
      </c>
    </row>
    <row r="71" ht="15.5" customHeight="1">
      <c r="A71" s="1" t="inlineStr">
        <is>
          <t>Aberto antigos</t>
        </is>
      </c>
      <c r="B71" s="67" t="inlineStr">
        <is>
          <t>Emilly Maria</t>
        </is>
      </c>
      <c r="C71" s="70">
        <f>VLOOKUP(I:I,'Referencias '!H:I,2,0)</f>
        <v/>
      </c>
      <c r="D71" s="71" t="n">
        <v>20025827</v>
      </c>
      <c r="E71" s="71" t="inlineStr">
        <is>
          <t>admin</t>
        </is>
      </c>
      <c r="F71" s="72" t="n">
        <v>2606210182305</v>
      </c>
      <c r="G71" s="72">
        <f>VLOOKUP(H:H,'Referencias '!B:C,2,0)</f>
        <v/>
      </c>
      <c r="H71" s="72">
        <f>TRIM(_xlfn.TEXTBEFORE(_xlfn.TEXTAFTER(U71,"CNPJ/CPF:&lt;/strong&gt;"),"&lt;/p&gt;"))</f>
        <v/>
      </c>
      <c r="I71" s="70" t="inlineStr">
        <is>
          <t>Contestação de cobrança</t>
        </is>
      </c>
      <c r="J71" s="72" t="inlineStr">
        <is>
          <t xml:space="preserve">Contestação de quantidades de transações </t>
        </is>
      </c>
      <c r="K71" s="72" t="n"/>
      <c r="L71" s="70" t="inlineStr">
        <is>
          <t>EM ANDAMENTO</t>
        </is>
      </c>
      <c r="M71" s="73" t="inlineStr">
        <is>
          <t>Alta</t>
        </is>
      </c>
      <c r="N71" s="71" t="inlineStr">
        <is>
          <t>1018 Financeiro | Desejo falar com o setor financeiro | Gállica Manipulação Farmacêutica Ltda. | rachel@gallica.com.br</t>
        </is>
      </c>
      <c r="O71" s="74" t="n">
        <v>46084</v>
      </c>
      <c r="P71" s="123" t="inlineStr">
        <is>
          <t>26/08/2026</t>
        </is>
      </c>
      <c r="Q71" s="177">
        <f>TEXT(O71,"mmm/aaaa")</f>
        <v/>
      </c>
      <c r="R71" s="71" t="inlineStr">
        <is>
          <t>ECOMMERCE BP SUPORTE FINANCEIRO N2</t>
        </is>
      </c>
      <c r="S71" s="71" t="inlineStr">
        <is>
          <t>rachel@gallica.com.br</t>
        </is>
      </c>
      <c r="T71" s="71" t="inlineStr">
        <is>
          <t>GALLICA</t>
        </is>
      </c>
      <c r="U71" s="71" t="inlineStr">
        <is>
          <t>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t>
        </is>
      </c>
      <c r="V71" s="71">
        <f>IFERROR(_xlfn.TEXTBEFORE(_xlfn.TEXTAFTER(U71,"Descrição do problema:&lt;/strong"),"&lt;/p&gt;"),_xlfn.TEXTAFTER(U71,"Descrição do problema:&lt;/strong"))</f>
        <v/>
      </c>
      <c r="W71" s="76">
        <f>_xlfn.CONCAT(D71:E71)</f>
        <v/>
      </c>
      <c r="X71" s="77" t="n"/>
      <c r="Y71" s="78">
        <f>IF(X71="","Aberto","Encerrado")</f>
        <v/>
      </c>
      <c r="Z71" s="78">
        <f>IF(OR(L71="PENDENTE",L71="EM ANDAMENTO",L71="PENDENTE APROVAÇÃO CANCELAMENTO NF"),TODAY()-O71,X71-O71)</f>
        <v/>
      </c>
      <c r="AA71" s="78">
        <f>IF(Y71="Aberto",Z71+ROW()/100000,"")</f>
        <v/>
      </c>
      <c r="AB71" s="2">
        <f>IF(ISNUMBER(FIND("@cielo.com.br",S71)),"Interno","Externo")</f>
        <v/>
      </c>
      <c r="AC71" t="inlineStr">
        <is>
          <t>Contestar divergência, valor ou critério de cobrança.</t>
        </is>
      </c>
      <c r="AD71" t="inlineStr">
        <is>
          <t>valor da nf + discrepante</t>
        </is>
      </c>
      <c r="AE71" t="inlineStr">
        <is>
          <t>Contestação de cobrança</t>
        </is>
      </c>
      <c r="AF71" t="inlineStr">
        <is>
          <t>Valor Cobrado</t>
        </is>
      </c>
      <c r="AG71" t="inlineStr">
        <is>
          <t>Cobrança e Contestação</t>
        </is>
      </c>
      <c r="AI71" t="inlineStr">
        <is>
          <t>INT_COB_CONTESTACAO</t>
        </is>
      </c>
      <c r="AJ71" t="inlineStr">
        <is>
          <t>Sugerida</t>
        </is>
      </c>
      <c r="AK71" t="b">
        <v>0</v>
      </c>
      <c r="AN71">
        <f>IF(OR(AG71="",AM71=""),"",IF(AG71=AM71,"SIM","NÃO"))</f>
        <v/>
      </c>
      <c r="AO71" t="inlineStr">
        <is>
          <t>CLASSIFIED_PATTERN</t>
        </is>
      </c>
    </row>
    <row r="72" ht="15.5" customHeight="1">
      <c r="A72" s="1" t="n"/>
      <c r="B72" s="67" t="inlineStr">
        <is>
          <t>Stephany Lima</t>
        </is>
      </c>
      <c r="C72" s="70">
        <f>VLOOKUP(I:I,'Referencias '!H:I,2,0)</f>
        <v/>
      </c>
      <c r="D72" s="71" t="n">
        <v>20063251</v>
      </c>
      <c r="E72" s="71" t="n">
        <v>0</v>
      </c>
      <c r="F72" s="72" t="n">
        <v>2606309209615</v>
      </c>
      <c r="G72" s="72">
        <f>T72</f>
        <v/>
      </c>
      <c r="H72" s="72">
        <f>TRIM(_xlfn.TEXTBEFORE(_xlfn.TEXTAFTER(U72,"CNPJ/CPF:&lt;/strong&gt;"),"&lt;/p&gt;"))</f>
        <v/>
      </c>
      <c r="I72" s="70" t="inlineStr">
        <is>
          <t>Cancelamento de contrato</t>
        </is>
      </c>
      <c r="J72" s="72" t="n"/>
      <c r="K72" s="72" t="n"/>
      <c r="L72" s="70" t="inlineStr">
        <is>
          <t>FINALIZADO</t>
        </is>
      </c>
      <c r="M72" s="73" t="inlineStr">
        <is>
          <t>Médio</t>
        </is>
      </c>
      <c r="N72" s="71" t="inlineStr">
        <is>
          <t>1018 Financeiro | Desejo falar com o setor financeiro | MINERAUX BEAUTY LTDA | ariane.pasilva@cielo.com.br</t>
        </is>
      </c>
      <c r="O72" s="74" t="n">
        <v>46085</v>
      </c>
      <c r="P72" s="123" t="n">
        <v>46122</v>
      </c>
      <c r="Q72" s="177">
        <f>TEXT(O72,"mmm/aaaa")</f>
        <v/>
      </c>
      <c r="R72" s="71" t="inlineStr">
        <is>
          <t>STEPHANY LIMA DE LISBOA</t>
        </is>
      </c>
      <c r="S72" s="71" t="inlineStr">
        <is>
          <t>ariane.pasilva@cielo.com.br</t>
        </is>
      </c>
      <c r="T72" s="71" t="inlineStr">
        <is>
          <t>MINERAUX BEAUTY LTDA</t>
        </is>
      </c>
      <c r="U72" s="71" t="inlineStr">
        <is>
          <t>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t>
        </is>
      </c>
      <c r="V72" s="71">
        <f>IFERROR(_xlfn.TEXTBEFORE(_xlfn.TEXTAFTER(U72,"Descrição do problema:&lt;/strong"),"&lt;/p&gt;"),_xlfn.TEXTAFTER(U72,"Descrição do problema:&lt;/strong"))</f>
        <v/>
      </c>
      <c r="W72" s="76">
        <f>_xlfn.CONCAT(D72:E72)</f>
        <v/>
      </c>
      <c r="X72" s="77" t="n">
        <v>46232</v>
      </c>
      <c r="Y72" s="78">
        <f>IF(X72="","Aberto","Encerrado")</f>
        <v/>
      </c>
      <c r="Z72" s="78">
        <f>IF(OR(L72="PENDENTE",L72="EM ANDAMENTO",L72="PENDENTE APROVAÇÃO CANCELAMENTO NF"),TODAY()-O72,X72-O72)</f>
        <v/>
      </c>
      <c r="AA72" s="78">
        <f>IF(Y72="Aberto",Z72+ROW()/100000,"")</f>
        <v/>
      </c>
      <c r="AB72" s="2">
        <f>IF(ISNUMBER(FIND("@cielo.com.br",S72)),"Interno","Externo")</f>
        <v/>
      </c>
      <c r="AC72" t="inlineStr">
        <is>
          <t>Cancelar, substituir ou reemitir nota fiscal.</t>
        </is>
      </c>
      <c r="AD72" t="inlineStr">
        <is>
          <t>ACAO:CANCELAR; OBJETO:COBRANCA; OBJETO:NOTA_FISCAL</t>
        </is>
      </c>
      <c r="AE72" t="inlineStr">
        <is>
          <t>Cancelamento de NF</t>
        </is>
      </c>
      <c r="AF72" t="inlineStr">
        <is>
          <t>Documento Fiscal</t>
        </is>
      </c>
      <c r="AG72" t="inlineStr">
        <is>
          <t>Cancelamento e Reemissão de Nota Fiscal</t>
        </is>
      </c>
      <c r="AI72" t="inlineStr">
        <is>
          <t>INT_NF_CANCEL_REEMISSAO</t>
        </is>
      </c>
      <c r="AJ72" t="inlineStr">
        <is>
          <t>Sugerida</t>
        </is>
      </c>
      <c r="AK72" t="b">
        <v>0</v>
      </c>
      <c r="AN72">
        <f>IF(OR(AG72="",AM72=""),"",IF(AG72=AM72,"SIM","NÃO"))</f>
        <v/>
      </c>
      <c r="AO72" t="inlineStr">
        <is>
          <t>CLASSIFIED_SIGNATURE</t>
        </is>
      </c>
    </row>
    <row r="73" ht="15.5" customHeight="1">
      <c r="A73" s="1" t="n"/>
      <c r="B73" s="67" t="inlineStr">
        <is>
          <t>Emilly Maria</t>
        </is>
      </c>
      <c r="C73" s="70">
        <f>VLOOKUP(I:I,'Referencias '!H:I,2,0)</f>
        <v/>
      </c>
      <c r="D73" s="71" t="n">
        <v>20119729</v>
      </c>
      <c r="E73" s="71" t="n">
        <v>0</v>
      </c>
      <c r="F73" s="72" t="n">
        <v>2606412250783</v>
      </c>
      <c r="G73" s="72">
        <f>VLOOKUP(H:H,'Referencias '!B:C,2,0)</f>
        <v/>
      </c>
      <c r="H73" s="72">
        <f>TRIM(_xlfn.TEXTBEFORE(_xlfn.TEXTAFTER(U73,"CNPJ/CPF:&lt;/strong&gt;"),"&lt;/p&gt;"))</f>
        <v/>
      </c>
      <c r="I73" s="70" t="inlineStr">
        <is>
          <t>Cancelamento de NF / reemissão</t>
        </is>
      </c>
      <c r="J73" s="72" t="n"/>
      <c r="K73" s="72" t="n"/>
      <c r="L73" s="70" t="inlineStr">
        <is>
          <t>FINALIZADO</t>
        </is>
      </c>
      <c r="M73" s="73" t="inlineStr">
        <is>
          <t>Médio</t>
        </is>
      </c>
      <c r="N73" s="71" t="inlineStr">
        <is>
          <t>1018 Financeiro | Desejo falar com o setor financeiro | patrick Arlenn Rodrigues Cruz | patrick.cruz@paytrack.com.br</t>
        </is>
      </c>
      <c r="O73" s="74" t="n">
        <v>46086</v>
      </c>
      <c r="P73" s="123" t="n">
        <v>46086</v>
      </c>
      <c r="Q73" s="177">
        <f>TEXT(O73,"mmm/aaaa")</f>
        <v/>
      </c>
      <c r="R73" s="71" t="inlineStr">
        <is>
          <t>ECOMMERCE BP SUPORTE FINANCEIRO N2</t>
        </is>
      </c>
      <c r="S73" s="71" t="inlineStr">
        <is>
          <t>patrick.cruz@paytrack.com.br</t>
        </is>
      </c>
      <c r="T73" s="71" t="inlineStr"/>
      <c r="U73" s="71" t="inlineStr">
        <is>
          <t>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
A nota fiscal 096963 foi gerada no ano de 2025, e o meu ano contábil já se encerrou. Com isso preciso do apoio de vocês para gerar um anova nota para pagamento correto.
agradeço o apoio.&lt;/p&gt;&lt;p&gt;&lt;strong&gt;GA Client ID:&lt;/strong&gt; 360051928.1758136900&lt;/p&gt;&lt;p&gt;&lt;strong&gt;Lead Hash ID:&lt;/strong&gt; 2c47b6db9469cbb08d9b0a373</t>
        </is>
      </c>
      <c r="V73" s="71">
        <f>IFERROR(_xlfn.TEXTBEFORE(_xlfn.TEXTAFTER(U73,"Descrição do problema:&lt;/strong"),"&lt;/p&gt;"),_xlfn.TEXTAFTER(U73,"Descrição do problema:&lt;/strong"))</f>
        <v/>
      </c>
      <c r="W73" s="76">
        <f>_xlfn.CONCAT(D73:E73)</f>
        <v/>
      </c>
      <c r="X73" s="77" t="n">
        <v>46233</v>
      </c>
      <c r="Y73" s="78">
        <f>IF(X73="","Aberto","Encerrado")</f>
        <v/>
      </c>
      <c r="Z73" s="78">
        <f>IF(OR(L73="PENDENTE",L73="EM ANDAMENTO",L73="PENDENTE APROVAÇÃO CANCELAMENTO NF"),TODAY()-O73,X73-O73)</f>
        <v/>
      </c>
      <c r="AA73" s="78">
        <f>IF(Y73="Aberto",Z73+ROW()/100000,"")</f>
        <v/>
      </c>
      <c r="AB73" s="2">
        <f>IF(ISNUMBER(FIND("@cielo.com.br",S73)),"Interno","Externo")</f>
        <v/>
      </c>
      <c r="AD73" t="inlineStr"/>
      <c r="AJ73" t="inlineStr">
        <is>
          <t>Sem correspondência</t>
        </is>
      </c>
      <c r="AK73" t="b">
        <v>0</v>
      </c>
      <c r="AN73">
        <f>IF(OR(AG73="",AM73=""),"",IF(AG73=AM73,"SIM","NÃO"))</f>
        <v/>
      </c>
      <c r="AO73" t="inlineStr">
        <is>
          <t>NO_PATTERN</t>
        </is>
      </c>
    </row>
    <row r="74" ht="15.5" customHeight="1">
      <c r="A74" s="1" t="n"/>
      <c r="B74" s="67" t="inlineStr">
        <is>
          <t>Stephany Lima</t>
        </is>
      </c>
      <c r="C74" s="70">
        <f>VLOOKUP(I:I,'Referencias '!H:I,2,0)</f>
        <v/>
      </c>
      <c r="D74" s="71" t="n">
        <v>20102962</v>
      </c>
      <c r="E74" s="71" t="n">
        <v>0</v>
      </c>
      <c r="F74" s="72" t="n">
        <v>2606407238435</v>
      </c>
      <c r="G74" s="72">
        <f>T74</f>
        <v/>
      </c>
      <c r="H74" s="72">
        <f>TRIM(_xlfn.TEXTBEFORE(_xlfn.TEXTAFTER(U74,"CNPJ/CPF:&lt;/strong&gt;"),"&lt;/p&gt;"))</f>
        <v/>
      </c>
      <c r="I74" s="70" t="inlineStr">
        <is>
          <t>Sem solicitação encerrar</t>
        </is>
      </c>
      <c r="J74" s="72" t="n"/>
      <c r="K74" s="72" t="n"/>
      <c r="L74" s="70" t="inlineStr">
        <is>
          <t>FINALIZADO</t>
        </is>
      </c>
      <c r="M74" s="73" t="inlineStr">
        <is>
          <t>Médio</t>
        </is>
      </c>
      <c r="N74" s="71" t="inlineStr">
        <is>
          <t>1018 Financeiro | Desejo falar com o setor financeiro | Mariane Oliveira dos Santos | mariane.santos@cielo.com.br</t>
        </is>
      </c>
      <c r="O74" s="74" t="n">
        <v>46086</v>
      </c>
      <c r="P74" s="123" t="n">
        <v>46107</v>
      </c>
      <c r="Q74" s="177">
        <f>TEXT(O74,"mmm/aaaa")</f>
        <v/>
      </c>
      <c r="R74" s="71" t="inlineStr">
        <is>
          <t>STEPHANY LIMA DE LISBOA</t>
        </is>
      </c>
      <c r="S74" s="71" t="inlineStr">
        <is>
          <t>mariane.santos@cielo.com.br</t>
        </is>
      </c>
      <c r="T74" s="71" t="inlineStr"/>
      <c r="U74" s="71" t="inlineStr">
        <is>
          <t>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
Estou tratando a renovação de contrato do senac, porém o último contrato assinado está vinculado ao CNPJ 03.541.088/0001-47 e eu não encontrei NF neste CNPJ e não encontrei este CNPJ no billing, as notas fiscais que encontrei estão vinculada ao CNPJ 03.541.088/0033-24
Poderiam me confirmar se realmente não existem NFs sendo geradas no CNPJ do contrato?&lt;/p&gt;&lt;p&gt;&lt;strong&gt;ID da transação:&lt;/strong&gt; &lt;/p&gt;&lt;p&gt;&lt;strong&gt;Código do erro:&lt;/strong&gt; &lt;/p&gt;&lt;p&gt;&lt;strong&gt;Sobre qual produto ou área deseja falar?:&lt;/strong&gt; Financei</t>
        </is>
      </c>
      <c r="V74" s="71">
        <f>IFERROR(_xlfn.TEXTBEFORE(_xlfn.TEXTAFTER(U74,"Descrição do problema:&lt;/strong"),"&lt;/p&gt;"),_xlfn.TEXTAFTER(U74,"Descrição do problema:&lt;/strong"))</f>
        <v/>
      </c>
      <c r="W74" s="76">
        <f>_xlfn.CONCAT(D74:E74)</f>
        <v/>
      </c>
      <c r="X74" s="77" t="n">
        <v>46241</v>
      </c>
      <c r="Y74" s="78">
        <f>IF(X74="","Aberto","Encerrado")</f>
        <v/>
      </c>
      <c r="Z74" s="78">
        <f>IF(OR(L74="PENDENTE",L74="EM ANDAMENTO",L74="PENDENTE APROVAÇÃO CANCELAMENTO NF"),TODAY()-O74,X74-O74)</f>
        <v/>
      </c>
      <c r="AA74" s="78">
        <f>IF(Y74="Aberto",Z74+ROW()/100000,"")</f>
        <v/>
      </c>
      <c r="AB74" s="2">
        <f>IF(ISNUMBER(FIND("@cielo.com.br",S74)),"Interno","Externo")</f>
        <v/>
      </c>
      <c r="AC74" t="inlineStr">
        <is>
          <t>Consultar ou verificar faturamento, fatura ou obrigações fiscais.</t>
        </is>
      </c>
      <c r="AD74" t="inlineStr">
        <is>
          <t>não encontrei nf</t>
        </is>
      </c>
      <c r="AE74" t="inlineStr">
        <is>
          <t>Dúvida sobre faturamento</t>
        </is>
      </c>
      <c r="AF74" t="inlineStr">
        <is>
          <t>Parâmetro de Faturamento</t>
        </is>
      </c>
      <c r="AG74" t="inlineStr">
        <is>
          <t>Faturamento e Obrigações Fiscais</t>
        </is>
      </c>
      <c r="AI74" t="inlineStr">
        <is>
          <t>INT_FAT_DUVIDA</t>
        </is>
      </c>
      <c r="AJ74" t="inlineStr">
        <is>
          <t>Sugerida</t>
        </is>
      </c>
      <c r="AK74" t="b">
        <v>0</v>
      </c>
      <c r="AN74">
        <f>IF(OR(AG74="",AM74=""),"",IF(AG74=AM74,"SIM","NÃO"))</f>
        <v/>
      </c>
      <c r="AO74" t="inlineStr">
        <is>
          <t>CLASSIFIED_PATTERN</t>
        </is>
      </c>
    </row>
    <row r="75" ht="15.5" customHeight="1">
      <c r="A75" s="1" t="n"/>
      <c r="B75" s="67" t="inlineStr">
        <is>
          <t>Stephany Lima</t>
        </is>
      </c>
      <c r="C75" s="70">
        <f>VLOOKUP(I:I,'Referencias '!H:I,2,0)</f>
        <v/>
      </c>
      <c r="D75" s="71" t="n">
        <v>20192438</v>
      </c>
      <c r="E75" s="71" t="n">
        <v>0</v>
      </c>
      <c r="F75" s="72" t="n">
        <v>2606808304368</v>
      </c>
      <c r="G75" s="72">
        <f>VLOOKUP(H:H,'Referencias '!B:C,2,0)</f>
        <v/>
      </c>
      <c r="H75" s="72">
        <f>TRIM(_xlfn.TEXTBEFORE(_xlfn.TEXTAFTER(U75,"CNPJ/CPF:&lt;/strong&gt;"),"&lt;/p&gt;"))</f>
        <v/>
      </c>
      <c r="I75" s="70" t="inlineStr">
        <is>
          <t>Reenvio de boleto / NF</t>
        </is>
      </c>
      <c r="J75" s="72" t="inlineStr">
        <is>
          <t>Análise de nf foi emitida com desconto - cliente nunca efetuou o pagamento e quer desconto no pgto. Em torno de 20nfs</t>
        </is>
      </c>
      <c r="K75" s="72" t="n"/>
      <c r="L75" s="70" t="inlineStr">
        <is>
          <t>EM ANDAMENTO</t>
        </is>
      </c>
      <c r="M75" s="73" t="inlineStr">
        <is>
          <t>Alta</t>
        </is>
      </c>
      <c r="N75" s="71" t="inlineStr">
        <is>
          <t>1018 Financeiro | Desejo falar com o setor financeiro | Silvio Cesar | silviocesar@riozen.com.br</t>
        </is>
      </c>
      <c r="O75" s="74" t="n">
        <v>46090</v>
      </c>
      <c r="P75" s="123" t="n">
        <v>46134</v>
      </c>
      <c r="Q75" s="177">
        <f>TEXT(O75,"mmm/aaaa")</f>
        <v/>
      </c>
      <c r="R75" s="71" t="inlineStr">
        <is>
          <t>STEPHANY LIMA DE LISBOA</t>
        </is>
      </c>
      <c r="S75" s="71" t="inlineStr">
        <is>
          <t>silviocesar@riozen.com.br</t>
        </is>
      </c>
      <c r="T75" s="71" t="inlineStr">
        <is>
          <t>RIOZEN</t>
        </is>
      </c>
      <c r="U75" s="71" t="inlineStr">
        <is>
          <t>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
Não estavamos recebendo as notas da Braspag desde que o contrato foi assinado, agora que recebemos, percebemos uma divergência e uma cobrança incorreta nas nossas faturas, ao invés de cobrarem 0,33, estão cobrando 300 podem corrigir as notas e boletos para o valor correto?
Obrigada!&lt;/p&gt;&lt;p&gt;&lt;strong&gt;GA Client ID:&lt;/strong&gt; 1324974709.1764694782&lt;/p&gt;&lt;p&gt;&lt;</t>
        </is>
      </c>
      <c r="V75" s="71">
        <f>IFERROR(_xlfn.TEXTBEFORE(_xlfn.TEXTAFTER(U75,"Descrição do problema:&lt;/strong"),"&lt;/p&gt;"),_xlfn.TEXTAFTER(U75,"Descrição do problema:&lt;/strong"))</f>
        <v/>
      </c>
      <c r="W75" s="76">
        <f>_xlfn.CONCAT(D75:E75)</f>
        <v/>
      </c>
      <c r="X75" s="77" t="n"/>
      <c r="Y75" s="78">
        <f>IF(X75="","Aberto","Encerrado")</f>
        <v/>
      </c>
      <c r="Z75" s="78">
        <f>IF(OR(L75="PENDENTE",L75="EM ANDAMENTO",L75="PENDENTE APROVAÇÃO CANCELAMENTO NF"),TODAY()-O75,X75-O75)</f>
        <v/>
      </c>
      <c r="AA75" s="78">
        <f>IF(Y75="Aberto",Z75+ROW()/100000,"")</f>
        <v/>
      </c>
      <c r="AB75" s="2">
        <f>IF(ISNUMBER(FIND("@cielo.com.br",S75)),"Interno","Externo")</f>
        <v/>
      </c>
      <c r="AC75" t="inlineStr">
        <is>
          <t>Contestar divergência, valor ou critério de cobrança.</t>
        </is>
      </c>
      <c r="AD75" t="inlineStr">
        <is>
          <t>OBJETO:BOLETO; OBJETO:COBRANCA; OBJETO:CONTRATO; CONTEXTO:DIVERGENCIA</t>
        </is>
      </c>
      <c r="AE75" t="inlineStr">
        <is>
          <t>Contestação de cobrança</t>
        </is>
      </c>
      <c r="AF75" t="inlineStr">
        <is>
          <t>Valor Cobrado</t>
        </is>
      </c>
      <c r="AG75" t="inlineStr">
        <is>
          <t>Cobrança e Contestação</t>
        </is>
      </c>
      <c r="AI75" t="inlineStr">
        <is>
          <t>INT_COB_CONTESTACAO</t>
        </is>
      </c>
      <c r="AJ75" t="inlineStr">
        <is>
          <t>Sugerida</t>
        </is>
      </c>
      <c r="AK75" t="b">
        <v>0</v>
      </c>
      <c r="AN75">
        <f>IF(OR(AG75="",AM75=""),"",IF(AG75=AM75,"SIM","NÃO"))</f>
        <v/>
      </c>
      <c r="AO75" t="inlineStr">
        <is>
          <t>CLASSIFIED_SIGNATURE</t>
        </is>
      </c>
    </row>
    <row r="76" ht="15.5" customHeight="1">
      <c r="A76" s="1" t="n"/>
      <c r="B76" s="67" t="inlineStr">
        <is>
          <t>Emilly Maria</t>
        </is>
      </c>
      <c r="C76" s="70">
        <f>VLOOKUP(I:I,'Referencias '!H:I,2,0)</f>
        <v/>
      </c>
      <c r="D76" s="71" t="n">
        <v>20258333</v>
      </c>
      <c r="E76" s="71" t="n">
        <v>0</v>
      </c>
      <c r="F76" s="72" t="n">
        <v>2606914352685</v>
      </c>
      <c r="G76" s="72">
        <f>T76</f>
        <v/>
      </c>
      <c r="H76" s="72">
        <f>TRIM(_xlfn.TEXTBEFORE(_xlfn.TEXTAFTER(U76,"CNPJ/CPF:&lt;/strong&gt;"),"&lt;/p&gt;"))</f>
        <v/>
      </c>
      <c r="I76" s="70" t="inlineStr">
        <is>
          <t>Cancelamento de NF / reemissão</t>
        </is>
      </c>
      <c r="J76" s="72" t="n"/>
      <c r="K76" s="72" t="n"/>
      <c r="L76" s="70" t="inlineStr">
        <is>
          <t>FINALIZADO</t>
        </is>
      </c>
      <c r="M76" s="73" t="inlineStr">
        <is>
          <t>Médio</t>
        </is>
      </c>
      <c r="N76" s="71" t="inlineStr">
        <is>
          <t>1018 Financeiro | Desejo falar com o setor financeiro | Larissa Venancio Nascimento Araujo | larissa.naraujo@cielo.com.br</t>
        </is>
      </c>
      <c r="O76" s="74" t="n">
        <v>46091</v>
      </c>
      <c r="P76" s="123" t="n">
        <v>46113</v>
      </c>
      <c r="Q76" s="177">
        <f>TEXT(O76,"mmm/aaaa")</f>
        <v/>
      </c>
      <c r="R76" s="71" t="inlineStr">
        <is>
          <t>ECOMMERCE BP SUPORTE FINANCEIRO N2</t>
        </is>
      </c>
      <c r="S76" s="71" t="inlineStr">
        <is>
          <t>larissa.naraujo@cielo.com.br</t>
        </is>
      </c>
      <c r="T76" s="71" t="inlineStr">
        <is>
          <t>PANDORA</t>
        </is>
      </c>
      <c r="U76" s="71" t="inlineStr">
        <is>
          <t xml:space="preserve">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
A cliente PANDORA passará por uma cessão contratual. 
Já passamos pelo juridico, confeccionamos o documento e o mesmo já se encontra com as assinaturas concluidas. 
Estamos tentando executar o processo via SF, porém  estamos enfrentando algumas dificuldades sistêmicas. 
Já acionamos o time de salesforce para nos apoiar, </t>
        </is>
      </c>
      <c r="V76" s="71">
        <f>IFERROR(_xlfn.TEXTBEFORE(_xlfn.TEXTAFTER(U76,"Descrição do problema:&lt;/strong"),"&lt;/p&gt;"),_xlfn.TEXTAFTER(U76,"Descrição do problema:&lt;/strong"))</f>
        <v/>
      </c>
      <c r="W76" s="76">
        <f>_xlfn.CONCAT(D76:E76)</f>
        <v/>
      </c>
      <c r="X76" s="77" t="n">
        <v>46233</v>
      </c>
      <c r="Y76" s="78">
        <f>IF(X76="","Aberto","Encerrado")</f>
        <v/>
      </c>
      <c r="Z76" s="78">
        <f>IF(OR(L76="PENDENTE",L76="EM ANDAMENTO",L76="PENDENTE APROVAÇÃO CANCELAMENTO NF"),TODAY()-O76,X76-O76)</f>
        <v/>
      </c>
      <c r="AA76" s="78">
        <f>IF(Y76="Aberto",Z76+ROW()/100000,"")</f>
        <v/>
      </c>
      <c r="AB76" s="2">
        <f>IF(ISNUMBER(FIND("@cielo.com.br",S76)),"Interno","Externo")</f>
        <v/>
      </c>
      <c r="AD76" t="inlineStr"/>
      <c r="AJ76" t="inlineStr">
        <is>
          <t>Sem correspondência</t>
        </is>
      </c>
      <c r="AK76" t="b">
        <v>0</v>
      </c>
      <c r="AN76">
        <f>IF(OR(AG76="",AM76=""),"",IF(AG76=AM76,"SIM","NÃO"))</f>
        <v/>
      </c>
      <c r="AO76" t="inlineStr">
        <is>
          <t>NO_PATTERN</t>
        </is>
      </c>
    </row>
    <row r="77" ht="15.5" customHeight="1">
      <c r="A77" s="1" t="n"/>
      <c r="B77" s="67" t="inlineStr">
        <is>
          <t>Pamela de Sá</t>
        </is>
      </c>
      <c r="C77" s="70">
        <f>VLOOKUP(I:I,'Referencias '!H:I,2,0)</f>
        <v/>
      </c>
      <c r="D77" s="71" t="n">
        <v>20248313</v>
      </c>
      <c r="E77" s="71" t="n">
        <v>0</v>
      </c>
      <c r="F77" s="72" t="n">
        <v>2606911345076</v>
      </c>
      <c r="G77" s="72">
        <f>VLOOKUP(H:H,'Referencias '!B:C,2,0)</f>
        <v/>
      </c>
      <c r="H77" s="72">
        <f>TRIM(_xlfn.TEXTBEFORE(_xlfn.TEXTAFTER(U77,"CNPJ/CPF:&lt;/strong&gt;"),"&lt;/p&gt;"))</f>
        <v/>
      </c>
      <c r="I77" s="70" t="inlineStr">
        <is>
          <t>Outros</t>
        </is>
      </c>
      <c r="J77" s="72" t="n"/>
      <c r="K77" s="72" t="n"/>
      <c r="L77" s="70" t="inlineStr">
        <is>
          <t>FINALIZADO</t>
        </is>
      </c>
      <c r="M77" s="73" t="inlineStr">
        <is>
          <t>Médio</t>
        </is>
      </c>
      <c r="N77" s="71" t="inlineStr">
        <is>
          <t>1018 Financeiro | Desejo falar com o setor financeiro | Fernanda Camarneira | fernanda.scamarneira@cielo.com.br</t>
        </is>
      </c>
      <c r="O77" s="74" t="n">
        <v>46091</v>
      </c>
      <c r="P77" s="123" t="n">
        <v>46091</v>
      </c>
      <c r="Q77" s="177">
        <f>TEXT(O77,"mmm/aaaa")</f>
        <v/>
      </c>
      <c r="R77" s="71" t="inlineStr">
        <is>
          <t>ECOMMERCE BP SUPORTE FINANCEIRO N2</t>
        </is>
      </c>
      <c r="S77" s="71" t="inlineStr">
        <is>
          <t>fernanda.scamarneira@cielo.com.br</t>
        </is>
      </c>
      <c r="T77" s="71" t="inlineStr"/>
      <c r="U77" s="71" t="inlineStr">
        <is>
          <t>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https://braspag.lightning.force.com/lightning/r/Opportunity/006Np00001CJmXrIAL/view
Será necessário ajustar a data de aniversário do contrato de todos os serviços.
E inclui 2 serviços novos: Emailage e QUOD.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
        </is>
      </c>
      <c r="V77" s="71">
        <f>IFERROR(_xlfn.TEXTBEFORE(_xlfn.TEXTAFTER(U77,"Descrição do problema:&lt;/strong"),"&lt;/p&gt;"),_xlfn.TEXTAFTER(U77,"Descrição do problema:&lt;/strong"))</f>
        <v/>
      </c>
      <c r="W77" s="76">
        <f>_xlfn.CONCAT(D77:E77)</f>
        <v/>
      </c>
      <c r="X77" s="77" t="n">
        <v>46231</v>
      </c>
      <c r="Y77" s="78">
        <f>IF(X77="","Aberto","Encerrado")</f>
        <v/>
      </c>
      <c r="Z77" s="78">
        <f>IF(OR(L77="PENDENTE",L77="EM ANDAMENTO",L77="PENDENTE APROVAÇÃO CANCELAMENTO NF"),TODAY()-O77,X77-O77)</f>
        <v/>
      </c>
      <c r="AA77" s="78">
        <f>IF(Y77="Aberto",Z77+ROW()/100000,"")</f>
        <v/>
      </c>
      <c r="AB77" s="2">
        <f>IF(ISNUMBER(FIND("@cielo.com.br",S77)),"Interno","Externo")</f>
        <v/>
      </c>
      <c r="AC77" t="inlineStr">
        <is>
          <t>Alterar, renegociar ou atualizar condições comerciais ou contratuais.</t>
        </is>
      </c>
      <c r="AD77" t="inlineStr">
        <is>
          <t>data de aniversário + contrato</t>
        </is>
      </c>
      <c r="AE77" t="inlineStr">
        <is>
          <t>Pendente retorno comercial</t>
        </is>
      </c>
      <c r="AF77" t="inlineStr">
        <is>
          <t>Contrato/Cadastro</t>
        </is>
      </c>
      <c r="AG77" t="inlineStr">
        <is>
          <t>Contratos, Comercial e Cadastro</t>
        </is>
      </c>
      <c r="AI77" t="inlineStr">
        <is>
          <t>INT_CON_CONDICOES</t>
        </is>
      </c>
      <c r="AJ77" t="inlineStr">
        <is>
          <t>Sugerida</t>
        </is>
      </c>
      <c r="AK77" t="b">
        <v>0</v>
      </c>
      <c r="AN77">
        <f>IF(OR(AG77="",AM77=""),"",IF(AG77=AM77,"SIM","NÃO"))</f>
        <v/>
      </c>
      <c r="AO77" t="inlineStr">
        <is>
          <t>CLASSIFIED_PATTERN</t>
        </is>
      </c>
    </row>
    <row r="78" ht="15.5" customHeight="1">
      <c r="A78" s="1" t="n"/>
      <c r="B78" s="67" t="inlineStr">
        <is>
          <t>Pamela de Sá</t>
        </is>
      </c>
      <c r="C78" s="70">
        <f>VLOOKUP(I:I,'Referencias '!H:I,2,0)</f>
        <v/>
      </c>
      <c r="D78" s="71" t="n">
        <v>20236835</v>
      </c>
      <c r="E78" s="71" t="n">
        <v>0</v>
      </c>
      <c r="F78" s="72" t="n">
        <v>0</v>
      </c>
      <c r="G78" s="72">
        <f>VLOOKUP(H:H,'Referencias '!B:C,2,0)</f>
        <v/>
      </c>
      <c r="H78" s="72">
        <f>TRIM(_xlfn.TEXTBEFORE(_xlfn.TEXTAFTER(U78,"CNPJ/CPF:&lt;/strong&gt;"),"&lt;/p&gt;"))</f>
        <v/>
      </c>
      <c r="I78" s="70" t="inlineStr">
        <is>
          <t>Solicitação de documentos (contrato, NF, histórico)</t>
        </is>
      </c>
      <c r="J78" s="72" t="n"/>
      <c r="K78" s="72" t="n"/>
      <c r="L78" s="70" t="inlineStr">
        <is>
          <t>FINALIZADO</t>
        </is>
      </c>
      <c r="M78" s="73" t="inlineStr">
        <is>
          <t>Médio</t>
        </is>
      </c>
      <c r="N78" s="71" t="inlineStr">
        <is>
          <t>1002 Portais E-commerce | Estou com um problema em produção e preciso de ajuda | Cleber de Jesus da Silva | cleberjesus@ibm.com</t>
        </is>
      </c>
      <c r="O78" s="74" t="n">
        <v>46091</v>
      </c>
      <c r="P78" s="123" t="n">
        <v>46157</v>
      </c>
      <c r="Q78" s="177">
        <f>TEXT(O78,"mmm/aaaa")</f>
        <v/>
      </c>
      <c r="R78" s="71" t="inlineStr">
        <is>
          <t>FABIANA DE JESUS MARTINS LISBOA</t>
        </is>
      </c>
      <c r="S78" s="71" t="inlineStr">
        <is>
          <t>cleberjesus@ibm.com</t>
        </is>
      </c>
      <c r="T78" s="71" t="inlineStr">
        <is>
          <t>IBM BRASIL</t>
        </is>
      </c>
      <c r="U78" s="71" t="inlineStr">
        <is>
          <t>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
Durante a análise das faturas 106247 e 106304, verificamos que os dois impostos foram somados no documento. Para que possamos dar continuidade ao input correto no portal, poderia, por gentileza, nos enviar o arquivo XML dessas faturas?
No XML os impostos estarão descritos separadamente, o que é necessário para o regis</t>
        </is>
      </c>
      <c r="V78" s="71">
        <f>IFERROR(_xlfn.TEXTBEFORE(_xlfn.TEXTAFTER(U78,"Descrição do problema:&lt;/strong"),"&lt;/p&gt;"),_xlfn.TEXTAFTER(U78,"Descrição do problema:&lt;/strong"))</f>
        <v/>
      </c>
      <c r="W78" s="76">
        <f>_xlfn.CONCAT(D78:E78)</f>
        <v/>
      </c>
      <c r="X78" s="77" t="n">
        <v>46225</v>
      </c>
      <c r="Y78" s="78">
        <f>IF(X78="","Aberto","Encerrado")</f>
        <v/>
      </c>
      <c r="Z78" s="78">
        <f>IF(OR(L78="PENDENTE",L78="EM ANDAMENTO",L78="PENDENTE APROVAÇÃO CANCELAMENTO NF"),TODAY()-O78,X78-O78)</f>
        <v/>
      </c>
      <c r="AA78" s="78">
        <f>IF(Y78="Aberto",Z78+ROW()/100000,"")</f>
        <v/>
      </c>
      <c r="AB78" s="2">
        <f>IF(ISNUMBER(FIND("@cielo.com.br",S78)),"Interno","Externo")</f>
        <v/>
      </c>
      <c r="AC78" t="inlineStr">
        <is>
          <t>Solicitar documento administrativo.</t>
        </is>
      </c>
      <c r="AD78" t="inlineStr">
        <is>
          <t>envio do xml</t>
        </is>
      </c>
      <c r="AE78" t="inlineStr">
        <is>
          <t>Reenvio de informação</t>
        </is>
      </c>
      <c r="AF78" t="inlineStr">
        <is>
          <t>Informação/Atendimento</t>
        </is>
      </c>
      <c r="AG78" t="inlineStr">
        <is>
          <t>Atendimento Administrativo e Suporte</t>
        </is>
      </c>
      <c r="AI78" t="inlineStr">
        <is>
          <t>INT_ADM_DOCUMENTOS</t>
        </is>
      </c>
      <c r="AJ78" t="inlineStr">
        <is>
          <t>Sugerida</t>
        </is>
      </c>
      <c r="AK78" t="b">
        <v>0</v>
      </c>
      <c r="AN78">
        <f>IF(OR(AG78="",AM78=""),"",IF(AG78=AM78,"SIM","NÃO"))</f>
        <v/>
      </c>
      <c r="AO78" t="inlineStr">
        <is>
          <t>CLASSIFIED_PATTERN</t>
        </is>
      </c>
    </row>
    <row r="79" ht="15.5" customHeight="1">
      <c r="A79" s="1" t="inlineStr">
        <is>
          <t>Aberto antigos</t>
        </is>
      </c>
      <c r="B79" s="67" t="inlineStr">
        <is>
          <t>Amanda Silva</t>
        </is>
      </c>
      <c r="C79" s="70">
        <f>VLOOKUP(I:I,'Referencias '!H:I,2,0)</f>
        <v/>
      </c>
      <c r="D79" s="71" t="n">
        <v>20314174</v>
      </c>
      <c r="E79" s="71" t="n">
        <v>0</v>
      </c>
      <c r="F79" s="72" t="n">
        <v>2607017393968</v>
      </c>
      <c r="G79" s="72">
        <f>VLOOKUP(H:H,'Referencias '!B:C,2,0)</f>
        <v/>
      </c>
      <c r="H79" s="72">
        <f>TRIM(_xlfn.TEXTBEFORE(_xlfn.TEXTAFTER(U79,"CNPJ/CPF:&lt;/strong&gt;"),"&lt;/p&gt;"))</f>
        <v/>
      </c>
      <c r="I79" s="70" t="inlineStr">
        <is>
          <t>Dúvida comercial</t>
        </is>
      </c>
      <c r="J79" s="72" t="n"/>
      <c r="K79" s="72" t="n"/>
      <c r="L79" s="70" t="inlineStr">
        <is>
          <t>EM ANDAMENTO</t>
        </is>
      </c>
      <c r="M79" s="73" t="inlineStr">
        <is>
          <t>Alta</t>
        </is>
      </c>
      <c r="N79" s="71" t="inlineStr">
        <is>
          <t>1018 Financeiro | Desejo falar com o setor financeiro | Mariane Oliveira dos Santos | mariane.santos@cielo.com.br</t>
        </is>
      </c>
      <c r="O79" s="74" t="n">
        <v>46092</v>
      </c>
      <c r="P79" s="123" t="inlineStr">
        <is>
          <t>15/05/2026</t>
        </is>
      </c>
      <c r="Q79" s="177">
        <f>TEXT(O79,"mmm/aaaa")</f>
        <v/>
      </c>
      <c r="R79" s="71" t="inlineStr">
        <is>
          <t>FABIANA DE JESUS MARTINS LISBOA</t>
        </is>
      </c>
      <c r="S79" s="71" t="inlineStr">
        <is>
          <t>mariane.santos@cielo.com.br</t>
        </is>
      </c>
      <c r="T79" s="71" t="inlineStr"/>
      <c r="U79" s="71" t="inlineStr">
        <is>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
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t>
        </is>
      </c>
      <c r="V79" s="71">
        <f>IFERROR(_xlfn.TEXTBEFORE(_xlfn.TEXTAFTER(U79,"Descrição do problema:&lt;/strong"),"&lt;/p&gt;"),_xlfn.TEXTAFTER(U79,"Descrição do problema:&lt;/strong"))</f>
        <v/>
      </c>
      <c r="W79" s="76">
        <f>_xlfn.CONCAT(D79:E79)</f>
        <v/>
      </c>
      <c r="X79" s="77" t="n"/>
      <c r="Y79" s="78">
        <f>IF(X79="","Aberto","Encerrado")</f>
        <v/>
      </c>
      <c r="Z79" s="78">
        <f>IF(OR(L79="PENDENTE",L79="EM ANDAMENTO",L79="PENDENTE APROVAÇÃO CANCELAMENTO NF"),TODAY()-O79,X79-O79)</f>
        <v/>
      </c>
      <c r="AA79" s="78">
        <f>IF(Y79="Aberto",Z79+ROW()/100000,"")</f>
        <v/>
      </c>
      <c r="AB79" s="2">
        <f>IF(ISNUMBER(FIND("@cielo.com.br",S79)),"Interno","Externo")</f>
        <v/>
      </c>
      <c r="AC79" t="inlineStr">
        <is>
          <t>Cancelar, substituir ou reemitir nota fiscal.</t>
        </is>
      </c>
      <c r="AD79" t="inlineStr">
        <is>
          <t>ACAO:CANCELAR; OBJETO:NOTA_FISCAL</t>
        </is>
      </c>
      <c r="AE79" t="inlineStr">
        <is>
          <t>Cancelamento de NF</t>
        </is>
      </c>
      <c r="AF79" t="inlineStr">
        <is>
          <t>Documento Fiscal</t>
        </is>
      </c>
      <c r="AG79" t="inlineStr">
        <is>
          <t>Cancelamento e Reemissão de Nota Fiscal</t>
        </is>
      </c>
      <c r="AI79" t="inlineStr">
        <is>
          <t>INT_NF_CANCEL_REEMISSAO</t>
        </is>
      </c>
      <c r="AJ79" t="inlineStr">
        <is>
          <t>Sugerida</t>
        </is>
      </c>
      <c r="AK79" t="b">
        <v>0</v>
      </c>
      <c r="AN79">
        <f>IF(OR(AG79="",AM79=""),"",IF(AG79=AM79,"SIM","NÃO"))</f>
        <v/>
      </c>
      <c r="AO79" t="inlineStr">
        <is>
          <t>CLASSIFIED_SIGNATURE</t>
        </is>
      </c>
    </row>
    <row r="80" ht="15.5" customHeight="1">
      <c r="A80" s="1" t="n"/>
      <c r="B80" s="67" t="inlineStr">
        <is>
          <t>Stephany Lima</t>
        </is>
      </c>
      <c r="C80" s="70">
        <f>VLOOKUP(I:I,'Referencias '!H:I,2,0)</f>
        <v/>
      </c>
      <c r="D80" s="71" t="n">
        <v>20287839</v>
      </c>
      <c r="E80" s="71" t="n">
        <v>0</v>
      </c>
      <c r="F80" s="72" t="n">
        <v>2607011374674</v>
      </c>
      <c r="G80" s="72">
        <f>VLOOKUP(H:H,'Referencias '!B:C,2,0)</f>
        <v/>
      </c>
      <c r="H80" s="72">
        <f>TRIM(_xlfn.TEXTBEFORE(_xlfn.TEXTAFTER(U80,"CNPJ/CPF:&lt;/strong&gt;"),"&lt;/p&gt;"))</f>
        <v/>
      </c>
      <c r="I80" s="70" t="inlineStr">
        <is>
          <t>Contestação de cobrança</t>
        </is>
      </c>
      <c r="J80" s="72" t="n"/>
      <c r="K80" s="72" t="n"/>
      <c r="L80" s="70" t="inlineStr">
        <is>
          <t>FINALIZADO</t>
        </is>
      </c>
      <c r="M80" s="73" t="inlineStr">
        <is>
          <t>Médio</t>
        </is>
      </c>
      <c r="N80" s="71" t="inlineStr">
        <is>
          <t>1018 Financeiro | Desejo falar com o setor financeiro | Debora | cobrancati@cinemark.com.br</t>
        </is>
      </c>
      <c r="O80" s="74" t="n">
        <v>46092</v>
      </c>
      <c r="P80" s="123" t="n">
        <v>46153</v>
      </c>
      <c r="Q80" s="177">
        <f>TEXT(O80,"mmm/aaaa")</f>
        <v/>
      </c>
      <c r="R80" s="71" t="inlineStr">
        <is>
          <t>FABIANA DE JESUS MARTINS LISBOA</t>
        </is>
      </c>
      <c r="S80" s="71" t="inlineStr">
        <is>
          <t>cobrancati@cinemark.com.br</t>
        </is>
      </c>
      <c r="T80" s="71" t="inlineStr">
        <is>
          <t>CINEMARK TELEMARKETING</t>
        </is>
      </c>
      <c r="U80" s="71" t="inlineStr">
        <is>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
OC000750954 - Antifraude Jan/26 R$55.224,85
OC000750550 - 3DS fev/26 R$3.038,75
OC000750547 - Cartão Protegido fev/26 R$5.813,68&lt;/p&gt;&lt;p&gt;&lt;strong&gt;GA Client ID:&lt;/strong&gt; 1764456801.1765984201&lt;/p&gt;&lt;p&gt;&lt;strong&gt;Lead Hash ID:&lt;/strong&gt; ae4e7ca904ec5ec8b89ceeb86ba8a422c0fbd84abebe218fe785dc0bd6b548d1&lt;/p&gt;&lt;p&gt;&lt;stro</t>
        </is>
      </c>
      <c r="V80" s="71">
        <f>IFERROR(_xlfn.TEXTBEFORE(_xlfn.TEXTAFTER(U80,"Descrição do problema:&lt;/strong"),"&lt;/p&gt;"),_xlfn.TEXTAFTER(U80,"Descrição do problema:&lt;/strong"))</f>
        <v/>
      </c>
      <c r="W80" s="76">
        <f>_xlfn.CONCAT(D80:E80)</f>
        <v/>
      </c>
      <c r="X80" s="77" t="n">
        <v>46274</v>
      </c>
      <c r="Y80" s="78">
        <f>IF(X80="","Aberto","Encerrado")</f>
        <v/>
      </c>
      <c r="Z80" s="78">
        <f>IF(OR(L80="PENDENTE",L80="EM ANDAMENTO",L80="PENDENTE APROVAÇÃO CANCELAMENTO NF"),TODAY()-O80,X80-O80)</f>
        <v/>
      </c>
      <c r="AA80" s="78">
        <f>IF(Y80="Aberto",Z80+ROW()/100000,"")</f>
        <v/>
      </c>
      <c r="AB80" s="2">
        <f>IF(ISNUMBER(FIND("@cielo.com.br",S80)),"Interno","Externo")</f>
        <v/>
      </c>
      <c r="AD80" t="inlineStr"/>
      <c r="AJ80" t="inlineStr">
        <is>
          <t>Sem correspondência</t>
        </is>
      </c>
      <c r="AK80" t="b">
        <v>0</v>
      </c>
      <c r="AN80">
        <f>IF(OR(AG80="",AM80=""),"",IF(AG80=AM80,"SIM","NÃO"))</f>
        <v/>
      </c>
      <c r="AO80" t="inlineStr">
        <is>
          <t>NO_PATTERN</t>
        </is>
      </c>
    </row>
    <row r="81" ht="15.5" customHeight="1">
      <c r="A81" s="1" t="inlineStr">
        <is>
          <t>Aberto antigos</t>
        </is>
      </c>
      <c r="B81" s="67" t="inlineStr">
        <is>
          <t>Emilly Maria</t>
        </is>
      </c>
      <c r="C81" s="70">
        <f>VLOOKUP(I:I,'Referencias '!H:I,2,0)</f>
        <v/>
      </c>
      <c r="D81" s="71" t="n">
        <v>20285063</v>
      </c>
      <c r="E81" s="71" t="n">
        <v>0</v>
      </c>
      <c r="F81" s="72" t="n">
        <v>2607010372602</v>
      </c>
      <c r="G81" s="72">
        <f>VLOOKUP(H:H,'Referencias '!B:C,2,0)</f>
        <v/>
      </c>
      <c r="H81" s="72">
        <f>TRIM(_xlfn.TEXTBEFORE(_xlfn.TEXTAFTER(U81,"CNPJ/CPF:&lt;/strong&gt;"),"&lt;/p&gt;"))</f>
        <v/>
      </c>
      <c r="I81" s="70" t="inlineStr">
        <is>
          <t>Contestação de cobrança</t>
        </is>
      </c>
      <c r="J81" s="72" t="inlineStr">
        <is>
          <t>Cliente quer saber todas as tarifas reajustadas e percentuais aplicados desde 2020</t>
        </is>
      </c>
      <c r="K81" s="72" t="n"/>
      <c r="L81" s="70" t="inlineStr">
        <is>
          <t>EM ANDAMENTO</t>
        </is>
      </c>
      <c r="M81" s="73" t="inlineStr">
        <is>
          <t>Alta</t>
        </is>
      </c>
      <c r="N81" s="71" t="inlineStr">
        <is>
          <t>1018 Financeiro | Desejo falar com o setor financeiro | Ingrid Soares | ingrid.soares@inbrands.com.br</t>
        </is>
      </c>
      <c r="O81" s="74" t="n">
        <v>46092</v>
      </c>
      <c r="P81" s="123" t="inlineStr">
        <is>
          <t>11/05/2026</t>
        </is>
      </c>
      <c r="Q81" s="177">
        <f>TEXT(O81,"mmm/aaaa")</f>
        <v/>
      </c>
      <c r="R81" s="71" t="inlineStr">
        <is>
          <t>FABIANA DE JESUS MARTINS LISBOA</t>
        </is>
      </c>
      <c r="S81" s="71" t="inlineStr">
        <is>
          <t>ingrid.soares@inbrands.com.br</t>
        </is>
      </c>
      <c r="T81" s="71" t="inlineStr">
        <is>
          <t>ELLUS FABRICA PE</t>
        </is>
      </c>
      <c r="U81" s="71" t="inlineStr">
        <is>
          <t>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
Solicito, por gentileza, o envio de um documento contendo o histórico de reajustes aplicados ao contrato desde o início da prestação de serviços.
O documento deve evidenciar, para cada ano:
Ano de referência do reajuste
Percentual aplicado
Valor anterior e valor reajustado
Índice ou critério utilizado como base para o reajuste (ex.: IPCA, IGPM ou outro indicador contratual)
Justificativa ou cláusula contratual que fundamentou o aumento.
Fico no aguar</t>
        </is>
      </c>
      <c r="V81" s="71">
        <f>IFERROR(_xlfn.TEXTBEFORE(_xlfn.TEXTAFTER(U81,"Descrição do problema:&lt;/strong"),"&lt;/p&gt;"),_xlfn.TEXTAFTER(U81,"Descrição do problema:&lt;/strong"))</f>
        <v/>
      </c>
      <c r="W81" s="76">
        <f>_xlfn.CONCAT(D81:E81)</f>
        <v/>
      </c>
      <c r="X81" s="77" t="n"/>
      <c r="Y81" s="78">
        <f>IF(X81="","Aberto","Encerrado")</f>
        <v/>
      </c>
      <c r="Z81" s="78">
        <f>IF(OR(L81="PENDENTE",L81="EM ANDAMENTO",L81="PENDENTE APROVAÇÃO CANCELAMENTO NF"),TODAY()-O81,X81-O81)</f>
        <v/>
      </c>
      <c r="AA81" s="78">
        <f>IF(Y81="Aberto",Z81+ROW()/100000,"")</f>
        <v/>
      </c>
      <c r="AB81" s="2">
        <f>IF(ISNUMBER(FIND("@cielo.com.br",S81)),"Interno","Externo")</f>
        <v/>
      </c>
      <c r="AC81" t="inlineStr">
        <is>
          <t>Solicitar documento administrativo.</t>
        </is>
      </c>
      <c r="AD81" t="inlineStr">
        <is>
          <t>histórico de reajustes</t>
        </is>
      </c>
      <c r="AE81" t="inlineStr">
        <is>
          <t>Reenvio de informação</t>
        </is>
      </c>
      <c r="AF81" t="inlineStr">
        <is>
          <t>Informação/Atendimento</t>
        </is>
      </c>
      <c r="AG81" t="inlineStr">
        <is>
          <t>Atendimento Administrativo e Suporte</t>
        </is>
      </c>
      <c r="AI81" t="inlineStr">
        <is>
          <t>INT_ADM_DOCUMENTOS</t>
        </is>
      </c>
      <c r="AJ81" t="inlineStr">
        <is>
          <t>Sugerida</t>
        </is>
      </c>
      <c r="AK81" t="b">
        <v>0</v>
      </c>
      <c r="AN81">
        <f>IF(OR(AG81="",AM81=""),"",IF(AG81=AM81,"SIM","NÃO"))</f>
        <v/>
      </c>
      <c r="AO81" t="inlineStr">
        <is>
          <t>CLASSIFIED_PATTERN</t>
        </is>
      </c>
    </row>
    <row r="82" ht="15.5" customHeight="1">
      <c r="A82" s="1" t="n"/>
      <c r="B82" s="67" t="inlineStr">
        <is>
          <t>Stephany Lima</t>
        </is>
      </c>
      <c r="C82" s="70">
        <f>VLOOKUP(I:I,'Referencias '!H:I,2,0)</f>
        <v/>
      </c>
      <c r="D82" s="71" t="n">
        <v>20351095</v>
      </c>
      <c r="E82" s="71" t="n">
        <v>0</v>
      </c>
      <c r="F82" s="72" t="n">
        <v>2607116420789</v>
      </c>
      <c r="G82" s="72">
        <f>T82</f>
        <v/>
      </c>
      <c r="H82" s="72">
        <f>TRIM(_xlfn.TEXTBEFORE(_xlfn.TEXTAFTER(U82,"CNPJ/CPF:&lt;/strong&gt;"),"&lt;/p&gt;"))</f>
        <v/>
      </c>
      <c r="I82" s="70" t="inlineStr">
        <is>
          <t>Reenvio de informação</t>
        </is>
      </c>
      <c r="J82" s="72" t="n"/>
      <c r="K82" s="72" t="n"/>
      <c r="L82" s="70" t="inlineStr">
        <is>
          <t>FINALIZADO</t>
        </is>
      </c>
      <c r="M82" s="73" t="inlineStr">
        <is>
          <t>Médio</t>
        </is>
      </c>
      <c r="N82" s="71" t="inlineStr">
        <is>
          <t>1018 Financeiro | Desejo falar com o setor financeiro | HYPER CASH PAY LTDA | ariane.pasilva@cielo.com.br</t>
        </is>
      </c>
      <c r="O82" s="74" t="n">
        <v>46093</v>
      </c>
      <c r="P82" s="123" t="n">
        <v>46135</v>
      </c>
      <c r="Q82" s="177">
        <f>TEXT(O82,"mmm/aaaa")</f>
        <v/>
      </c>
      <c r="R82" s="71" t="inlineStr">
        <is>
          <t>Larissa QUIRINO CANUTO</t>
        </is>
      </c>
      <c r="S82" s="71" t="inlineStr">
        <is>
          <t>ariane.pasilva@cielo.com.br</t>
        </is>
      </c>
      <c r="T82" s="71" t="inlineStr">
        <is>
          <t>HYPER CASH PAY LTDA</t>
        </is>
      </c>
      <c r="U82" s="71" t="inlineStr">
        <is>
          <t>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is>
      </c>
      <c r="V82" s="71">
        <f>IFERROR(_xlfn.TEXTBEFORE(_xlfn.TEXTAFTER(U82,"Descrição do problema:&lt;/strong"),"&lt;/p&gt;"),_xlfn.TEXTAFTER(U82,"Descrição do problema:&lt;/strong"))</f>
        <v/>
      </c>
      <c r="W82" s="76">
        <f>_xlfn.CONCAT(D82:E82)</f>
        <v/>
      </c>
      <c r="X82" s="77" t="n">
        <v>46241</v>
      </c>
      <c r="Y82" s="78">
        <f>IF(X82="","Aberto","Encerrado")</f>
        <v/>
      </c>
      <c r="Z82" s="78">
        <f>IF(OR(L82="PENDENTE",L82="EM ANDAMENTO",L82="PENDENTE APROVAÇÃO CANCELAMENTO NF"),TODAY()-O82,X82-O82)</f>
        <v/>
      </c>
      <c r="AA82" s="78">
        <f>IF(Y82="Aberto",Z82+ROW()/100000,"")</f>
        <v/>
      </c>
      <c r="AB82" s="2">
        <f>IF(ISNUMBER(FIND("@cielo.com.br",S82)),"Interno","Externo")</f>
        <v/>
      </c>
      <c r="AD82" t="inlineStr"/>
      <c r="AJ82" t="inlineStr">
        <is>
          <t>Sem correspondência</t>
        </is>
      </c>
      <c r="AK82" t="b">
        <v>0</v>
      </c>
      <c r="AN82">
        <f>IF(OR(AG82="",AM82=""),"",IF(AG82=AM82,"SIM","NÃO"))</f>
        <v/>
      </c>
      <c r="AO82" t="inlineStr">
        <is>
          <t>NO_PATTERN</t>
        </is>
      </c>
    </row>
    <row r="83" ht="15.5" customHeight="1">
      <c r="A83" s="1" t="n"/>
      <c r="B83" s="67" t="inlineStr">
        <is>
          <t>Stephany Lima</t>
        </is>
      </c>
      <c r="C83" s="70" t="inlineStr">
        <is>
          <t>Cobrança e Contestação</t>
        </is>
      </c>
      <c r="D83" s="71" t="n">
        <v>20376716</v>
      </c>
      <c r="E83" s="71" t="n">
        <v>0</v>
      </c>
      <c r="F83" s="72" t="n">
        <v>2607212439348</v>
      </c>
      <c r="G83" s="72">
        <f>VLOOKUP(H:H,'Referencias '!B:C,2,0)</f>
        <v/>
      </c>
      <c r="H83" s="72">
        <f>TRIM(_xlfn.TEXTBEFORE(_xlfn.TEXTAFTER(U83,"CNPJ/CPF:&lt;/strong&gt;"),"&lt;/p&gt;"))</f>
        <v/>
      </c>
      <c r="I83" s="70" t="inlineStr">
        <is>
          <t>Duplicidade nf de antifraude</t>
        </is>
      </c>
      <c r="J83" s="72" t="n"/>
      <c r="K83" s="72" t="n"/>
      <c r="L83" s="70" t="inlineStr">
        <is>
          <t>EM ANDAMENTO</t>
        </is>
      </c>
      <c r="M83" s="73" t="inlineStr">
        <is>
          <t>Médio</t>
        </is>
      </c>
      <c r="N83" s="71" t="inlineStr">
        <is>
          <t>1018 Financeiro | Desejo falar com o setor financeiro | Rodrigo Alves Costa | rodrigo@pousadaportomare.com.br</t>
        </is>
      </c>
      <c r="O83" s="74" t="n">
        <v>46094</v>
      </c>
      <c r="P83" s="123" t="n">
        <v>46119</v>
      </c>
      <c r="Q83" s="177">
        <f>TEXT(O83,"mmm/aaaa")</f>
        <v/>
      </c>
      <c r="R83" s="71" t="inlineStr">
        <is>
          <t>ECOMMERCE BP SUPORTE FINANCEIRO N2</t>
        </is>
      </c>
      <c r="S83" s="71" t="inlineStr">
        <is>
          <t>rodrigo@pousadaportomare.com.br</t>
        </is>
      </c>
      <c r="T83" s="71" t="inlineStr">
        <is>
          <t>POUSADA PORTO MARE</t>
        </is>
      </c>
      <c r="U83" s="71" t="inlineStr">
        <is>
          <t>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t>
        </is>
      </c>
      <c r="V83" s="71">
        <f>IFERROR(_xlfn.TEXTBEFORE(_xlfn.TEXTAFTER(U83,"Descrição do problema:&lt;/strong"),"&lt;/p&gt;"),_xlfn.TEXTAFTER(U83,"Descrição do problema:&lt;/strong"))</f>
        <v/>
      </c>
      <c r="W83" s="76">
        <f>_xlfn.CONCAT(D83:E83)</f>
        <v/>
      </c>
      <c r="X83" s="77" t="n"/>
      <c r="Y83" s="78">
        <f>IF(X83="","Aberto","Encerrado")</f>
        <v/>
      </c>
      <c r="Z83" s="78">
        <f>IF(OR(L83="PENDENTE",L83="EM ANDAMENTO",L83="PENDENTE APROVAÇÃO CANCELAMENTO NF"),TODAY()-O83,X83-O83)</f>
        <v/>
      </c>
      <c r="AA83" s="78">
        <f>IF(Y83="Aberto",Z83+ROW()/100000,"")</f>
        <v/>
      </c>
      <c r="AB83" s="2">
        <f>IF(ISNUMBER(FIND("@cielo.com.br",S83)),"Interno","Externo")</f>
        <v/>
      </c>
      <c r="AC83" t="inlineStr">
        <is>
          <t>Corrigir cobrança ou pagamento em duplicidade.</t>
        </is>
      </c>
      <c r="AD83" t="inlineStr">
        <is>
          <t>cobrada em duplicidade; cobrança + duplicidade</t>
        </is>
      </c>
      <c r="AE83" t="inlineStr">
        <is>
          <t>Duplicidade de cobrança</t>
        </is>
      </c>
      <c r="AF83" t="inlineStr">
        <is>
          <t>Valor Cobrado</t>
        </is>
      </c>
      <c r="AG83" t="inlineStr">
        <is>
          <t>Cobrança e Contestação</t>
        </is>
      </c>
      <c r="AI83" t="inlineStr">
        <is>
          <t>INT_COB_DUPLICIDADE</t>
        </is>
      </c>
      <c r="AJ83" t="inlineStr">
        <is>
          <t>Sugerida</t>
        </is>
      </c>
      <c r="AK83" t="b">
        <v>0</v>
      </c>
      <c r="AN83">
        <f>IF(OR(AG83="",AM83=""),"",IF(AG83=AM83,"SIM","NÃO"))</f>
        <v/>
      </c>
      <c r="AO83" t="inlineStr">
        <is>
          <t>CLASSIFIED_PATTERN</t>
        </is>
      </c>
    </row>
    <row r="84" ht="15.5" customHeight="1">
      <c r="A84" s="1" t="n"/>
      <c r="B84" s="67" t="inlineStr">
        <is>
          <t>Stephany Lima</t>
        </is>
      </c>
      <c r="C84" s="70">
        <f>VLOOKUP(I:I,'Referencias '!H:I,2,0)</f>
        <v/>
      </c>
      <c r="D84" s="71" t="n">
        <v>20484280</v>
      </c>
      <c r="E84" s="71" t="n">
        <v>0</v>
      </c>
      <c r="F84" s="72" t="n">
        <v>2607617520651</v>
      </c>
      <c r="G84" s="72">
        <f>T84</f>
        <v/>
      </c>
      <c r="H84" s="72">
        <f>TRIM(_xlfn.TEXTBEFORE(_xlfn.TEXTAFTER(U84,"CNPJ/CPF:&lt;/strong&gt;"),"&lt;/p&gt;"))</f>
        <v/>
      </c>
      <c r="I84" s="70" t="inlineStr">
        <is>
          <t>Sem solicitação encerrar</t>
        </is>
      </c>
      <c r="J84" s="72" t="n"/>
      <c r="K84" s="72" t="n"/>
      <c r="L84" s="70" t="inlineStr">
        <is>
          <t>FINALIZADO</t>
        </is>
      </c>
      <c r="M84" s="73" t="inlineStr">
        <is>
          <t>Médio</t>
        </is>
      </c>
      <c r="N84" s="71" t="inlineStr">
        <is>
          <t>1018 Financeiro | Desejo falar com o setor financeiro | M.P. IDALGO INDUSTRIA E COMERCIO DE | ariane.pasilva@cielo.com.br</t>
        </is>
      </c>
      <c r="O84" s="74" t="n">
        <v>46098</v>
      </c>
      <c r="P84" s="123" t="n">
        <v>46148</v>
      </c>
      <c r="Q84" s="177">
        <f>TEXT(O84,"mmm/aaaa")</f>
        <v/>
      </c>
      <c r="R84" s="71" t="inlineStr">
        <is>
          <t>STEPHANY LIMA DE LISBOA</t>
        </is>
      </c>
      <c r="S84" s="71" t="inlineStr">
        <is>
          <t>ariane.pasilva@cielo.com.br</t>
        </is>
      </c>
      <c r="T84" s="71" t="inlineStr">
        <is>
          <t>SOLEAH</t>
        </is>
      </c>
      <c r="U84" s="71" t="inlineStr">
        <is>
          <t>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
Por favor, solicito uma carta de quitação de todas as NFS que estavam em aberto e foi baixada com o pagamento realizado mediante negociação:
Valor original em aberto: R$ 13.900,56 – AGING dívida R$ 13.900,56.
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t>
        </is>
      </c>
      <c r="V84" s="71">
        <f>IFERROR(_xlfn.TEXTBEFORE(_xlfn.TEXTAFTER(U84,"Descrição do problema:&lt;/strong"),"&lt;/p&gt;"),_xlfn.TEXTAFTER(U84,"Descrição do problema:&lt;/strong"))</f>
        <v/>
      </c>
      <c r="W84" s="76">
        <f>_xlfn.CONCAT(D84:E84)</f>
        <v/>
      </c>
      <c r="X84" s="77" t="n">
        <v>46241</v>
      </c>
      <c r="Y84" s="78">
        <f>IF(X84="","Aberto","Encerrado")</f>
        <v/>
      </c>
      <c r="Z84" s="78">
        <f>IF(OR(L84="PENDENTE",L84="EM ANDAMENTO",L84="PENDENTE APROVAÇÃO CANCELAMENTO NF"),TODAY()-O84,X84-O84)</f>
        <v/>
      </c>
      <c r="AA84" s="78">
        <f>IF(Y84="Aberto",Z84+ROW()/100000,"")</f>
        <v/>
      </c>
      <c r="AB84" s="2">
        <f>IF(ISNUMBER(FIND("@cielo.com.br",S84)),"Interno","Externo")</f>
        <v/>
      </c>
      <c r="AC84" t="inlineStr">
        <is>
          <t>Solicitar documento administrativo.</t>
        </is>
      </c>
      <c r="AD84" t="inlineStr">
        <is>
          <t>carta de quitação</t>
        </is>
      </c>
      <c r="AE84" t="inlineStr">
        <is>
          <t>Reenvio de informação</t>
        </is>
      </c>
      <c r="AF84" t="inlineStr">
        <is>
          <t>Informação/Atendimento</t>
        </is>
      </c>
      <c r="AG84" t="inlineStr">
        <is>
          <t>Atendimento Administrativo e Suporte</t>
        </is>
      </c>
      <c r="AI84" t="inlineStr">
        <is>
          <t>INT_ADM_DOCUMENTOS</t>
        </is>
      </c>
      <c r="AJ84" t="inlineStr">
        <is>
          <t>Sugerida</t>
        </is>
      </c>
      <c r="AK84" t="b">
        <v>0</v>
      </c>
      <c r="AN84">
        <f>IF(OR(AG84="",AM84=""),"",IF(AG84=AM84,"SIM","NÃO"))</f>
        <v/>
      </c>
      <c r="AO84" t="inlineStr">
        <is>
          <t>CLASSIFIED_PATTERN</t>
        </is>
      </c>
    </row>
    <row r="85" ht="15.5" customFormat="1" customHeight="1" s="91">
      <c r="A85" s="1" t="n"/>
      <c r="B85" s="67" t="inlineStr">
        <is>
          <t>Stephany Lima</t>
        </is>
      </c>
      <c r="C85" s="122">
        <f>VLOOKUP(I:I,'Referencias '!H:I,2,0)</f>
        <v/>
      </c>
      <c r="D85" s="129" t="n">
        <v>20480129</v>
      </c>
      <c r="E85" s="129" t="n">
        <v>0</v>
      </c>
      <c r="F85" s="126" t="n">
        <v>2607616517633</v>
      </c>
      <c r="G85" s="126">
        <f>VLOOKUP(H:H,'Referencias '!B:C,2,0)</f>
        <v/>
      </c>
      <c r="H85" s="126">
        <f>TRIM(_xlfn.TEXTBEFORE(_xlfn.TEXTAFTER(U85,"CNPJ/CPF:&lt;/strong&gt;"),"&lt;/p&gt;"))</f>
        <v/>
      </c>
      <c r="I85" s="122" t="inlineStr">
        <is>
          <t>Carta de quitação / circularização</t>
        </is>
      </c>
      <c r="J85" s="126" t="inlineStr">
        <is>
          <t>Pendente definição do formato de envio da carta visto que o cliente tem débitos pendentes - e validação com o jurídico. - Direcionado para o time de Cobrança para negociação dos débitos pendentes para emissão do documento</t>
        </is>
      </c>
      <c r="K85" s="126" t="inlineStr">
        <is>
          <t>Em finalização</t>
        </is>
      </c>
      <c r="L85" s="122" t="inlineStr">
        <is>
          <t>FINALIZADO</t>
        </is>
      </c>
      <c r="M85" s="127" t="inlineStr">
        <is>
          <t>Alta</t>
        </is>
      </c>
      <c r="N85" s="129" t="inlineStr">
        <is>
          <t>1018 Financeiro | Desejo falar com o setor financeiro | SAVEGNAGO-SUPERMERCADOS LTDA | lenon.oliveira@savegnago.com.br</t>
        </is>
      </c>
      <c r="O85" s="125" t="n">
        <v>46098</v>
      </c>
      <c r="P85" s="123" t="n">
        <v>46118</v>
      </c>
      <c r="Q85" s="178">
        <f>TEXT(O85,"mmm/aaaa")</f>
        <v/>
      </c>
      <c r="R85" s="129" t="inlineStr">
        <is>
          <t>STEPHANY LIMA DE LISBOA</t>
        </is>
      </c>
      <c r="S85" s="129" t="inlineStr">
        <is>
          <t>lenon.oliveira@savegnago.com.br</t>
        </is>
      </c>
      <c r="T85" s="129" t="inlineStr">
        <is>
          <t>SAVEGNAGO Lj 1 Matriz Sertaozinho</t>
        </is>
      </c>
      <c r="U85" s="129" t="inlineStr">
        <is>
          <t>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
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t>
        </is>
      </c>
      <c r="V85" s="129">
        <f>IFERROR(_xlfn.TEXTBEFORE(_xlfn.TEXTAFTER(U85,"Descrição do problema:&lt;/strong"),"&lt;/p&gt;"),_xlfn.TEXTAFTER(U85,"Descrição do problema:&lt;/strong"))</f>
        <v/>
      </c>
      <c r="W85" s="130">
        <f>_xlfn.CONCAT(D85:E85)</f>
        <v/>
      </c>
      <c r="X85" s="77" t="n">
        <v>46286</v>
      </c>
      <c r="Y85" s="131">
        <f>IF(X85="","Aberto","Encerrado")</f>
        <v/>
      </c>
      <c r="Z85" s="131">
        <f>IF(OR(L85="PENDENTE",L85="EM ANDAMENTO",L85="PENDENTE APROVAÇÃO CANCELAMENTO NF"),TODAY()-O85,X85-O85)</f>
        <v/>
      </c>
      <c r="AA85" s="131">
        <f>IF(Y85="Aberto",Z85+ROW()/100000,"")</f>
        <v/>
      </c>
      <c r="AB85" s="2">
        <f>IF(ISNUMBER(FIND("@cielo.com.br",S85)),"Interno","Externo")</f>
        <v/>
      </c>
      <c r="AC85" t="inlineStr">
        <is>
          <t>Solicitar documento administrativo.</t>
        </is>
      </c>
      <c r="AD85" t="inlineStr">
        <is>
          <t>carta de quitação</t>
        </is>
      </c>
      <c r="AE85" t="inlineStr">
        <is>
          <t>Reenvio de informação</t>
        </is>
      </c>
      <c r="AF85" t="inlineStr">
        <is>
          <t>Informação/Atendimento</t>
        </is>
      </c>
      <c r="AG85" t="inlineStr">
        <is>
          <t>Atendimento Administrativo e Suporte</t>
        </is>
      </c>
      <c r="AI85" t="inlineStr">
        <is>
          <t>INT_ADM_DOCUMENTOS</t>
        </is>
      </c>
      <c r="AJ85" t="inlineStr">
        <is>
          <t>Sugerida</t>
        </is>
      </c>
      <c r="AK85" t="b">
        <v>0</v>
      </c>
      <c r="AN85">
        <f>IF(OR(AG85="",AM85=""),"",IF(AG85=AM85,"SIM","NÃO"))</f>
        <v/>
      </c>
      <c r="AO85" t="inlineStr">
        <is>
          <t>CLASSIFIED_PATTERN</t>
        </is>
      </c>
    </row>
    <row r="86" ht="15.5" customHeight="1">
      <c r="A86" s="1" t="n"/>
      <c r="B86" s="67" t="inlineStr">
        <is>
          <t>Stephany Lima</t>
        </is>
      </c>
      <c r="C86" s="70">
        <f>VLOOKUP(I:I,'Referencias '!H:I,2,0)</f>
        <v/>
      </c>
      <c r="D86" s="71" t="n">
        <v>20537850</v>
      </c>
      <c r="E86" s="71" t="n">
        <v>0</v>
      </c>
      <c r="F86" s="72" t="n">
        <v>2607810560847</v>
      </c>
      <c r="G86" s="72">
        <f>VLOOKUP(H:H,'Referencias '!B:C,2,0)</f>
        <v/>
      </c>
      <c r="H86" s="72">
        <f>TRIM(_xlfn.TEXTBEFORE(_xlfn.TEXTAFTER(U86,"CNPJ/CPF:&lt;/strong&gt;"),"&lt;/p&gt;"))</f>
        <v/>
      </c>
      <c r="I86" s="70" t="inlineStr">
        <is>
          <t>Contestação de cobrança</t>
        </is>
      </c>
      <c r="J86" s="72" t="n"/>
      <c r="K86" s="72" t="n"/>
      <c r="L86" s="70" t="inlineStr">
        <is>
          <t>FINALIZADO</t>
        </is>
      </c>
      <c r="M86" s="73" t="inlineStr">
        <is>
          <t>Médio</t>
        </is>
      </c>
      <c r="N86" s="71" t="inlineStr">
        <is>
          <t>1003 Gateway de Pagamento | Estou com um problema em produção e preciso de ajuda | Paula Maldonado Nishiwaki | paula.nishiwaki@amway.com</t>
        </is>
      </c>
      <c r="O86" s="74" t="n">
        <v>46100</v>
      </c>
      <c r="P86" s="123" t="n">
        <v>46157</v>
      </c>
      <c r="Q86" s="177">
        <f>TEXT(O86,"mmm/aaaa")</f>
        <v/>
      </c>
      <c r="R86" s="71" t="inlineStr">
        <is>
          <t>STEPHANY LIMA DE LISBOA</t>
        </is>
      </c>
      <c r="S86" s="71" t="inlineStr">
        <is>
          <t>paula.nishiwaki@amway.com</t>
        </is>
      </c>
      <c r="T86" s="71" t="inlineStr">
        <is>
          <t>AMWAY</t>
        </is>
      </c>
      <c r="U86" s="71" t="inlineStr">
        <is>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
Precisamos de ajuda para analisar as transações que não estão sendo autorizadas da Master.
Será que estamos enfrentando problemas com eles?
Pois estamos sendo cobrados por todas as transações que não estão sendo autenticadas, mas até então estamos com o nosso 3Ds ativo normalmente.
Obrigada
Atte.,
Paula&lt;/p&gt;&lt;p&gt;&lt;strong&gt;ID da transação:&lt;/strong&gt; &lt;/p&gt;&lt;p&gt;&lt;strong&gt;Código do erro:&lt;/strong&gt; &lt;/p&gt;&lt;p&gt;&lt;strong&gt;Sobre qual produto ou área deseja falar?:&lt;/strong&gt; Gateway de Pagamento&lt;/p&gt;&lt;p&gt;&lt;strong&gt;Como podemos te ajudar?:&lt;/str</t>
        </is>
      </c>
      <c r="V86" s="71">
        <f>IFERROR(_xlfn.TEXTBEFORE(_xlfn.TEXTAFTER(U86,"Descrição do problema:&lt;/strong"),"&lt;/p&gt;"),_xlfn.TEXTAFTER(U86,"Descrição do problema:&lt;/strong"))</f>
        <v/>
      </c>
      <c r="W86" s="76">
        <f>_xlfn.CONCAT(D86:E86)</f>
        <v/>
      </c>
      <c r="X86" s="77">
        <f>P86</f>
        <v/>
      </c>
      <c r="Y86" s="78">
        <f>IF(X86="","Aberto","Encerrado")</f>
        <v/>
      </c>
      <c r="Z86" s="78">
        <f>IF(OR(L86="PENDENTE",L86="EM ANDAMENTO",L86="PENDENTE APROVAÇÃO CANCELAMENTO NF"),TODAY()-O86,X86-O86)</f>
        <v/>
      </c>
      <c r="AA86" s="78">
        <f>IF(Y86="Aberto",Z86+ROW()/100000,"")</f>
        <v/>
      </c>
      <c r="AB86" s="2">
        <f>IF(ISNUMBER(FIND("@cielo.com.br",S86)),"Interno","Externo")</f>
        <v/>
      </c>
      <c r="AD86" t="inlineStr"/>
      <c r="AJ86" t="inlineStr">
        <is>
          <t>Sem correspondência</t>
        </is>
      </c>
      <c r="AK86" t="b">
        <v>0</v>
      </c>
      <c r="AN86">
        <f>IF(OR(AG86="",AM86=""),"",IF(AG86=AM86,"SIM","NÃO"))</f>
        <v/>
      </c>
      <c r="AO86" t="inlineStr">
        <is>
          <t>NO_PATTERN</t>
        </is>
      </c>
    </row>
    <row r="87" ht="15.5" customHeight="1">
      <c r="A87" s="1" t="n"/>
      <c r="B87" s="67" t="inlineStr">
        <is>
          <t>Stephany Lima</t>
        </is>
      </c>
      <c r="C87" s="70">
        <f>VLOOKUP(I:I,'Referencias '!H:I,2,0)</f>
        <v/>
      </c>
      <c r="D87" s="71" t="n">
        <v>20718916</v>
      </c>
      <c r="E87" s="71" t="n">
        <v>0</v>
      </c>
      <c r="F87" s="72" t="n">
        <v>2608414692840</v>
      </c>
      <c r="G87" s="72">
        <f>VLOOKUP(H:H,'Referencias '!B:C,2,0)</f>
        <v/>
      </c>
      <c r="H87" s="72">
        <f>TRIM(_xlfn.TEXTBEFORE(_xlfn.TEXTAFTER(U87,"CNPJ/CPF:&lt;/strong&gt;"),"&lt;/p&gt;"))</f>
        <v/>
      </c>
      <c r="I87" s="70" t="inlineStr">
        <is>
          <t>Dúvidas sobre cobrança</t>
        </is>
      </c>
      <c r="J87" s="72" t="inlineStr">
        <is>
          <t>Notas mencionadas foram pagas. Como finalizar este chamado?</t>
        </is>
      </c>
      <c r="K87" s="72" t="n"/>
      <c r="L87" s="70" t="inlineStr">
        <is>
          <t>EM ANDAMENTO</t>
        </is>
      </c>
      <c r="M87" s="73" t="inlineStr">
        <is>
          <t>Médio</t>
        </is>
      </c>
      <c r="N87" s="71" t="inlineStr">
        <is>
          <t>1018 Financeiro | Desejo falar com o setor financeiro | Gabriel Dias | gabriel.silva@febrafar.com.br</t>
        </is>
      </c>
      <c r="O87" s="74" t="n">
        <v>46106</v>
      </c>
      <c r="P87" s="123" t="n">
        <v>46106</v>
      </c>
      <c r="Q87" s="177">
        <f>TEXT(O87,"mmm/aaaa")</f>
        <v/>
      </c>
      <c r="R87" s="71" t="inlineStr">
        <is>
          <t>ECOMMERCE BP SUPORTE FINANCEIRO N2</t>
        </is>
      </c>
      <c r="S87" s="71" t="inlineStr">
        <is>
          <t>gabriel.silva@febrafar.com.br</t>
        </is>
      </c>
      <c r="T87" s="71" t="inlineStr">
        <is>
          <t>DROGARIA AGAPEAMA</t>
        </is>
      </c>
      <c r="U87" s="71" t="inlineStr">
        <is>
          <t>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
Ela recebeu um boleto, porém não consegue mais acessá-lo. Apesar disso, as NFs constam como ativas.
É possível enviar um relatório de transações para comprovar essas 507 transações detalhadas na NF.&lt;/p&gt;&lt;p&gt;&lt;strong&gt;Merchant ID/Estabelecimento Comercial (EC):&lt;/strong&gt; 80c3439d-951d-42c1-b755-01dad4802932&lt;/p&gt;&lt;p&gt;&lt;strong&gt;Sobre qual produto ou área deseja falar?</t>
        </is>
      </c>
      <c r="V87" s="71">
        <f>IFERROR(_xlfn.TEXTBEFORE(_xlfn.TEXTAFTER(U87,"Descrição do problema:&lt;/strong"),"&lt;/p&gt;"),_xlfn.TEXTAFTER(U87,"Descrição do problema:&lt;/strong"))</f>
        <v/>
      </c>
      <c r="W87" s="76">
        <f>_xlfn.CONCAT(D87:E87)</f>
        <v/>
      </c>
      <c r="X87" s="77" t="n"/>
      <c r="Y87" s="78">
        <f>IF(X87="","Aberto","Encerrado")</f>
        <v/>
      </c>
      <c r="Z87" s="78">
        <f>IF(OR(L87="PENDENTE",L87="EM ANDAMENTO",L87="PENDENTE APROVAÇÃO CANCELAMENTO NF"),TODAY()-O87,X87-O87)</f>
        <v/>
      </c>
      <c r="AA87" s="78">
        <f>IF(Y87="Aberto",Z87+ROW()/100000,"")</f>
        <v/>
      </c>
      <c r="AB87" s="2">
        <f>IF(ISNUMBER(FIND("@cielo.com.br",S87)),"Interno","Externo")</f>
        <v/>
      </c>
      <c r="AC87" t="inlineStr">
        <is>
          <t>Solicitar documento administrativo.</t>
        </is>
      </c>
      <c r="AD87" t="inlineStr">
        <is>
          <t>relatório de transações; solicitação de relatório</t>
        </is>
      </c>
      <c r="AE87" t="inlineStr">
        <is>
          <t>Reenvio de informação</t>
        </is>
      </c>
      <c r="AF87" t="inlineStr">
        <is>
          <t>Informação/Atendimento</t>
        </is>
      </c>
      <c r="AG87" t="inlineStr">
        <is>
          <t>Atendimento Administrativo e Suporte</t>
        </is>
      </c>
      <c r="AI87" t="inlineStr">
        <is>
          <t>INT_ADM_DOCUMENTOS</t>
        </is>
      </c>
      <c r="AJ87" t="inlineStr">
        <is>
          <t>Sugerida</t>
        </is>
      </c>
      <c r="AK87" t="b">
        <v>0</v>
      </c>
      <c r="AN87">
        <f>IF(OR(AG87="",AM87=""),"",IF(AG87=AM87,"SIM","NÃO"))</f>
        <v/>
      </c>
      <c r="AO87" t="inlineStr">
        <is>
          <t>CLASSIFIED_PATTERN</t>
        </is>
      </c>
    </row>
    <row r="88" ht="15.5" customHeight="1">
      <c r="A88" s="1" t="n"/>
      <c r="B88" s="67" t="inlineStr">
        <is>
          <t>Stephany Lima</t>
        </is>
      </c>
      <c r="C88" s="70">
        <f>VLOOKUP(I:I,'Referencias '!H:I,2,0)</f>
        <v/>
      </c>
      <c r="D88" s="71" t="n">
        <v>20707947</v>
      </c>
      <c r="E88" s="71" t="n">
        <v>0</v>
      </c>
      <c r="F88" s="72" t="n">
        <v>0</v>
      </c>
      <c r="G88" s="72">
        <f>VLOOKUP(H:H,'Referencias '!B:C,2,0)</f>
        <v/>
      </c>
      <c r="H88" s="72">
        <f>TRIM(_xlfn.TEXTBEFORE(_xlfn.TEXTAFTER(U88,"CNPJ/CPF:&lt;/strong&gt;"),"&lt;/p&gt;"))</f>
        <v/>
      </c>
      <c r="I88" s="70" t="inlineStr">
        <is>
          <t>Cancelamento de NF / reemissão</t>
        </is>
      </c>
      <c r="J88" s="72" t="n"/>
      <c r="K88" s="72" t="n"/>
      <c r="L88" s="70" t="inlineStr">
        <is>
          <t>FINALIZADO</t>
        </is>
      </c>
      <c r="M88" s="73" t="inlineStr">
        <is>
          <t>Médio</t>
        </is>
      </c>
      <c r="N88" s="71" t="inlineStr">
        <is>
          <t>1018 Financeiro | Desejo falar com o setor financeiro | PAYTRACK TECNOLOGIA LTDA | ariane.pasilva@cielo.com.br</t>
        </is>
      </c>
      <c r="O88" s="74" t="n">
        <v>46106</v>
      </c>
      <c r="P88" s="123" t="n">
        <v>46164</v>
      </c>
      <c r="Q88" s="177">
        <f>TEXT(O88,"mmm/aaaa")</f>
        <v/>
      </c>
      <c r="R88" s="71" t="inlineStr">
        <is>
          <t>STEPHANY LIMA DE LISBOA</t>
        </is>
      </c>
      <c r="S88" s="71" t="inlineStr">
        <is>
          <t>ariane.pasilva@cielo.com.br</t>
        </is>
      </c>
      <c r="T88" s="71" t="inlineStr">
        <is>
          <t>PAYTRACK</t>
        </is>
      </c>
      <c r="U88" s="71" t="inlineStr">
        <is>
          <t>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
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t>
        </is>
      </c>
      <c r="V88" s="71">
        <f>IFERROR(_xlfn.TEXTBEFORE(_xlfn.TEXTAFTER(U88,"Descrição do problema:&lt;/strong"),"&lt;/p&gt;"),_xlfn.TEXTAFTER(U88,"Descrição do problema:&lt;/strong"))</f>
        <v/>
      </c>
      <c r="W88" s="76">
        <f>_xlfn.CONCAT(D88:E88)</f>
        <v/>
      </c>
      <c r="X88" s="77" t="n">
        <v>46216</v>
      </c>
      <c r="Y88" s="78">
        <f>IF(X88="","Aberto","Encerrado")</f>
        <v/>
      </c>
      <c r="Z88" s="78">
        <f>IF(OR(L88="PENDENTE",L88="EM ANDAMENTO",L88="PENDENTE APROVAÇÃO CANCELAMENTO NF"),TODAY()-O88,X88-O88)</f>
        <v/>
      </c>
      <c r="AA88" s="78">
        <f>IF(Y88="Aberto",Z88+ROW()/100000,"")</f>
        <v/>
      </c>
      <c r="AB88" s="2">
        <f>IF(ISNUMBER(FIND("@cielo.com.br",S88)),"Interno","Externo")</f>
        <v/>
      </c>
      <c r="AC88" t="inlineStr">
        <is>
          <t>Cancelar, substituir ou reemitir nota fiscal.</t>
        </is>
      </c>
      <c r="AD88" t="inlineStr">
        <is>
          <t>ACAO:SUBSTITUIR; OBJETO:NOTA_FISCAL</t>
        </is>
      </c>
      <c r="AE88" t="inlineStr">
        <is>
          <t>Cancelamento de NF</t>
        </is>
      </c>
      <c r="AF88" t="inlineStr">
        <is>
          <t>Documento Fiscal</t>
        </is>
      </c>
      <c r="AG88" t="inlineStr">
        <is>
          <t>Cancelamento e Reemissão de Nota Fiscal</t>
        </is>
      </c>
      <c r="AI88" t="inlineStr">
        <is>
          <t>INT_NF_CANCEL_REEMISSAO</t>
        </is>
      </c>
      <c r="AJ88" t="inlineStr">
        <is>
          <t>Sugerida</t>
        </is>
      </c>
      <c r="AK88" t="b">
        <v>0</v>
      </c>
      <c r="AN88">
        <f>IF(OR(AG88="",AM88=""),"",IF(AG88=AM88,"SIM","NÃO"))</f>
        <v/>
      </c>
      <c r="AO88" t="inlineStr">
        <is>
          <t>CLASSIFIED_SIGNATURE</t>
        </is>
      </c>
    </row>
    <row r="89" ht="15.5" customHeight="1">
      <c r="A89" s="1" t="n"/>
      <c r="B89" s="67" t="inlineStr">
        <is>
          <t>Emilly Maria</t>
        </is>
      </c>
      <c r="C89" s="70">
        <f>VLOOKUP(I:I,'Referencias '!H:I,2,0)</f>
        <v/>
      </c>
      <c r="D89" s="71" t="n">
        <v>20697638</v>
      </c>
      <c r="E89" s="71" t="n">
        <v>0</v>
      </c>
      <c r="F89" s="72" t="n">
        <v>2608408677556</v>
      </c>
      <c r="G89" s="72">
        <f>VLOOKUP(H:H,'Referencias '!B:C,2,0)</f>
        <v/>
      </c>
      <c r="H89" s="72">
        <f>TRIM(_xlfn.TEXTBEFORE(_xlfn.TEXTAFTER(U89,"CNPJ/CPF:&lt;/strong&gt;"),"&lt;/p&gt;"))</f>
        <v/>
      </c>
      <c r="I89" s="70" t="inlineStr">
        <is>
          <t>Cancelamento de NF / reemissão</t>
        </is>
      </c>
      <c r="J89" s="72" t="n"/>
      <c r="K89" s="72" t="n"/>
      <c r="L89" s="70" t="inlineStr">
        <is>
          <t>FINALIZADO</t>
        </is>
      </c>
      <c r="M89" s="73" t="inlineStr">
        <is>
          <t>Médio</t>
        </is>
      </c>
      <c r="N89" s="71" t="inlineStr">
        <is>
          <t>1018 Financeiro | Desejo falar com o setor financeiro | Joice Rosa | joice.dsilva@cielo.com.br</t>
        </is>
      </c>
      <c r="O89" s="74" t="n">
        <v>46106</v>
      </c>
      <c r="P89" s="123" t="n">
        <v>46106</v>
      </c>
      <c r="Q89" s="177">
        <f>TEXT(O89,"mmm/aaaa")</f>
        <v/>
      </c>
      <c r="R89" s="71" t="inlineStr">
        <is>
          <t>ECOMMERCE BP SUPORTE FINANCEIRO N2</t>
        </is>
      </c>
      <c r="S89" s="71" t="inlineStr">
        <is>
          <t>joice.dsilva@cielo.com.br</t>
        </is>
      </c>
      <c r="T89" s="71" t="inlineStr">
        <is>
          <t>PLANNE</t>
        </is>
      </c>
      <c r="U89" s="71" t="inlineStr">
        <is>
          <t>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
Segue o DA do Supex para cancelamento das notas.
Resumo das Notas Fiscais:
•	NFS em aberto: 33
•	Valor original para cancelamento : R$ 3.314,08.
•	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t>
        </is>
      </c>
      <c r="V89" s="71">
        <f>IFERROR(_xlfn.TEXTBEFORE(_xlfn.TEXTAFTER(U89,"Descrição do problema:&lt;/strong"),"&lt;/p&gt;"),_xlfn.TEXTAFTER(U89,"Descrição do problema:&lt;/strong"))</f>
        <v/>
      </c>
      <c r="W89" s="76">
        <f>_xlfn.CONCAT(D89:E89)</f>
        <v/>
      </c>
      <c r="X89" s="77" t="n">
        <v>46244</v>
      </c>
      <c r="Y89" s="78">
        <f>IF(X89="","Aberto","Encerrado")</f>
        <v/>
      </c>
      <c r="Z89" s="78">
        <f>IF(OR(L89="PENDENTE",L89="EM ANDAMENTO",L89="PENDENTE APROVAÇÃO CANCELAMENTO NF"),TODAY()-O89,X89-O89)</f>
        <v/>
      </c>
      <c r="AA89" s="78">
        <f>IF(Y89="Aberto",Z89+ROW()/100000,"")</f>
        <v/>
      </c>
      <c r="AB89" s="2">
        <f>IF(ISNUMBER(FIND("@cielo.com.br",S89)),"Interno","Externo")</f>
        <v/>
      </c>
      <c r="AC89" t="inlineStr">
        <is>
          <t>Cancelar, substituir ou reemitir nota fiscal.</t>
        </is>
      </c>
      <c r="AD89" t="inlineStr">
        <is>
          <t>ACAO:CANCELAR; OBJETO:NOTA_FISCAL</t>
        </is>
      </c>
      <c r="AE89" t="inlineStr">
        <is>
          <t>Cancelamento de NF</t>
        </is>
      </c>
      <c r="AF89" t="inlineStr">
        <is>
          <t>Documento Fiscal</t>
        </is>
      </c>
      <c r="AG89" t="inlineStr">
        <is>
          <t>Cancelamento e Reemissão de Nota Fiscal</t>
        </is>
      </c>
      <c r="AI89" t="inlineStr">
        <is>
          <t>INT_NF_CANCEL_REEMISSAO</t>
        </is>
      </c>
      <c r="AJ89" t="inlineStr">
        <is>
          <t>Sugerida</t>
        </is>
      </c>
      <c r="AK89" t="b">
        <v>0</v>
      </c>
      <c r="AN89">
        <f>IF(OR(AG89="",AM89=""),"",IF(AG89=AM89,"SIM","NÃO"))</f>
        <v/>
      </c>
      <c r="AO89" t="inlineStr">
        <is>
          <t>CLASSIFIED_SIGNATURE</t>
        </is>
      </c>
    </row>
    <row r="90" ht="15.5" customHeight="1">
      <c r="A90" s="1" t="n"/>
      <c r="B90" s="67" t="inlineStr">
        <is>
          <t>Emilly Maria</t>
        </is>
      </c>
      <c r="C90" s="70">
        <f>VLOOKUP(I:I,'Referencias '!H:I,2,0)</f>
        <v/>
      </c>
      <c r="D90" s="71" t="n">
        <v>20696850</v>
      </c>
      <c r="E90" s="71" t="n">
        <v>0</v>
      </c>
      <c r="F90" s="72" t="n">
        <v>2608408676950</v>
      </c>
      <c r="G90" s="72">
        <f>VLOOKUP(H:H,'Referencias '!B:C,2,0)</f>
        <v/>
      </c>
      <c r="H90" s="72">
        <f>TRIM(_xlfn.TEXTBEFORE(_xlfn.TEXTAFTER(U90,"CNPJ/CPF:&lt;/strong&gt;"),"&lt;/p&gt;"))</f>
        <v/>
      </c>
      <c r="I90" s="70" t="inlineStr">
        <is>
          <t>Cancelamento de NF / reemissão</t>
        </is>
      </c>
      <c r="J90" s="72" t="n"/>
      <c r="K90" s="72" t="n"/>
      <c r="L90" s="70" t="inlineStr">
        <is>
          <t>FINALIZADO</t>
        </is>
      </c>
      <c r="M90" s="73" t="inlineStr">
        <is>
          <t>Médio</t>
        </is>
      </c>
      <c r="N90" s="71" t="inlineStr">
        <is>
          <t>1018 Financeiro | Desejo falar com o setor financeiro | PLANNE SOFTWARE LTDA | ariane.pasilva@cielo.com.br</t>
        </is>
      </c>
      <c r="O90" s="74" t="n">
        <v>46106</v>
      </c>
      <c r="P90" s="123" t="n">
        <v>46106</v>
      </c>
      <c r="Q90" s="177">
        <f>TEXT(O90,"mmm/aaaa")</f>
        <v/>
      </c>
      <c r="R90" s="71" t="inlineStr">
        <is>
          <t>ECOMMERCE BP SUPORTE FINANCEIRO N2</t>
        </is>
      </c>
      <c r="S90" s="71" t="inlineStr">
        <is>
          <t>ariane.pasilva@cielo.com.br</t>
        </is>
      </c>
      <c r="T90" s="71" t="inlineStr"/>
      <c r="U90" s="71" t="inlineStr">
        <is>
          <t>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t>
        </is>
      </c>
      <c r="V90" s="71">
        <f>IFERROR(_xlfn.TEXTBEFORE(_xlfn.TEXTAFTER(U90,"Descrição do problema:&lt;/strong"),"&lt;/p&gt;"),_xlfn.TEXTAFTER(U90,"Descrição do problema:&lt;/strong"))</f>
        <v/>
      </c>
      <c r="W90" s="76">
        <f>_xlfn.CONCAT(D90:E90)</f>
        <v/>
      </c>
      <c r="X90" s="77" t="n">
        <v>46244</v>
      </c>
      <c r="Y90" s="78">
        <f>IF(X90="","Aberto","Encerrado")</f>
        <v/>
      </c>
      <c r="Z90" s="78">
        <f>IF(OR(L90="PENDENTE",L90="EM ANDAMENTO",L90="PENDENTE APROVAÇÃO CANCELAMENTO NF"),TODAY()-O90,X90-O90)</f>
        <v/>
      </c>
      <c r="AA90" s="78">
        <f>IF(Y90="Aberto",Z90+ROW()/100000,"")</f>
        <v/>
      </c>
      <c r="AB90" s="2">
        <f>IF(ISNUMBER(FIND("@cielo.com.br",S90)),"Interno","Externo")</f>
        <v/>
      </c>
      <c r="AC90" t="inlineStr">
        <is>
          <t>Cancelar, substituir ou reemitir nota fiscal.</t>
        </is>
      </c>
      <c r="AD90" t="inlineStr">
        <is>
          <t>ACAO:CANCELAR; OBJETO:NOTA_FISCAL</t>
        </is>
      </c>
      <c r="AE90" t="inlineStr">
        <is>
          <t>Cancelamento de NF</t>
        </is>
      </c>
      <c r="AF90" t="inlineStr">
        <is>
          <t>Documento Fiscal</t>
        </is>
      </c>
      <c r="AG90" t="inlineStr">
        <is>
          <t>Cancelamento e Reemissão de Nota Fiscal</t>
        </is>
      </c>
      <c r="AI90" t="inlineStr">
        <is>
          <t>INT_NF_CANCEL_REEMISSAO</t>
        </is>
      </c>
      <c r="AJ90" t="inlineStr">
        <is>
          <t>Sugerida</t>
        </is>
      </c>
      <c r="AK90" t="b">
        <v>0</v>
      </c>
      <c r="AN90">
        <f>IF(OR(AG90="",AM90=""),"",IF(AG90=AM90,"SIM","NÃO"))</f>
        <v/>
      </c>
      <c r="AO90" t="inlineStr">
        <is>
          <t>CLASSIFIED_SIGNATURE</t>
        </is>
      </c>
    </row>
    <row r="91" ht="15.5" customHeight="1">
      <c r="A91" s="1" t="n"/>
      <c r="B91" s="67" t="inlineStr">
        <is>
          <t>Emilly Maria</t>
        </is>
      </c>
      <c r="C91" s="70">
        <f>VLOOKUP(I:I,'Referencias '!H:I,2,0)</f>
        <v/>
      </c>
      <c r="D91" s="71" t="n">
        <v>20759808</v>
      </c>
      <c r="E91" s="71" t="n">
        <v>0</v>
      </c>
      <c r="F91" s="72" t="n">
        <v>2608514722169</v>
      </c>
      <c r="G91" s="72">
        <f>VLOOKUP(H:H,'Referencias '!B:C,2,0)</f>
        <v/>
      </c>
      <c r="H91" s="72">
        <f>TRIM(_xlfn.TEXTBEFORE(_xlfn.TEXTAFTER(U91,"CNPJ/CPF:&lt;/strong&gt;"),"&lt;/p&gt;"))</f>
        <v/>
      </c>
      <c r="I91" s="70" t="inlineStr">
        <is>
          <t>Cancelamento de NF / reemissão</t>
        </is>
      </c>
      <c r="J91" s="72" t="n"/>
      <c r="K91" s="72" t="n"/>
      <c r="L91" s="70" t="inlineStr">
        <is>
          <t>FINALIZADO</t>
        </is>
      </c>
      <c r="M91" s="73" t="inlineStr">
        <is>
          <t>Médio</t>
        </is>
      </c>
      <c r="N91" s="71" t="inlineStr">
        <is>
          <t>1018 Financeiro | Desejo falar com o setor financeiro | Mariane Oliveira dos Santos | mariane.santos@cielo.com.br</t>
        </is>
      </c>
      <c r="O91" s="74" t="n">
        <v>46107</v>
      </c>
      <c r="P91" s="123" t="n">
        <v>46107</v>
      </c>
      <c r="Q91" s="177">
        <f>TEXT(O91,"mmm/aaaa")</f>
        <v/>
      </c>
      <c r="R91" s="71" t="inlineStr">
        <is>
          <t>ECOMMERCE BP SUPORTE FINANCEIRO N2</t>
        </is>
      </c>
      <c r="S91" s="71" t="inlineStr">
        <is>
          <t>mariane.santos@cielo.com.br</t>
        </is>
      </c>
      <c r="T91" s="71" t="inlineStr"/>
      <c r="U91" s="71" t="inlineStr">
        <is>
          <t>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
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t>
        </is>
      </c>
      <c r="V91" s="71">
        <f>IFERROR(_xlfn.TEXTBEFORE(_xlfn.TEXTAFTER(U91,"Descrição do problema:&lt;/strong"),"&lt;/p&gt;"),_xlfn.TEXTAFTER(U91,"Descrição do problema:&lt;/strong"))</f>
        <v/>
      </c>
      <c r="W91" s="76">
        <f>_xlfn.CONCAT(D91:E91)</f>
        <v/>
      </c>
      <c r="X91" s="77" t="n">
        <v>46234</v>
      </c>
      <c r="Y91" s="78">
        <f>IF(X91="","Aberto","Encerrado")</f>
        <v/>
      </c>
      <c r="Z91" s="78">
        <f>IF(OR(L91="PENDENTE",L91="EM ANDAMENTO",L91="PENDENTE APROVAÇÃO CANCELAMENTO NF"),TODAY()-O91,X91-O91)</f>
        <v/>
      </c>
      <c r="AA91" s="78">
        <f>IF(Y91="Aberto",Z91+ROW()/100000,"")</f>
        <v/>
      </c>
      <c r="AB91" s="2">
        <f>IF(ISNUMBER(FIND("@cielo.com.br",S91)),"Interno","Externo")</f>
        <v/>
      </c>
      <c r="AD91" t="inlineStr"/>
      <c r="AJ91" t="inlineStr">
        <is>
          <t>Sem correspondência</t>
        </is>
      </c>
      <c r="AK91" t="b">
        <v>0</v>
      </c>
      <c r="AN91">
        <f>IF(OR(AG91="",AM91=""),"",IF(AG91=AM91,"SIM","NÃO"))</f>
        <v/>
      </c>
      <c r="AO91" t="inlineStr">
        <is>
          <t>NO_PATTERN</t>
        </is>
      </c>
    </row>
    <row r="92" ht="15.5" customHeight="1">
      <c r="A92" s="1" t="inlineStr">
        <is>
          <t>Aberto antigos</t>
        </is>
      </c>
      <c r="B92" s="67" t="inlineStr">
        <is>
          <t>Pamela de Sá</t>
        </is>
      </c>
      <c r="C92" s="70">
        <f>VLOOKUP(I:I,'Referencias '!H:I,2,0)</f>
        <v/>
      </c>
      <c r="D92" s="71" t="n">
        <v>20751396</v>
      </c>
      <c r="E92" s="71" t="n">
        <v>0</v>
      </c>
      <c r="F92" s="72" t="n">
        <v>2608511715964</v>
      </c>
      <c r="G92" s="72">
        <f>T92</f>
        <v/>
      </c>
      <c r="H92" s="72">
        <f>TRIM(_xlfn.TEXTBEFORE(_xlfn.TEXTAFTER(U92,"CNPJ/CPF:&lt;/strong&gt;"),"&lt;/p&gt;"))</f>
        <v/>
      </c>
      <c r="I92" s="70" t="inlineStr">
        <is>
          <t>Atualização contrato</t>
        </is>
      </c>
      <c r="J92" s="72" t="inlineStr">
        <is>
          <t>Atualização cadastral. Perguntar à Emilly se ela consegue atender.</t>
        </is>
      </c>
      <c r="K92" s="72" t="n"/>
      <c r="L92" s="70" t="inlineStr">
        <is>
          <t>EM ANDAMENTO</t>
        </is>
      </c>
      <c r="M92" s="73" t="inlineStr">
        <is>
          <t>Alta</t>
        </is>
      </c>
      <c r="N92" s="71" t="inlineStr">
        <is>
          <t>1018 Financeiro | Desejo falar com o setor financeiro | Larissa Venancio Nascimento Araujo | larissave@cielo.com.br</t>
        </is>
      </c>
      <c r="O92" s="74" t="n">
        <v>46107</v>
      </c>
      <c r="P92" s="123" t="inlineStr">
        <is>
          <t>26/03/2026</t>
        </is>
      </c>
      <c r="Q92" s="177">
        <f>TEXT(O92,"mmm/aaaa")</f>
        <v/>
      </c>
      <c r="R92" s="71" t="inlineStr">
        <is>
          <t>ECOMMERCE BP SUPORTE FINANCEIRO N2</t>
        </is>
      </c>
      <c r="S92" s="71" t="inlineStr">
        <is>
          <t>larissave@cielo.com.br</t>
        </is>
      </c>
      <c r="T92" s="71" t="inlineStr"/>
      <c r="U92" s="71" t="inlineStr">
        <is>
          <t>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favor seguirem com a atualização contratual do grupo Odontoprev no billing para que as cobranças saiam corretamente a partir do proximo mês. 
Todos já estão também no Salesforce via oportunidade. 
Apenas reforçando por aqui, são 3 CNPJ distintos, cada um com seu contrato. 
Duvidas, estou a disposição.
Obrigada! 
58.119.199/0001-51 - Odontoprev (Ajuste minimo mensal)
19.962.272/0001-09 - BrasilDental (Ajuste Preços e minimo mensal)
10.555.312/0001-15 - Dental Partner (Ajuste P</t>
        </is>
      </c>
      <c r="V92" s="71">
        <f>IFERROR(_xlfn.TEXTBEFORE(_xlfn.TEXTAFTER(U92,"Descrição do problema:&lt;/strong"),"&lt;/p&gt;"),_xlfn.TEXTAFTER(U92,"Descrição do problema:&lt;/strong"))</f>
        <v/>
      </c>
      <c r="W92" s="76">
        <f>_xlfn.CONCAT(D92:E92)</f>
        <v/>
      </c>
      <c r="X92" s="77" t="n"/>
      <c r="Y92" s="78">
        <f>IF(X92="","Aberto","Encerrado")</f>
        <v/>
      </c>
      <c r="Z92" s="78">
        <f>IF(OR(L92="PENDENTE",L92="EM ANDAMENTO",L92="PENDENTE APROVAÇÃO CANCELAMENTO NF"),TODAY()-O92,X92-O92)</f>
        <v/>
      </c>
      <c r="AA92" s="78">
        <f>IF(Y92="Aberto",Z92+ROW()/100000,"")</f>
        <v/>
      </c>
      <c r="AB92" s="2">
        <f>IF(ISNUMBER(FIND("@cielo.com.br",S92)),"Interno","Externo")</f>
        <v/>
      </c>
      <c r="AC92" t="inlineStr">
        <is>
          <t>Contestar divergência, valor ou critério de cobrança.</t>
        </is>
      </c>
      <c r="AD92" t="inlineStr">
        <is>
          <t>cobrança + contrato</t>
        </is>
      </c>
      <c r="AE92" t="inlineStr">
        <is>
          <t>Contestação de cobrança</t>
        </is>
      </c>
      <c r="AF92" t="inlineStr">
        <is>
          <t>Valor Cobrado</t>
        </is>
      </c>
      <c r="AG92" t="inlineStr">
        <is>
          <t>Cobrança e Contestação</t>
        </is>
      </c>
      <c r="AI92" t="inlineStr">
        <is>
          <t>INT_COB_CONTESTACAO</t>
        </is>
      </c>
      <c r="AJ92" t="inlineStr">
        <is>
          <t>Sugerida</t>
        </is>
      </c>
      <c r="AK92" t="b">
        <v>0</v>
      </c>
      <c r="AN92">
        <f>IF(OR(AG92="",AM92=""),"",IF(AG92=AM92,"SIM","NÃO"))</f>
        <v/>
      </c>
      <c r="AO92" t="inlineStr">
        <is>
          <t>CLASSIFIED_PATTERN</t>
        </is>
      </c>
    </row>
    <row r="93" ht="15.5" customHeight="1">
      <c r="A93" s="1" t="n"/>
      <c r="B93" s="67" t="inlineStr">
        <is>
          <t>Pamela de Sá</t>
        </is>
      </c>
      <c r="C93" s="70">
        <f>VLOOKUP(I:I,'Referencias '!H:I,2,0)</f>
        <v/>
      </c>
      <c r="D93" s="71" t="n">
        <v>20800477</v>
      </c>
      <c r="E93" s="71" t="n">
        <v>0</v>
      </c>
      <c r="F93" s="72" t="n">
        <v>2608614752010</v>
      </c>
      <c r="G93" s="72">
        <f>VLOOKUP(H:H,'Referencias '!B:C,2,0)</f>
        <v/>
      </c>
      <c r="H93" s="72">
        <f>TRIM(_xlfn.TEXTBEFORE(_xlfn.TEXTAFTER(U93,"CNPJ/CPF:&lt;/strong&gt;"),"&lt;/p&gt;"))</f>
        <v/>
      </c>
      <c r="I93" s="70" t="inlineStr">
        <is>
          <t>Ajuste de cobrança / faturamento</t>
        </is>
      </c>
      <c r="J93" s="72" t="n"/>
      <c r="K93" s="72" t="n"/>
      <c r="L93" s="70" t="inlineStr">
        <is>
          <t>FINALIZADO</t>
        </is>
      </c>
      <c r="M93" s="73" t="inlineStr">
        <is>
          <t>Médio</t>
        </is>
      </c>
      <c r="N93" s="71" t="inlineStr">
        <is>
          <t>1018 Financeiro | Desejo falar com o setor financeiro | Mariane Oliveira dos Santos | mariane.santos@cielo.com.br</t>
        </is>
      </c>
      <c r="O93" s="74" t="n">
        <v>46108</v>
      </c>
      <c r="P93" s="123" t="n">
        <v>46108</v>
      </c>
      <c r="Q93" s="177">
        <f>TEXT(O93,"mmm/aaaa")</f>
        <v/>
      </c>
      <c r="R93" s="71" t="inlineStr">
        <is>
          <t>ECOMMERCE BP SUPORTE FINANCEIRO N2</t>
        </is>
      </c>
      <c r="S93" s="71" t="inlineStr">
        <is>
          <t>mariane.santos@cielo.com.br</t>
        </is>
      </c>
      <c r="T93" s="71" t="inlineStr"/>
      <c r="U93" s="71" t="inlineStr">
        <is>
          <t>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
Preciso da ajuda de vocês para validar o reajuste que vem sendo aplicado nas condições comerciais do Carrefour.
Pelo que validei no billing está sendo aplicado reajuste IPCA, porém no contrato está descrito que o reajuste deveria ser IPC-FIPE.
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t>
        </is>
      </c>
      <c r="V93" s="71">
        <f>IFERROR(_xlfn.TEXTBEFORE(_xlfn.TEXTAFTER(U93,"Descrição do problema:&lt;/strong"),"&lt;/p&gt;"),_xlfn.TEXTAFTER(U93,"Descrição do problema:&lt;/strong"))</f>
        <v/>
      </c>
      <c r="W93" s="76">
        <f>_xlfn.CONCAT(D93:E93)</f>
        <v/>
      </c>
      <c r="X93" s="77" t="n">
        <v>46259</v>
      </c>
      <c r="Y93" s="78">
        <f>IF(X93="","Aberto","Encerrado")</f>
        <v/>
      </c>
      <c r="Z93" s="78">
        <f>IF(OR(L93="PENDENTE",L93="EM ANDAMENTO",L93="PENDENTE APROVAÇÃO CANCELAMENTO NF"),TODAY()-O93,X93-O93)</f>
        <v/>
      </c>
      <c r="AA93" s="78">
        <f>IF(Y93="Aberto",Z93+ROW()/100000,"")</f>
        <v/>
      </c>
      <c r="AB93" s="2">
        <f>IF(ISNUMBER(FIND("@cielo.com.br",S93)),"Interno","Externo")</f>
        <v/>
      </c>
      <c r="AD93" t="inlineStr"/>
      <c r="AJ93" t="inlineStr">
        <is>
          <t>Sem correspondência</t>
        </is>
      </c>
      <c r="AK93" t="b">
        <v>0</v>
      </c>
      <c r="AN93">
        <f>IF(OR(AG93="",AM93=""),"",IF(AG93=AM93,"SIM","NÃO"))</f>
        <v/>
      </c>
      <c r="AO93" t="inlineStr">
        <is>
          <t>NO_PATTERN</t>
        </is>
      </c>
    </row>
    <row r="94" ht="15.5" customHeight="1">
      <c r="A94" s="1" t="n"/>
      <c r="B94" s="67" t="inlineStr">
        <is>
          <t>Pamela de Sá</t>
        </is>
      </c>
      <c r="C94" s="70">
        <f>VLOOKUP(I:I,'Referencias '!H:I,2,0)</f>
        <v/>
      </c>
      <c r="D94" s="71" t="n">
        <v>20796608</v>
      </c>
      <c r="E94" s="71" t="n">
        <v>0</v>
      </c>
      <c r="F94" s="72" t="n">
        <v>2608613748976</v>
      </c>
      <c r="G94" s="72">
        <f>VLOOKUP(H:H,'Referencias '!B:C,2,0)</f>
        <v/>
      </c>
      <c r="H94" s="72">
        <f>TRIM(_xlfn.TEXTBEFORE(_xlfn.TEXTAFTER(U94,"CNPJ/CPF:&lt;/strong&gt;"),"&lt;/p&gt;"))</f>
        <v/>
      </c>
      <c r="I94" s="70" t="inlineStr">
        <is>
          <t>Outros</t>
        </is>
      </c>
      <c r="J94" s="72" t="n"/>
      <c r="K94" s="72" t="n"/>
      <c r="L94" s="70" t="inlineStr">
        <is>
          <t>FINALIZADO</t>
        </is>
      </c>
      <c r="M94" s="73" t="inlineStr">
        <is>
          <t>Médio</t>
        </is>
      </c>
      <c r="N94" s="71" t="inlineStr">
        <is>
          <t>1018 Financeiro | Desejo falar com o setor financeiro | Fernanda Camarneira | fernanda.scamarneira@cielo.com.br</t>
        </is>
      </c>
      <c r="O94" s="74" t="n">
        <v>46108</v>
      </c>
      <c r="P94" s="123" t="n">
        <v>46111</v>
      </c>
      <c r="Q94" s="177">
        <f>TEXT(O94,"mmm/aaaa")</f>
        <v/>
      </c>
      <c r="R94" s="71" t="inlineStr">
        <is>
          <t>ECOMMERCE BP SUPORTE FINANCEIRO N2</t>
        </is>
      </c>
      <c r="S94" s="71" t="inlineStr">
        <is>
          <t>fernanda.scamarneira@cielo.com.br</t>
        </is>
      </c>
      <c r="T94" s="71" t="inlineStr">
        <is>
          <t>FARMACIAS PAGUE MENOS</t>
        </is>
      </c>
      <c r="U94" s="71" t="inlineStr">
        <is>
          <t>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Segue em anexo aditivo com mudanças de valores dos produtos de antifraude do cliente Pague Menos.
Principais mudanças: 
- Alterações de valores em todos os serviços de Antifraude Cybersource
- Alteração de minimo mensal do transacional de antifraude
- Alteração da data de aniversário do contrato para 18/03/26 com vigência de 24 meses sendo 18 meses vigencia minima
Os outros produtos de Gateway e Velocity, seguem sem alterações</t>
        </is>
      </c>
      <c r="V94" s="71">
        <f>IFERROR(_xlfn.TEXTBEFORE(_xlfn.TEXTAFTER(U94,"Descrição do problema:&lt;/strong"),"&lt;/p&gt;"),_xlfn.TEXTAFTER(U94,"Descrição do problema:&lt;/strong"))</f>
        <v/>
      </c>
      <c r="W94" s="76">
        <f>_xlfn.CONCAT(D94:E94)</f>
        <v/>
      </c>
      <c r="X94" s="77" t="n">
        <v>46231</v>
      </c>
      <c r="Y94" s="78">
        <f>IF(X94="","Aberto","Encerrado")</f>
        <v/>
      </c>
      <c r="Z94" s="78">
        <f>IF(OR(L94="PENDENTE",L94="EM ANDAMENTO",L94="PENDENTE APROVAÇÃO CANCELAMENTO NF"),TODAY()-O94,X94-O94)</f>
        <v/>
      </c>
      <c r="AA94" s="78">
        <f>IF(Y94="Aberto",Z94+ROW()/100000,"")</f>
        <v/>
      </c>
      <c r="AB94" s="2">
        <f>IF(ISNUMBER(FIND("@cielo.com.br",S94)),"Interno","Externo")</f>
        <v/>
      </c>
      <c r="AC94" t="inlineStr">
        <is>
          <t>Alterar, renegociar ou atualizar condições comerciais ou contratuais.</t>
        </is>
      </c>
      <c r="AD94" t="inlineStr">
        <is>
          <t>mudança + valores + contrato; data de aniversário + contrato; alteração da data de aniversário</t>
        </is>
      </c>
      <c r="AE94" t="inlineStr">
        <is>
          <t>Pendente retorno comercial</t>
        </is>
      </c>
      <c r="AF94" t="inlineStr">
        <is>
          <t>Contrato/Cadastro</t>
        </is>
      </c>
      <c r="AG94" t="inlineStr">
        <is>
          <t>Contratos, Comercial e Cadastro</t>
        </is>
      </c>
      <c r="AI94" t="inlineStr">
        <is>
          <t>INT_CON_CONDICOES</t>
        </is>
      </c>
      <c r="AJ94" t="inlineStr">
        <is>
          <t>Sugerida</t>
        </is>
      </c>
      <c r="AK94" t="b">
        <v>0</v>
      </c>
      <c r="AN94">
        <f>IF(OR(AG94="",AM94=""),"",IF(AG94=AM94,"SIM","NÃO"))</f>
        <v/>
      </c>
      <c r="AO94" t="inlineStr">
        <is>
          <t>CLASSIFIED_PATTERN</t>
        </is>
      </c>
    </row>
    <row r="95" ht="15.5" customHeight="1">
      <c r="A95" s="1" t="n"/>
      <c r="B95" s="67" t="inlineStr">
        <is>
          <t>Fabiana Lisboa</t>
        </is>
      </c>
      <c r="C95" s="70">
        <f>VLOOKUP(I:I,'Referencias '!H:I,2,0)</f>
        <v/>
      </c>
      <c r="D95" s="71" t="n">
        <v>20857247</v>
      </c>
      <c r="E95" s="71" t="n">
        <v>0</v>
      </c>
      <c r="F95" s="72" t="n">
        <v>2608917794084</v>
      </c>
      <c r="G95" s="72">
        <f>T95</f>
        <v/>
      </c>
      <c r="H95" s="72">
        <f>TRIM(_xlfn.TEXTBEFORE(_xlfn.TEXTAFTER(U95,"CNPJ/CPF:&lt;/strong&gt;"),"&lt;/p&gt;"))</f>
        <v/>
      </c>
      <c r="I95" s="70" t="inlineStr">
        <is>
          <t>Reenvio de boleto / NF</t>
        </is>
      </c>
      <c r="J95" s="72" t="n"/>
      <c r="K95" s="72" t="n"/>
      <c r="L95" s="70" t="inlineStr">
        <is>
          <t>FINALIZADO</t>
        </is>
      </c>
      <c r="M95" s="73" t="inlineStr">
        <is>
          <t>Médio</t>
        </is>
      </c>
      <c r="N95" s="71" t="inlineStr">
        <is>
          <t>1018 Financeiro | Desejo falar com o setor financeiro | Nick | nick.xavier@covabra.com.br</t>
        </is>
      </c>
      <c r="O95" s="74" t="n">
        <v>46111</v>
      </c>
      <c r="P95" s="123" t="n">
        <v>46112</v>
      </c>
      <c r="Q95" s="177">
        <f>TEXT(O95,"mmm/aaaa")</f>
        <v/>
      </c>
      <c r="R95" s="71" t="inlineStr">
        <is>
          <t>ECOMMERCE BP SUPORTE FINANCEIRO N2</t>
        </is>
      </c>
      <c r="S95" s="71" t="inlineStr">
        <is>
          <t>nick.xavier@covabra.com.br</t>
        </is>
      </c>
      <c r="T95" s="71" t="inlineStr">
        <is>
          <t>COVABRA SUPERMERCADOS LTDA</t>
        </is>
      </c>
      <c r="U95" s="71" t="inlineStr">
        <is>
          <t>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
NFs 109847 e 109848.
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t>
        </is>
      </c>
      <c r="V95" s="71">
        <f>IFERROR(_xlfn.TEXTBEFORE(_xlfn.TEXTAFTER(U95,"Descrição do problema:&lt;/strong"),"&lt;/p&gt;"),_xlfn.TEXTAFTER(U95,"Descrição do problema:&lt;/strong"))</f>
        <v/>
      </c>
      <c r="W95" s="76">
        <f>_xlfn.CONCAT(D95:E95)</f>
        <v/>
      </c>
      <c r="X95" s="77" t="n">
        <v>46230</v>
      </c>
      <c r="Y95" s="78">
        <f>IF(X95="","Aberto","Encerrado")</f>
        <v/>
      </c>
      <c r="Z95" s="78">
        <f>IF(OR(L95="PENDENTE",L95="EM ANDAMENTO",L95="PENDENTE APROVAÇÃO CANCELAMENTO NF"),TODAY()-O95,X95-O95)</f>
        <v/>
      </c>
      <c r="AA95" s="78">
        <f>IF(Y95="Aberto",Z95+ROW()/100000,"")</f>
        <v/>
      </c>
      <c r="AB95" s="2">
        <f>IF(ISNUMBER(FIND("@cielo.com.br",S95)),"Interno","Externo")</f>
        <v/>
      </c>
      <c r="AC95" t="inlineStr">
        <is>
          <t>Contestar divergência, valor ou critério de cobrança.</t>
        </is>
      </c>
      <c r="AD95" t="inlineStr">
        <is>
          <t>OBJETO:BOLETO; OBJETO:COBRANCA; OBJETO:CONTRATO; OBJETO:NOTA_FISCAL; CONTEXTO:DIVERGENCIA; CONTEXTO:DUPLICIDADE</t>
        </is>
      </c>
      <c r="AE95" t="inlineStr">
        <is>
          <t>Contestação de cobrança</t>
        </is>
      </c>
      <c r="AF95" t="inlineStr">
        <is>
          <t>Valor Cobrado</t>
        </is>
      </c>
      <c r="AG95" t="inlineStr">
        <is>
          <t>Cobrança e Contestação</t>
        </is>
      </c>
      <c r="AI95" t="inlineStr">
        <is>
          <t>INT_COB_CONTESTACAO</t>
        </is>
      </c>
      <c r="AJ95" t="inlineStr">
        <is>
          <t>Sugerida</t>
        </is>
      </c>
      <c r="AK95" t="b">
        <v>0</v>
      </c>
      <c r="AN95">
        <f>IF(OR(AG95="",AM95=""),"",IF(AG95=AM95,"SIM","NÃO"))</f>
        <v/>
      </c>
      <c r="AO95" t="inlineStr">
        <is>
          <t>CLASSIFIED_SIGNATURE</t>
        </is>
      </c>
    </row>
    <row r="96" ht="15.5" customHeight="1">
      <c r="A96" s="1" t="n"/>
      <c r="B96" s="67" t="inlineStr">
        <is>
          <t>Pamela de Sá</t>
        </is>
      </c>
      <c r="C96" s="70">
        <f>VLOOKUP(I:I,'Referencias '!H:I,2,0)</f>
        <v/>
      </c>
      <c r="D96" s="71" t="n">
        <v>20837028</v>
      </c>
      <c r="E96" s="71" t="n">
        <v>0</v>
      </c>
      <c r="F96" s="72" t="n">
        <v>2608912779586</v>
      </c>
      <c r="G96" s="72">
        <f>VLOOKUP(H:H,'Referencias '!B:C,2,0)</f>
        <v/>
      </c>
      <c r="H96" s="72">
        <f>TRIM(_xlfn.TEXTBEFORE(_xlfn.TEXTAFTER(U96,"CNPJ/CPF:&lt;/strong&gt;"),"&lt;/p&gt;"))</f>
        <v/>
      </c>
      <c r="I96" s="70" t="inlineStr">
        <is>
          <t>Outros</t>
        </is>
      </c>
      <c r="J96" s="72" t="n"/>
      <c r="K96" s="72" t="n"/>
      <c r="L96" s="70" t="inlineStr">
        <is>
          <t>EM ANDAMENTO</t>
        </is>
      </c>
      <c r="M96" s="73" t="inlineStr">
        <is>
          <t>Médio</t>
        </is>
      </c>
      <c r="N96" s="71" t="inlineStr">
        <is>
          <t>1018 Financeiro | Desejo falar com o setor financeiro | Ricardo de Oliveira Braga | ricardo.sonhodafesta@gmail.com</t>
        </is>
      </c>
      <c r="O96" s="74" t="n">
        <v>46111</v>
      </c>
      <c r="P96" s="123" t="n">
        <v>46113</v>
      </c>
      <c r="Q96" s="177">
        <f>TEXT(O96,"mmm/aaaa")</f>
        <v/>
      </c>
      <c r="R96" s="71" t="inlineStr">
        <is>
          <t>ECOMMERCE BP SUPORTE FINANCEIRO N2</t>
        </is>
      </c>
      <c r="S96" s="71" t="inlineStr">
        <is>
          <t>ricardo.sonhodafesta@gmail.com</t>
        </is>
      </c>
      <c r="T96" s="71" t="inlineStr">
        <is>
          <t>DAGER COMERCIO ATACADISTA DE EMB</t>
        </is>
      </c>
      <c r="U96" s="71" t="inlineStr">
        <is>
          <t>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
Sonho do Artesão
ID do estabelecimento: 2814529174
CNPJ: 42.473.501/0001-35
Dager Comércio Atacadista de Embalagens
ID do estabelecimento: 2897798771
CNPJ: 32.804.472/0001-93
Em fevereiro, identificamos indícios de duplicidade. Na Dager, por exempl</t>
        </is>
      </c>
      <c r="V96" s="71">
        <f>IFERROR(_xlfn.TEXTBEFORE(_xlfn.TEXTAFTER(U96,"Descrição do problema:&lt;/strong"),"&lt;/p&gt;"),_xlfn.TEXTAFTER(U96,"Descrição do problema:&lt;/strong"))</f>
        <v/>
      </c>
      <c r="W96" s="76">
        <f>_xlfn.CONCAT(D96:E96)</f>
        <v/>
      </c>
      <c r="X96" s="77" t="n"/>
      <c r="Y96" s="78">
        <f>IF(X96="","Aberto","Encerrado")</f>
        <v/>
      </c>
      <c r="Z96" s="78">
        <f>IF(OR(L96="PENDENTE",L96="EM ANDAMENTO",L96="PENDENTE APROVAÇÃO CANCELAMENTO NF"),TODAY()-O96,X96-O96)</f>
        <v/>
      </c>
      <c r="AA96" s="78">
        <f>IF(Y96="Aberto",Z96+ROW()/100000,"")</f>
        <v/>
      </c>
      <c r="AB96" s="2">
        <f>IF(ISNUMBER(FIND("@cielo.com.br",S96)),"Interno","Externo")</f>
        <v/>
      </c>
      <c r="AC96" t="inlineStr">
        <is>
          <t>Corrigir cobrança ou pagamento em duplicidade.</t>
        </is>
      </c>
      <c r="AD96" t="inlineStr">
        <is>
          <t>cobranças duplicadas; cobrança + duplicada</t>
        </is>
      </c>
      <c r="AE96" t="inlineStr">
        <is>
          <t>Duplicidade de cobrança</t>
        </is>
      </c>
      <c r="AF96" t="inlineStr">
        <is>
          <t>Valor Cobrado</t>
        </is>
      </c>
      <c r="AG96" t="inlineStr">
        <is>
          <t>Cobrança e Contestação</t>
        </is>
      </c>
      <c r="AI96" t="inlineStr">
        <is>
          <t>INT_COB_DUPLICIDADE</t>
        </is>
      </c>
      <c r="AJ96" t="inlineStr">
        <is>
          <t>Sugerida</t>
        </is>
      </c>
      <c r="AK96" t="b">
        <v>0</v>
      </c>
      <c r="AN96">
        <f>IF(OR(AG96="",AM96=""),"",IF(AG96=AM96,"SIM","NÃO"))</f>
        <v/>
      </c>
      <c r="AO96" t="inlineStr">
        <is>
          <t>CLASSIFIED_PATTERN</t>
        </is>
      </c>
    </row>
    <row r="97" ht="15.5" customHeight="1">
      <c r="A97" s="1" t="inlineStr">
        <is>
          <t>Aberto antigos</t>
        </is>
      </c>
      <c r="B97" s="67" t="inlineStr">
        <is>
          <t>Stephany Lima</t>
        </is>
      </c>
      <c r="C97" s="70">
        <f>VLOOKUP(I:I,'Referencias '!H:I,2,0)</f>
        <v/>
      </c>
      <c r="D97" s="71" t="n">
        <v>20821255</v>
      </c>
      <c r="E97" s="71" t="n">
        <v>0</v>
      </c>
      <c r="F97" s="72" t="n">
        <v>2608907768475</v>
      </c>
      <c r="G97" s="72">
        <f>VLOOKUP(H:H,'Referencias '!B:C,2,0)</f>
        <v/>
      </c>
      <c r="H97" s="72">
        <f>TRIM(_xlfn.TEXTBEFORE(_xlfn.TEXTAFTER(U97,"CNPJ/CPF:&lt;/strong&gt;"),"&lt;/p&gt;"))</f>
        <v/>
      </c>
      <c r="I97" s="70" t="inlineStr">
        <is>
          <t>Contestação de cobrança</t>
        </is>
      </c>
      <c r="J97" s="72" t="inlineStr">
        <is>
          <t>Vamos analisar internamente se redirecionaremos para o time da Belotti</t>
        </is>
      </c>
      <c r="K97" s="72" t="n"/>
      <c r="L97" s="70" t="inlineStr">
        <is>
          <t>EM ANDAMENTO</t>
        </is>
      </c>
      <c r="M97" s="73" t="inlineStr">
        <is>
          <t>Alta</t>
        </is>
      </c>
      <c r="N97" s="71" t="inlineStr">
        <is>
          <t>1018 Financeiro | Desejo falar com o setor financeiro | SBF COMERCIO DE PRODUTOS ESPORTIVOS S.A | bruno.bbarbosa@gruposbf.com.br</t>
        </is>
      </c>
      <c r="O97" s="74" t="n">
        <v>46111</v>
      </c>
      <c r="P97" s="123" t="inlineStr">
        <is>
          <t>24/08/2026</t>
        </is>
      </c>
      <c r="Q97" s="177">
        <f>TEXT(O97,"mmm/aaaa")</f>
        <v/>
      </c>
      <c r="R97" s="71" t="inlineStr">
        <is>
          <t>STEPHANY LIMA DE LISBOA</t>
        </is>
      </c>
      <c r="S97" s="71" t="inlineStr">
        <is>
          <t>bruno.bbarbosa@gruposbf.com.br</t>
        </is>
      </c>
      <c r="T97" s="71" t="inlineStr">
        <is>
          <t>CENTAURO ESPORTES 25</t>
        </is>
      </c>
      <c r="U97" s="71" t="inlineStr">
        <is>
          <t>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
Na nf referente ao período 26/01/2026 a 25/02/2026, consta no corpo da nf o total de 715831, o que está errado no portal do cliente eu colocalizo apenas 373.132, podem por favor corrigir a nota fiscal e emitir com a transação correta e valor?
NF do serviço: Cartão protegido&lt;/p&gt;&lt;p&gt;&lt;strong&gt;Merchant ID/Estabelecimento Comercial (EC):&lt;/strong&gt; 06.347.409/0001-65&lt;/p&gt;&lt;p&gt;&lt;strong&gt;GA Client ID:&lt;/st</t>
        </is>
      </c>
      <c r="V97" s="71">
        <f>IFERROR(_xlfn.TEXTBEFORE(_xlfn.TEXTAFTER(U97,"Descrição do problema:&lt;/strong"),"&lt;/p&gt;"),_xlfn.TEXTAFTER(U97,"Descrição do problema:&lt;/strong"))</f>
        <v/>
      </c>
      <c r="W97" s="76">
        <f>_xlfn.CONCAT(D97:E97)</f>
        <v/>
      </c>
      <c r="X97" s="77" t="n"/>
      <c r="Y97" s="78">
        <f>IF(X97="","Aberto","Encerrado")</f>
        <v/>
      </c>
      <c r="Z97" s="78">
        <f>IF(OR(L97="PENDENTE",L97="EM ANDAMENTO",L97="PENDENTE APROVAÇÃO CANCELAMENTO NF"),TODAY()-O97,X97-O97)</f>
        <v/>
      </c>
      <c r="AA97" s="78">
        <f>IF(Y97="Aberto",Z97+ROW()/100000,"")</f>
        <v/>
      </c>
      <c r="AB97" s="2">
        <f>IF(ISNUMBER(FIND("@cielo.com.br",S97)),"Interno","Externo")</f>
        <v/>
      </c>
      <c r="AC97" t="inlineStr">
        <is>
          <t>Contestar divergência, valor ou critério de cobrança.</t>
        </is>
      </c>
      <c r="AD97" t="inlineStr">
        <is>
          <t>quantidade de transações incorreta; quantidade de transações incorretas; quantidade + transações</t>
        </is>
      </c>
      <c r="AE97" t="inlineStr">
        <is>
          <t>Contestação de cobrança</t>
        </is>
      </c>
      <c r="AF97" t="inlineStr">
        <is>
          <t>Valor Cobrado</t>
        </is>
      </c>
      <c r="AG97" t="inlineStr">
        <is>
          <t>Cobrança e Contestação</t>
        </is>
      </c>
      <c r="AI97" t="inlineStr">
        <is>
          <t>INT_COB_CONTESTACAO</t>
        </is>
      </c>
      <c r="AJ97" t="inlineStr">
        <is>
          <t>Sugerida</t>
        </is>
      </c>
      <c r="AK97" t="b">
        <v>0</v>
      </c>
      <c r="AN97">
        <f>IF(OR(AG97="",AM97=""),"",IF(AG97=AM97,"SIM","NÃO"))</f>
        <v/>
      </c>
      <c r="AO97" t="inlineStr">
        <is>
          <t>CLASSIFIED_PATTERN</t>
        </is>
      </c>
    </row>
    <row r="98" ht="15.5" customHeight="1">
      <c r="A98" s="1" t="inlineStr">
        <is>
          <t>Aberto antigos</t>
        </is>
      </c>
      <c r="B98" s="67" t="inlineStr">
        <is>
          <t>Pamela de Sá</t>
        </is>
      </c>
      <c r="C98" s="70">
        <f>VLOOKUP(I:I,'Referencias '!H:I,2,0)</f>
        <v/>
      </c>
      <c r="D98" s="71" t="n">
        <v>20891641</v>
      </c>
      <c r="E98" s="71" t="n">
        <v>0</v>
      </c>
      <c r="F98" s="72" t="n">
        <v>2609016817637</v>
      </c>
      <c r="G98" s="72">
        <f>VLOOKUP(H:H,'Referencias '!B:C,2,0)</f>
        <v/>
      </c>
      <c r="H98" s="72">
        <f>TRIM(_xlfn.TEXTBEFORE(_xlfn.TEXTAFTER(U98,"CNPJ/CPF:&lt;/strong&gt;"),"&lt;/p&gt;"))</f>
        <v/>
      </c>
      <c r="I98" s="70" t="inlineStr">
        <is>
          <t>Contestação de cobrança</t>
        </is>
      </c>
      <c r="J98" s="72" t="n"/>
      <c r="K98" s="72" t="n"/>
      <c r="L98" s="70" t="inlineStr">
        <is>
          <t>EM ANDAMENTO</t>
        </is>
      </c>
      <c r="M98" s="73" t="inlineStr">
        <is>
          <t>Alta</t>
        </is>
      </c>
      <c r="N98" s="71" t="inlineStr">
        <is>
          <t>1018 Financeiro | Desejo falar com o setor financeiro | ASSOCIACAO ESCOLA SUPERIOR DE PROPA GANDA E MARKETING | ariane.pasilva@cielo.com.br</t>
        </is>
      </c>
      <c r="O98" s="74" t="n">
        <v>46112</v>
      </c>
      <c r="P98" s="123" t="inlineStr">
        <is>
          <t>06/04/2026</t>
        </is>
      </c>
      <c r="Q98" s="177">
        <f>TEXT(O98,"mmm/aaaa")</f>
        <v/>
      </c>
      <c r="R98" s="71" t="inlineStr">
        <is>
          <t>ECOMMERCE BP SUPORTE FINANCEIRO N2</t>
        </is>
      </c>
      <c r="S98" s="71" t="inlineStr">
        <is>
          <t>ariane.pasilva@cielo.com.br</t>
        </is>
      </c>
      <c r="T98" s="71" t="inlineStr">
        <is>
          <t>ESPM</t>
        </is>
      </c>
      <c r="U98" s="71" t="inlineStr">
        <is>
          <t>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
Por favor, você nos ajuda a entender estas cobranças em aberto?
De acordo com a cláusula abaixo, teríamos que arcar com 50% do valor mínimo nos próximos três meses, ou seja, algo em torno de 3 x R$ 821,35, certo?
Em novembro, a nota recebida está com preço cheio, e foi paga (NF 103621 26/11 a 25/12 - R$ 1642,71).
Desta forma, temos um crédito de R$ 821,35.
Em contrapartida, estas três notas estão em aberto, certo?
Nota Fiscal	Valor	Vencimento líquido	Link NF
76841	4.154,46	21/10/2</t>
        </is>
      </c>
      <c r="V98" s="71">
        <f>IFERROR(_xlfn.TEXTBEFORE(_xlfn.TEXTAFTER(U98,"Descrição do problema:&lt;/strong"),"&lt;/p&gt;"),_xlfn.TEXTAFTER(U98,"Descrição do problema:&lt;/strong"))</f>
        <v/>
      </c>
      <c r="W98" s="76">
        <f>_xlfn.CONCAT(D98:E98)</f>
        <v/>
      </c>
      <c r="X98" s="77" t="n"/>
      <c r="Y98" s="78">
        <f>IF(X98="","Aberto","Encerrado")</f>
        <v/>
      </c>
      <c r="Z98" s="78">
        <f>IF(OR(L98="PENDENTE",L98="EM ANDAMENTO",L98="PENDENTE APROVAÇÃO CANCELAMENTO NF"),TODAY()-O98,X98-O98)</f>
        <v/>
      </c>
      <c r="AA98" s="78">
        <f>IF(Y98="Aberto",Z98+ROW()/100000,"")</f>
        <v/>
      </c>
      <c r="AB98" s="2">
        <f>IF(ISNUMBER(FIND("@cielo.com.br",S98)),"Interno","Externo")</f>
        <v/>
      </c>
      <c r="AC98" t="inlineStr">
        <is>
          <t>Contestar divergência, valor ou critério de cobrança.</t>
        </is>
      </c>
      <c r="AD98" t="inlineStr">
        <is>
          <t>ACAO:CONSULTAR; OBJETO:COBRANCA; OBJETO:NOTA_FISCAL; CONTEXTO:DIVERGENCIA</t>
        </is>
      </c>
      <c r="AE98" t="inlineStr">
        <is>
          <t>Contestação de cobrança</t>
        </is>
      </c>
      <c r="AF98" t="inlineStr">
        <is>
          <t>Valor Cobrado</t>
        </is>
      </c>
      <c r="AG98" t="inlineStr">
        <is>
          <t>Cobrança e Contestação</t>
        </is>
      </c>
      <c r="AI98" t="inlineStr">
        <is>
          <t>INT_COB_CONTESTACAO</t>
        </is>
      </c>
      <c r="AJ98" t="inlineStr">
        <is>
          <t>Sugerida</t>
        </is>
      </c>
      <c r="AK98" t="b">
        <v>0</v>
      </c>
      <c r="AN98">
        <f>IF(OR(AG98="",AM98=""),"",IF(AG98=AM98,"SIM","NÃO"))</f>
        <v/>
      </c>
      <c r="AO98" t="inlineStr">
        <is>
          <t>CLASSIFIED_SIGNATURE</t>
        </is>
      </c>
    </row>
    <row r="99" ht="15.5" customHeight="1">
      <c r="A99" s="1" t="n"/>
      <c r="B99" s="67" t="inlineStr">
        <is>
          <t>Pamela de Sá</t>
        </is>
      </c>
      <c r="C99" s="70">
        <f>VLOOKUP(I:I,'Referencias '!H:I,2,0)</f>
        <v/>
      </c>
      <c r="D99" s="71" t="n">
        <v>20887541</v>
      </c>
      <c r="E99" s="71" t="n">
        <v>0</v>
      </c>
      <c r="F99" s="72" t="n">
        <v>0</v>
      </c>
      <c r="G99" s="72">
        <f>VLOOKUP(H:H,'Referencias '!B:C,2,0)</f>
        <v/>
      </c>
      <c r="H99" s="72">
        <f>TRIM(_xlfn.TEXTBEFORE(_xlfn.TEXTAFTER(U99,"CNPJ/CPF:&lt;/strong&gt;"),"&lt;/p&gt;"))</f>
        <v/>
      </c>
      <c r="I99" s="70" t="inlineStr">
        <is>
          <t>Contestação de cobrança</t>
        </is>
      </c>
      <c r="J99" s="72" t="n"/>
      <c r="K99" s="72" t="n"/>
      <c r="L99" s="70" t="inlineStr">
        <is>
          <t>FINALIZADO</t>
        </is>
      </c>
      <c r="M99" s="73" t="inlineStr">
        <is>
          <t>Médio</t>
        </is>
      </c>
      <c r="N99" s="71" t="inlineStr">
        <is>
          <t>1018 Financeiro | Desejo falar com o setor financeiro | BRASIL EDUCACAO S/A | ariane.pasilva@cielo.com.br</t>
        </is>
      </c>
      <c r="O99" s="74" t="n">
        <v>46112</v>
      </c>
      <c r="P99" s="123" t="n">
        <v>46112</v>
      </c>
      <c r="Q99" s="177">
        <f>TEXT(O99,"mmm/aaaa")</f>
        <v/>
      </c>
      <c r="R99" s="71" t="inlineStr">
        <is>
          <t>ECOMMERCE BP SUPORTE FINANCEIRO N2</t>
        </is>
      </c>
      <c r="S99" s="71" t="inlineStr">
        <is>
          <t>ariane.pasilva@cielo.com.br</t>
        </is>
      </c>
      <c r="T99" s="71" t="inlineStr"/>
      <c r="U99" s="71" t="inlineStr">
        <is>
          <t>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
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t>
        </is>
      </c>
      <c r="V99" s="71">
        <f>IFERROR(_xlfn.TEXTBEFORE(_xlfn.TEXTAFTER(U99,"Descrição do problema:&lt;/strong"),"&lt;/p&gt;"),_xlfn.TEXTAFTER(U99,"Descrição do problema:&lt;/strong"))</f>
        <v/>
      </c>
      <c r="W99" s="76">
        <f>_xlfn.CONCAT(D99:E99)</f>
        <v/>
      </c>
      <c r="X99" s="77" t="n">
        <v>46220</v>
      </c>
      <c r="Y99" s="78">
        <f>IF(X99="","Aberto","Encerrado")</f>
        <v/>
      </c>
      <c r="Z99" s="78">
        <f>IF(OR(L99="PENDENTE",L99="EM ANDAMENTO",L99="PENDENTE APROVAÇÃO CANCELAMENTO NF"),TODAY()-O99,X99-O99)</f>
        <v/>
      </c>
      <c r="AA99" s="78">
        <f>IF(Y99="Aberto",Z99+ROW()/100000,"")</f>
        <v/>
      </c>
      <c r="AB99" s="2">
        <f>IF(ISNUMBER(FIND("@cielo.com.br",S99)),"Interno","Externo")</f>
        <v/>
      </c>
      <c r="AC99" t="inlineStr">
        <is>
          <t>Questionar ou corrigir cobrança de setup, taxa ou chave de loja.</t>
        </is>
      </c>
      <c r="AD99" t="inlineStr">
        <is>
          <t>chave de ativação de nova loja</t>
        </is>
      </c>
      <c r="AE99" t="inlineStr">
        <is>
          <t>Cobrança de setup</t>
        </is>
      </c>
      <c r="AF99" t="inlineStr">
        <is>
          <t>Valor Cobrado</t>
        </is>
      </c>
      <c r="AG99" t="inlineStr">
        <is>
          <t>Cobrança e Contestação</t>
        </is>
      </c>
      <c r="AI99" t="inlineStr">
        <is>
          <t>INT_COB_SETUP</t>
        </is>
      </c>
      <c r="AJ99" t="inlineStr">
        <is>
          <t>Sugerida</t>
        </is>
      </c>
      <c r="AK99" t="b">
        <v>0</v>
      </c>
      <c r="AN99">
        <f>IF(OR(AG99="",AM99=""),"",IF(AG99=AM99,"SIM","NÃO"))</f>
        <v/>
      </c>
      <c r="AO99" t="inlineStr">
        <is>
          <t>CLASSIFIED_PATTERN</t>
        </is>
      </c>
    </row>
    <row r="100" ht="15.5" customHeight="1">
      <c r="A100" s="1" t="n"/>
      <c r="B100" s="67" t="inlineStr">
        <is>
          <t>Pamela de Sá</t>
        </is>
      </c>
      <c r="C100" s="70">
        <f>VLOOKUP(I:I,'Referencias '!H:I,2,0)</f>
        <v/>
      </c>
      <c r="D100" s="71" t="n">
        <v>20883974</v>
      </c>
      <c r="E100" s="71" t="n">
        <v>0</v>
      </c>
      <c r="F100" s="72" t="n">
        <v>0</v>
      </c>
      <c r="G100" s="72">
        <f>T100</f>
        <v/>
      </c>
      <c r="H100" s="72">
        <f>TRIM(_xlfn.TEXTBEFORE(_xlfn.TEXTAFTER(U100,"CNPJ/CPF:&lt;/strong&gt;"),"&lt;/p&gt;"))</f>
        <v/>
      </c>
      <c r="I100" s="70" t="inlineStr">
        <is>
          <t>Outros</t>
        </is>
      </c>
      <c r="J100" s="72" t="n"/>
      <c r="K100" s="72" t="n"/>
      <c r="L100" s="70" t="inlineStr">
        <is>
          <t>FINALIZADO</t>
        </is>
      </c>
      <c r="M100" s="73" t="inlineStr">
        <is>
          <t>Médio</t>
        </is>
      </c>
      <c r="N100" s="71" t="inlineStr">
        <is>
          <t>1018 Financeiro | Desejo falar com o setor financeiro | felipe alvarez de carvalho sanches | felipe.sanches@supermercadospaguemenos.com.br</t>
        </is>
      </c>
      <c r="O100" s="74" t="n">
        <v>46112</v>
      </c>
      <c r="P100" s="123" t="n">
        <v>46113</v>
      </c>
      <c r="Q100" s="177">
        <f>TEXT(O100,"mmm/aaaa")</f>
        <v/>
      </c>
      <c r="R100" s="71" t="inlineStr">
        <is>
          <t>ECOMMERCE BP SUPORTE FINANCEIRO N2</t>
        </is>
      </c>
      <c r="S100" s="71" t="inlineStr">
        <is>
          <t>felipe.sanches@supermercadospaguemenos.com.br</t>
        </is>
      </c>
      <c r="T100" s="71" t="inlineStr"/>
      <c r="U100" s="71" t="inlineStr">
        <is>
          <t>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
Também gostaria de entender se existe alguma exceção que justifique essa retenção ou se, de fato, trata-se de um erro.&lt;/p&gt;&lt;p&gt;&lt;strong&gt;GA Client ID:&lt;/strong&gt; 64583</t>
        </is>
      </c>
      <c r="V100" s="71">
        <f>IFERROR(_xlfn.TEXTBEFORE(_xlfn.TEXTAFTER(U100,"Descrição do problema:&lt;/strong"),"&lt;/p&gt;"),_xlfn.TEXTAFTER(U100,"Descrição do problema:&lt;/strong"))</f>
        <v/>
      </c>
      <c r="W100" s="76">
        <f>_xlfn.CONCAT(D100:E100)</f>
        <v/>
      </c>
      <c r="X100" s="77" t="n">
        <v>46226</v>
      </c>
      <c r="Y100" s="78">
        <f>IF(X100="","Aberto","Encerrado")</f>
        <v/>
      </c>
      <c r="Z100" s="78">
        <f>IF(OR(L100="PENDENTE",L100="EM ANDAMENTO",L100="PENDENTE APROVAÇÃO CANCELAMENTO NF"),TODAY()-O100,X100-O100)</f>
        <v/>
      </c>
      <c r="AA100" s="78">
        <f>IF(Y100="Aberto",Z100+ROW()/100000,"")</f>
        <v/>
      </c>
      <c r="AB100" s="2">
        <f>IF(ISNUMBER(FIND("@cielo.com.br",S100)),"Interno","Externo")</f>
        <v/>
      </c>
      <c r="AC100" t="inlineStr">
        <is>
          <t>Tratar requisito ou regra fiscal específica.</t>
        </is>
      </c>
      <c r="AD100" t="inlineStr">
        <is>
          <t>código de serviço + retenção</t>
        </is>
      </c>
      <c r="AE100" t="inlineStr">
        <is>
          <t>Alteração de dados fiscais</t>
        </is>
      </c>
      <c r="AF100" t="inlineStr">
        <is>
          <t>Parâmetro de Faturamento</t>
        </is>
      </c>
      <c r="AG100" t="inlineStr">
        <is>
          <t>Faturamento e Obrigações Fiscais</t>
        </is>
      </c>
      <c r="AI100" t="inlineStr">
        <is>
          <t>INT_FAT_REQUISITO</t>
        </is>
      </c>
      <c r="AJ100" t="inlineStr">
        <is>
          <t>Sugerida</t>
        </is>
      </c>
      <c r="AK100" t="b">
        <v>0</v>
      </c>
      <c r="AN100">
        <f>IF(OR(AG100="",AM100=""),"",IF(AG100=AM100,"SIM","NÃO"))</f>
        <v/>
      </c>
      <c r="AO100" t="inlineStr">
        <is>
          <t>CLASSIFIED_PATTERN</t>
        </is>
      </c>
    </row>
    <row r="101" ht="15.5" customHeight="1">
      <c r="A101" s="1" t="n"/>
      <c r="B101" s="67" t="inlineStr">
        <is>
          <t>Stephany Lima</t>
        </is>
      </c>
      <c r="C101" s="70">
        <f>VLOOKUP(I:I,'Referencias '!H:I,2,0)</f>
        <v/>
      </c>
      <c r="D101" s="71" t="n">
        <v>20921984</v>
      </c>
      <c r="E101" s="71" t="n">
        <v>0</v>
      </c>
      <c r="F101" s="72" t="n">
        <v>2609112838485</v>
      </c>
      <c r="G101" s="72">
        <f>VLOOKUP(H:H,'Referencias '!B:C,2,0)</f>
        <v/>
      </c>
      <c r="H101" s="72">
        <f>TRIM(_xlfn.TEXTBEFORE(_xlfn.TEXTAFTER(U101,"CNPJ/CPF:&lt;/strong&gt;"),"&lt;/p&gt;"))</f>
        <v/>
      </c>
      <c r="I101" s="70" t="inlineStr">
        <is>
          <t>Cancelamento de NF / reemissão</t>
        </is>
      </c>
      <c r="J101" s="72" t="n"/>
      <c r="K101" s="72" t="n"/>
      <c r="L101" s="70" t="inlineStr">
        <is>
          <t>FINALIZADO</t>
        </is>
      </c>
      <c r="M101" s="73" t="inlineStr">
        <is>
          <t>Alta</t>
        </is>
      </c>
      <c r="N101" s="71" t="inlineStr">
        <is>
          <t>1018 Financeiro | Desejo falar com o setor financeiro | I-RETAIL SERVICOS DE CONSULTORIA DE | ariane.pasilva@cielo.com.br</t>
        </is>
      </c>
      <c r="O101" s="74" t="n">
        <v>46113</v>
      </c>
      <c r="P101" s="123" t="n">
        <v>46113</v>
      </c>
      <c r="Q101" s="177">
        <f>TEXT(O101,"mmm/aaaa")</f>
        <v/>
      </c>
      <c r="R101" s="71" t="inlineStr">
        <is>
          <t>ECOMMERCE BP SUPORTE FINANCEIRO N2</t>
        </is>
      </c>
      <c r="S101" s="71" t="inlineStr">
        <is>
          <t>ariane.pasilva@cielo.com.br</t>
        </is>
      </c>
      <c r="T101" s="71" t="inlineStr"/>
      <c r="U101" s="71" t="inlineStr">
        <is>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
estes são os PO's : 
PO	referente a	Valor
4200022824	 setup ( nf  93674)	      5.204,08
4200022825	jul/25( nf  95556)	          460,83
4200022826	ago/25( nf  97449)	      3.570,42
4200022827	set/25( nf  99395)	      3.570,42
4200022828	out/25( nf 101363)	      3.570,42
4200022830	nov/25( nf 103272)	      3.570,42
4200022829	dez/25( nf 105446)	      3.570,42
4200022832	jan/26( nf 107255)	      3.570,42
4200022831	fev/26( nf 109731)	      3.570,42
420002283</t>
        </is>
      </c>
      <c r="V101" s="71">
        <f>IFERROR(_xlfn.TEXTBEFORE(_xlfn.TEXTAFTER(U101,"Descrição do problema:&lt;/strong"),"&lt;/p&gt;"),_xlfn.TEXTAFTER(U101,"Descrição do problema:&lt;/strong"))</f>
        <v/>
      </c>
      <c r="W101" s="76">
        <f>_xlfn.CONCAT(D101:E101)</f>
        <v/>
      </c>
      <c r="X101" s="77" t="n">
        <v>46113</v>
      </c>
      <c r="Y101" s="78">
        <f>IF(X101="","Aberto","Encerrado")</f>
        <v/>
      </c>
      <c r="Z101" s="78">
        <f>IF(OR(L101="PENDENTE",L101="EM ANDAMENTO",L101="PENDENTE APROVAÇÃO CANCELAMENTO NF"),TODAY()-O101,X101-O101)</f>
        <v/>
      </c>
      <c r="AA101" s="78">
        <f>IF(Y101="Aberto",Z101+ROW()/100000,"")</f>
        <v/>
      </c>
      <c r="AB101" s="2">
        <f>IF(ISNUMBER(FIND("@cielo.com.br",S101)),"Interno","Externo")</f>
        <v/>
      </c>
      <c r="AC101" t="inlineStr">
        <is>
          <t>Substituir ou reemitir NF com PO.</t>
        </is>
      </c>
      <c r="AD101" t="inlineStr">
        <is>
          <t>ACAO:PO; ACAO:SUBSTITUIR; OBJETO:NOTA_FISCAL; OBJETO:PO; OBJETO:SETUP; CANAL:PO</t>
        </is>
      </c>
      <c r="AE101" t="inlineStr">
        <is>
          <t>Reemissão de NF com PO</t>
        </is>
      </c>
      <c r="AF101" t="inlineStr">
        <is>
          <t>Documento Fiscal</t>
        </is>
      </c>
      <c r="AG101" t="inlineStr">
        <is>
          <t>Cancelamento e Reemissão de Nota Fiscal</t>
        </is>
      </c>
      <c r="AI101" t="inlineStr">
        <is>
          <t>INT_NF_REEMISSAO_PO</t>
        </is>
      </c>
      <c r="AJ101" t="inlineStr">
        <is>
          <t>Sugerida</t>
        </is>
      </c>
      <c r="AK101" t="b">
        <v>0</v>
      </c>
      <c r="AN101">
        <f>IF(OR(AG101="",AM101=""),"",IF(AG101=AM101,"SIM","NÃO"))</f>
        <v/>
      </c>
      <c r="AO101" t="inlineStr">
        <is>
          <t>CLASSIFIED_SIGNATURE</t>
        </is>
      </c>
    </row>
    <row r="102" ht="15.5" customHeight="1">
      <c r="A102" s="1" t="n"/>
      <c r="B102" s="67" t="inlineStr">
        <is>
          <t>Emilly Maria</t>
        </is>
      </c>
      <c r="C102" s="70">
        <f>VLOOKUP(I:I,'Referencias '!H:I,2,0)</f>
        <v/>
      </c>
      <c r="D102" s="71" t="n">
        <v>21029459</v>
      </c>
      <c r="E102" s="71" t="n">
        <v>0</v>
      </c>
      <c r="F102" s="72" t="n">
        <v>2609616912930</v>
      </c>
      <c r="G102" s="72">
        <f>VLOOKUP(H:H,'Referencias '!B:C,2,0)</f>
        <v/>
      </c>
      <c r="H102" s="72">
        <f>TRIM(_xlfn.TEXTBEFORE(_xlfn.TEXTAFTER(U102,"CNPJ/CPF:&lt;/strong&gt;"),"&lt;/p&gt;"))</f>
        <v/>
      </c>
      <c r="I102" s="70" t="inlineStr">
        <is>
          <t>Reenvio de boleto / NF</t>
        </is>
      </c>
      <c r="J102" s="72" t="n"/>
      <c r="K102" s="72" t="n"/>
      <c r="L102" s="70" t="inlineStr">
        <is>
          <t>FINALIZADO</t>
        </is>
      </c>
      <c r="M102" s="73" t="inlineStr">
        <is>
          <t>Médio</t>
        </is>
      </c>
      <c r="N102" s="71" t="inlineStr">
        <is>
          <t>1018 Financeiro | Desejo falar com o setor financeiro | Gabriel | gabriel@retailon.com.br</t>
        </is>
      </c>
      <c r="O102" s="74" t="n">
        <v>46118</v>
      </c>
      <c r="P102" s="123" t="n">
        <v>46118</v>
      </c>
      <c r="Q102" s="177">
        <f>TEXT(O102,"mmm/aaaa")</f>
        <v/>
      </c>
      <c r="R102" s="71" t="inlineStr">
        <is>
          <t>ECOMMERCE BP SUPORTE FINANCEIRO N2</t>
        </is>
      </c>
      <c r="S102" s="71" t="inlineStr">
        <is>
          <t>gabriel@retailon.com.br</t>
        </is>
      </c>
      <c r="T102" s="71" t="inlineStr">
        <is>
          <t>VOAI TECH LTDA</t>
        </is>
      </c>
      <c r="U102" s="71" t="inlineStr">
        <is>
          <t>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Sou cliente de split de pagamentos e nao possuo minimo mensal. Ao entender com a Isabella, foi visto que a ferramenta interna (salesforce) gerou um billing errado dos produtos! POdem seguir com o cancelamento da nota fiscal emitida e boleto? 
Atenciosamente&lt;/p&gt;&lt;p&gt;&lt;strong&gt;GA Client ID:&lt;/strong&gt; 539264633.1753290498&lt;/p&gt;&lt;p&gt;&lt;strong&gt;Lead Hash ID:&lt;/strong&gt; c0c8a</t>
        </is>
      </c>
      <c r="V102" s="71">
        <f>IFERROR(_xlfn.TEXTBEFORE(_xlfn.TEXTAFTER(U102,"Descrição do problema:&lt;/strong"),"&lt;/p&gt;"),_xlfn.TEXTAFTER(U102,"Descrição do problema:&lt;/strong"))</f>
        <v/>
      </c>
      <c r="W102" s="76">
        <f>_xlfn.CONCAT(D102:E102)</f>
        <v/>
      </c>
      <c r="X102" s="77" t="n">
        <v>46234</v>
      </c>
      <c r="Y102" s="78">
        <f>IF(X102="","Aberto","Encerrado")</f>
        <v/>
      </c>
      <c r="Z102" s="78">
        <f>IF(OR(L102="PENDENTE",L102="EM ANDAMENTO",L102="PENDENTE APROVAÇÃO CANCELAMENTO NF"),TODAY()-O102,X102-O102)</f>
        <v/>
      </c>
      <c r="AA102" s="78">
        <f>IF(Y102="Aberto",Z102+ROW()/100000,"")</f>
        <v/>
      </c>
      <c r="AB102" s="2">
        <f>IF(ISNUMBER(FIND("@cielo.com.br",S102)),"Interno","Externo")</f>
        <v/>
      </c>
      <c r="AD102" t="inlineStr">
        <is>
          <t>ACAO:CANCELAR; ACAO:CONSULTAR; OBJETO:BOLETO; OBJETO:COBRANCA; OBJETO:NOTA_FISCAL; CONTEXTO:DIVERGENCIA</t>
        </is>
      </c>
      <c r="AJ102" t="inlineStr">
        <is>
          <t>Ambígua</t>
        </is>
      </c>
      <c r="AK102" t="b">
        <v>1</v>
      </c>
      <c r="AN102">
        <f>IF(OR(AG102="",AM102=""),"",IF(AG102=AM102,"SIM","NÃO"))</f>
        <v/>
      </c>
      <c r="AO102" t="inlineStr">
        <is>
          <t>AMBIGUOUS_CAUSE</t>
        </is>
      </c>
    </row>
    <row r="103" ht="15.5" customHeight="1">
      <c r="A103" s="1" t="n"/>
      <c r="B103" s="67" t="inlineStr">
        <is>
          <t>Stephany Lima</t>
        </is>
      </c>
      <c r="C103" s="70">
        <f>VLOOKUP(I:I,'Referencias '!H:I,2,0)</f>
        <v/>
      </c>
      <c r="D103" s="71" t="n">
        <v>21014425</v>
      </c>
      <c r="E103" s="71" t="n">
        <v>0</v>
      </c>
      <c r="F103" s="72" t="n">
        <v>2609613902347</v>
      </c>
      <c r="G103" s="72">
        <f>VLOOKUP(H:H,'Referencias '!B:C,2,0)</f>
        <v/>
      </c>
      <c r="H103" s="72">
        <f>TRIM(_xlfn.TEXTBEFORE(_xlfn.TEXTAFTER(U103,"CNPJ/CPF:&lt;/strong&gt;"),"&lt;/p&gt;"))</f>
        <v/>
      </c>
      <c r="I103" s="70" t="inlineStr">
        <is>
          <t>Contestação de cobrança</t>
        </is>
      </c>
      <c r="J103" s="72" t="n"/>
      <c r="K103" s="72" t="n"/>
      <c r="L103" s="70" t="inlineStr">
        <is>
          <t>FINALIZADO</t>
        </is>
      </c>
      <c r="M103" s="73" t="inlineStr">
        <is>
          <t>Médio</t>
        </is>
      </c>
      <c r="N103" s="71" t="inlineStr">
        <is>
          <t>1018 Financeiro | Desejo falar com o setor financeiro | Matheus Mendonça de Oliveira | matheus.oliveira@fiap.com.br</t>
        </is>
      </c>
      <c r="O103" s="74" t="n">
        <v>46118</v>
      </c>
      <c r="P103" s="123" t="n">
        <v>46162</v>
      </c>
      <c r="Q103" s="177">
        <f>TEXT(O103,"mmm/aaaa")</f>
        <v/>
      </c>
      <c r="R103" s="71" t="inlineStr">
        <is>
          <t>STEPHANY LIMA DE LISBOA</t>
        </is>
      </c>
      <c r="S103" s="71" t="inlineStr">
        <is>
          <t>matheus.oliveira@fiap.com.br</t>
        </is>
      </c>
      <c r="T103" s="71" t="inlineStr">
        <is>
          <t>FIAPCOPI</t>
        </is>
      </c>
      <c r="U103" s="71" t="inlineStr">
        <is>
          <t>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
Como estão?
Me chamo Matheus e atualmente sou eu quem cuida dos fornecedores da Fiap relacionados aos serviços financeiros.
Achei o contato de vocês através de e-mails anteriores (joao.freitas@cielo.com.br/ jferreira@braspag.com.br) e gostaria de algumas informações. Tenho algumas dúvidas: os serv</t>
        </is>
      </c>
      <c r="V103" s="71">
        <f>IFERROR(_xlfn.TEXTBEFORE(_xlfn.TEXTAFTER(U103,"Descrição do problema:&lt;/strong"),"&lt;/p&gt;"),_xlfn.TEXTAFTER(U103,"Descrição do problema:&lt;/strong"))</f>
        <v/>
      </c>
      <c r="W103" s="76">
        <f>_xlfn.CONCAT(D103:E103)</f>
        <v/>
      </c>
      <c r="X103" s="77" t="n">
        <v>46273</v>
      </c>
      <c r="Y103" s="78">
        <f>IF(X103="","Aberto","Encerrado")</f>
        <v/>
      </c>
      <c r="Z103" s="78">
        <f>IF(OR(L103="PENDENTE",L103="EM ANDAMENTO",L103="PENDENTE APROVAÇÃO CANCELAMENTO NF"),TODAY()-O103,X103-O103)</f>
        <v/>
      </c>
      <c r="AA103" s="78">
        <f>IF(Y103="Aberto",Z103+ROW()/100000,"")</f>
        <v/>
      </c>
      <c r="AB103" s="2">
        <f>IF(ISNUMBER(FIND("@cielo.com.br",S103)),"Interno","Externo")</f>
        <v/>
      </c>
      <c r="AC103" t="inlineStr">
        <is>
          <t>Solicitar informação administrativa genérica.</t>
        </is>
      </c>
      <c r="AD103" t="inlineStr">
        <is>
          <t>contato + financeiro</t>
        </is>
      </c>
      <c r="AE103" t="inlineStr">
        <is>
          <t>Informações gerais</t>
        </is>
      </c>
      <c r="AF103" t="inlineStr">
        <is>
          <t>Informação/Atendimento</t>
        </is>
      </c>
      <c r="AG103" t="inlineStr">
        <is>
          <t>Atendimento Administrativo e Suporte</t>
        </is>
      </c>
      <c r="AI103" t="inlineStr">
        <is>
          <t>INT_ADM_INFORMACAO</t>
        </is>
      </c>
      <c r="AJ103" t="inlineStr">
        <is>
          <t>Sugerida</t>
        </is>
      </c>
      <c r="AK103" t="b">
        <v>0</v>
      </c>
      <c r="AN103">
        <f>IF(OR(AG103="",AM103=""),"",IF(AG103=AM103,"SIM","NÃO"))</f>
        <v/>
      </c>
      <c r="AO103" t="inlineStr">
        <is>
          <t>CLASSIFIED_PATTERN</t>
        </is>
      </c>
    </row>
    <row r="104" ht="15.5" customHeight="1">
      <c r="A104" s="1" t="n"/>
      <c r="B104" s="67" t="inlineStr">
        <is>
          <t>Emilly Maria</t>
        </is>
      </c>
      <c r="C104" s="70">
        <f>VLOOKUP(I:I,'Referencias '!H:I,2,0)</f>
        <v/>
      </c>
      <c r="D104" s="71" t="n">
        <v>20997522</v>
      </c>
      <c r="E104" s="71" t="n">
        <v>0</v>
      </c>
      <c r="F104" s="72" t="n">
        <v>0</v>
      </c>
      <c r="G104" s="72">
        <f>T104</f>
        <v/>
      </c>
      <c r="H104" s="72">
        <f>TRIM(_xlfn.TEXTBEFORE(_xlfn.TEXTAFTER(U104,"CNPJ/CPF:&lt;/strong&gt;"),"&lt;/p&gt;"))</f>
        <v/>
      </c>
      <c r="I104" s="70" t="inlineStr">
        <is>
          <t>Cancelamento de NF / reemissão</t>
        </is>
      </c>
      <c r="J104" s="72" t="n"/>
      <c r="K104" s="72" t="n"/>
      <c r="L104" s="70" t="inlineStr">
        <is>
          <t>FINALIZADO</t>
        </is>
      </c>
      <c r="M104" s="73" t="inlineStr">
        <is>
          <t>Médio</t>
        </is>
      </c>
      <c r="N104" s="71" t="inlineStr">
        <is>
          <t>1018 Financeiro | Desejo falar com o setor financeiro | INFRACOMMERCE TATIX COMERCIO E PARTICIPACOES LTDA | ariane.pasilva@cielo.com.br</t>
        </is>
      </c>
      <c r="O104" s="74" t="n">
        <v>46118</v>
      </c>
      <c r="P104" s="123" t="n">
        <v>46118</v>
      </c>
      <c r="Q104" s="177">
        <f>TEXT(O104,"mmm/aaaa")</f>
        <v/>
      </c>
      <c r="R104" s="71" t="inlineStr">
        <is>
          <t>ECOMMERCE BP SUPORTE FINANCEIRO N2</t>
        </is>
      </c>
      <c r="S104" s="71" t="inlineStr">
        <is>
          <t>ariane.pasilva@cielo.com.br</t>
        </is>
      </c>
      <c r="T104" s="71" t="inlineStr">
        <is>
          <t>PRODUTO SH</t>
        </is>
      </c>
      <c r="U104" s="71" t="inlineStr">
        <is>
          <t xml:space="preserve">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
NFS a serem canceladas: 24 – todas emitidas após 28/03/2024:
067577
068871
070692
072853
074463
075675
077341
078923
080836
082347
084096
086113
087649
088911
091043
092844
094682
096528
097911
100430
102449
104361
106336
108609&lt;/p&gt;&lt;p&gt;&lt;strong&gt;ID da transação:&lt;/strong&gt; &lt;/p&gt;&lt;p&gt;&lt;strong&gt;Código do erro:&lt;/strong&gt; &lt;/p&gt;&lt;p&gt;&lt;strong&gt;Sobre qual produto ou área deseja falar?:&lt;/strong&gt; Financeiro&lt;/p&gt;&lt;p&gt;&lt;strong&gt;Como podemos te ajudar?:&lt;/strong&gt; </t>
        </is>
      </c>
      <c r="V104" s="71">
        <f>IFERROR(_xlfn.TEXTBEFORE(_xlfn.TEXTAFTER(U104,"Descrição do problema:&lt;/strong"),"&lt;/p&gt;"),_xlfn.TEXTAFTER(U104,"Descrição do problema:&lt;/strong"))</f>
        <v/>
      </c>
      <c r="W104" s="76">
        <f>_xlfn.CONCAT(D104:E104)</f>
        <v/>
      </c>
      <c r="X104" s="77" t="n">
        <v>46226</v>
      </c>
      <c r="Y104" s="78">
        <f>IF(X104="","Aberto","Encerrado")</f>
        <v/>
      </c>
      <c r="Z104" s="78">
        <f>IF(OR(L104="PENDENTE",L104="EM ANDAMENTO",L104="PENDENTE APROVAÇÃO CANCELAMENTO NF"),TODAY()-O104,X104-O104)</f>
        <v/>
      </c>
      <c r="AA104" s="78">
        <f>IF(Y104="Aberto",Z104+ROW()/100000,"")</f>
        <v/>
      </c>
      <c r="AB104" s="2">
        <f>IF(ISNUMBER(FIND("@cielo.com.br",S104)),"Interno","Externo")</f>
        <v/>
      </c>
      <c r="AC104" t="inlineStr">
        <is>
          <t>Cancelar, substituir ou reemitir nota fiscal.</t>
        </is>
      </c>
      <c r="AD104" t="inlineStr">
        <is>
          <t>ACAO:CANCELAR; OBJETO:NOTA_FISCAL</t>
        </is>
      </c>
      <c r="AE104" t="inlineStr">
        <is>
          <t>Cancelamento de NF</t>
        </is>
      </c>
      <c r="AF104" t="inlineStr">
        <is>
          <t>Documento Fiscal</t>
        </is>
      </c>
      <c r="AG104" t="inlineStr">
        <is>
          <t>Cancelamento e Reemissão de Nota Fiscal</t>
        </is>
      </c>
      <c r="AI104" t="inlineStr">
        <is>
          <t>INT_NF_CANCEL_REEMISSAO</t>
        </is>
      </c>
      <c r="AJ104" t="inlineStr">
        <is>
          <t>Sugerida</t>
        </is>
      </c>
      <c r="AK104" t="b">
        <v>0</v>
      </c>
      <c r="AN104">
        <f>IF(OR(AG104="",AM104=""),"",IF(AG104=AM104,"SIM","NÃO"))</f>
        <v/>
      </c>
      <c r="AO104" t="inlineStr">
        <is>
          <t>CLASSIFIED_SIGNATURE</t>
        </is>
      </c>
    </row>
    <row r="105" ht="15.5" customHeight="1">
      <c r="A105" s="1" t="n"/>
      <c r="B105" s="67" t="inlineStr">
        <is>
          <t>Pamela de Sá</t>
        </is>
      </c>
      <c r="C105" s="70">
        <f>VLOOKUP(I:I,'Referencias '!H:I,2,0)</f>
        <v/>
      </c>
      <c r="D105" s="71" t="n">
        <v>21079864</v>
      </c>
      <c r="E105" s="71" t="n">
        <v>0</v>
      </c>
      <c r="F105" s="72" t="n">
        <v>2609717947140</v>
      </c>
      <c r="G105" s="72">
        <f>T105</f>
        <v/>
      </c>
      <c r="H105" s="72">
        <f>TRIM(_xlfn.TEXTBEFORE(_xlfn.TEXTAFTER(U105,"CNPJ/CPF:&lt;/strong&gt;"),"&lt;/p&gt;"))</f>
        <v/>
      </c>
      <c r="I105" s="70" t="inlineStr">
        <is>
          <t>Outros</t>
        </is>
      </c>
      <c r="J105" s="72" t="n"/>
      <c r="K105" s="72" t="n"/>
      <c r="L105" s="70" t="inlineStr">
        <is>
          <t>EM ANDAMENTO</t>
        </is>
      </c>
      <c r="M105" s="73" t="inlineStr">
        <is>
          <t>Médio</t>
        </is>
      </c>
      <c r="N105" s="71" t="inlineStr">
        <is>
          <t>1018 Financeiro | Desejo falar com o setor financeiro | Júlia Angelolozzi | julia.djesus@cielo.com.br</t>
        </is>
      </c>
      <c r="O105" s="74" t="n">
        <v>46119</v>
      </c>
      <c r="P105" s="123" t="n">
        <v>46121</v>
      </c>
      <c r="Q105" s="177">
        <f>TEXT(O105,"mmm/aaaa")</f>
        <v/>
      </c>
      <c r="R105" s="71" t="inlineStr">
        <is>
          <t>ECOMMERCE BP SUPORTE FINANCEIRO N2</t>
        </is>
      </c>
      <c r="S105" s="71" t="inlineStr">
        <is>
          <t>julia.djesus@cielo.com.br</t>
        </is>
      </c>
      <c r="T105" s="71" t="inlineStr">
        <is>
          <t>RIVER SECURITIZADORA</t>
        </is>
      </c>
      <c r="U105" s="71" t="inlineStr">
        <is>
          <t>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t>
        </is>
      </c>
      <c r="V105" s="71">
        <f>IFERROR(_xlfn.TEXTBEFORE(_xlfn.TEXTAFTER(U105,"Descrição do problema:&lt;/strong"),"&lt;/p&gt;"),_xlfn.TEXTAFTER(U105,"Descrição do problema:&lt;/strong"))</f>
        <v/>
      </c>
      <c r="W105" s="76">
        <f>_xlfn.CONCAT(D105:E105)</f>
        <v/>
      </c>
      <c r="X105" s="77" t="n"/>
      <c r="Y105" s="78">
        <f>IF(X105="","Aberto","Encerrado")</f>
        <v/>
      </c>
      <c r="Z105" s="78">
        <f>IF(OR(L105="PENDENTE",L105="EM ANDAMENTO",L105="PENDENTE APROVAÇÃO CANCELAMENTO NF"),TODAY()-O105,X105-O105)</f>
        <v/>
      </c>
      <c r="AA105" s="78">
        <f>IF(Y105="Aberto",Z105+ROW()/100000,"")</f>
        <v/>
      </c>
      <c r="AB105" s="2">
        <f>IF(ISNUMBER(FIND("@cielo.com.br",S105)),"Interno","Externo")</f>
        <v/>
      </c>
      <c r="AC105" t="inlineStr">
        <is>
          <t>Contestar divergência, valor ou critério de cobrança.</t>
        </is>
      </c>
      <c r="AD105" t="inlineStr">
        <is>
          <t>OBJETO:COBRANCA; OBJETO:CONTRATO; CONTEXTO:DIVERGENCIA</t>
        </is>
      </c>
      <c r="AE105" t="inlineStr">
        <is>
          <t>Contestação de cobrança</t>
        </is>
      </c>
      <c r="AF105" t="inlineStr">
        <is>
          <t>Valor Cobrado</t>
        </is>
      </c>
      <c r="AG105" t="inlineStr">
        <is>
          <t>Cobrança e Contestação</t>
        </is>
      </c>
      <c r="AI105" t="inlineStr">
        <is>
          <t>INT_COB_CONTESTACAO</t>
        </is>
      </c>
      <c r="AJ105" t="inlineStr">
        <is>
          <t>Sugerida</t>
        </is>
      </c>
      <c r="AK105" t="b">
        <v>0</v>
      </c>
      <c r="AN105">
        <f>IF(OR(AG105="",AM105=""),"",IF(AG105=AM105,"SIM","NÃO"))</f>
        <v/>
      </c>
      <c r="AO105" t="inlineStr">
        <is>
          <t>CLASSIFIED_SIGNATURE</t>
        </is>
      </c>
    </row>
    <row r="106" ht="15.5" customHeight="1">
      <c r="A106" s="1" t="n"/>
      <c r="B106" s="67" t="inlineStr">
        <is>
          <t>Stephany Lima</t>
        </is>
      </c>
      <c r="C106" s="70">
        <f>VLOOKUP(I:I,'Referencias '!H:I,2,0)</f>
        <v/>
      </c>
      <c r="D106" s="71" t="n">
        <v>21124852</v>
      </c>
      <c r="E106" s="71" t="n">
        <v>0</v>
      </c>
      <c r="F106" s="72" t="n">
        <v>0</v>
      </c>
      <c r="G106" s="72">
        <f>T106</f>
        <v/>
      </c>
      <c r="H106" s="72">
        <f>TRIM(_xlfn.TEXTBEFORE(_xlfn.TEXTAFTER(U106,"CNPJ/CPF:&lt;/strong&gt;"),"&lt;/p&gt;"))</f>
        <v/>
      </c>
      <c r="I106" s="70" t="inlineStr">
        <is>
          <t>Cancelamento de NF / reemissão</t>
        </is>
      </c>
      <c r="J106" s="72" t="n"/>
      <c r="K106" s="72" t="n"/>
      <c r="L106" s="70" t="inlineStr">
        <is>
          <t>FINALIZADO</t>
        </is>
      </c>
      <c r="M106" s="73" t="inlineStr">
        <is>
          <t>Médio</t>
        </is>
      </c>
      <c r="N106" s="71" t="inlineStr">
        <is>
          <t>1003 Gateway de Pagamento | Configurações da loja | Júlia Angelozzi | julia.djesus@cielo.com.br</t>
        </is>
      </c>
      <c r="O106" s="74" t="n">
        <v>46120</v>
      </c>
      <c r="P106" s="123" t="n">
        <v>46147</v>
      </c>
      <c r="Q106" s="177">
        <f>TEXT(O106,"mmm/aaaa")</f>
        <v/>
      </c>
      <c r="R106" s="71" t="inlineStr">
        <is>
          <t>FABIANA DE JESUS MARTINS LISBOA</t>
        </is>
      </c>
      <c r="S106" s="71" t="inlineStr">
        <is>
          <t>julia.djesus@cielo.com.br</t>
        </is>
      </c>
      <c r="T106" s="71" t="inlineStr">
        <is>
          <t>FAROL COMUNICACAO E SERVICOS</t>
        </is>
      </c>
      <c r="U106" s="71" t="inlineStr">
        <is>
          <t xml:space="preserve">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
CNPJ da Conta: 21.011.165/0001-39
- </t>
        </is>
      </c>
      <c r="V106" s="71">
        <f>IFERROR(_xlfn.TEXTBEFORE(_xlfn.TEXTAFTER(U106,"Descrição do problema:&lt;/strong"),"&lt;/p&gt;"),_xlfn.TEXTAFTER(U106,"Descrição do problema:&lt;/strong"))</f>
        <v/>
      </c>
      <c r="W106" s="76">
        <f>_xlfn.CONCAT(D106:E106)</f>
        <v/>
      </c>
      <c r="X106" s="77" t="n">
        <v>46217</v>
      </c>
      <c r="Y106" s="78">
        <f>IF(X106="","Aberto","Encerrado")</f>
        <v/>
      </c>
      <c r="Z106" s="78">
        <f>IF(OR(L106="PENDENTE",L106="EM ANDAMENTO",L106="PENDENTE APROVAÇÃO CANCELAMENTO NF"),TODAY()-O106,X106-O106)</f>
        <v/>
      </c>
      <c r="AA106" s="78">
        <f>IF(Y106="Aberto",Z106+ROW()/100000,"")</f>
        <v/>
      </c>
      <c r="AB106" s="2">
        <f>IF(ISNUMBER(FIND("@cielo.com.br",S106)),"Interno","Externo")</f>
        <v/>
      </c>
      <c r="AC106" t="inlineStr">
        <is>
          <t>Cancelar contrato, serviço ou produto contratado.</t>
        </is>
      </c>
      <c r="AD106" t="inlineStr">
        <is>
          <t>cancelamento dos serviços; cliente solicitou o cancelamento</t>
        </is>
      </c>
      <c r="AE106" t="inlineStr">
        <is>
          <t>Cancelamento de contrato</t>
        </is>
      </c>
      <c r="AF106" t="inlineStr">
        <is>
          <t>Contrato/Cadastro</t>
        </is>
      </c>
      <c r="AG106" t="inlineStr">
        <is>
          <t>Contratos, Comercial e Cadastro</t>
        </is>
      </c>
      <c r="AI106" t="inlineStr">
        <is>
          <t>INT_CON_CANCELAMENTO</t>
        </is>
      </c>
      <c r="AJ106" t="inlineStr">
        <is>
          <t>Sugerida</t>
        </is>
      </c>
      <c r="AK106" t="b">
        <v>0</v>
      </c>
      <c r="AN106">
        <f>IF(OR(AG106="",AM106=""),"",IF(AG106=AM106,"SIM","NÃO"))</f>
        <v/>
      </c>
      <c r="AO106" t="inlineStr">
        <is>
          <t>CLASSIFIED_PATTERN</t>
        </is>
      </c>
    </row>
    <row r="107" ht="15.5" customHeight="1">
      <c r="A107" s="1" t="inlineStr">
        <is>
          <t>Aberto antigos</t>
        </is>
      </c>
      <c r="B107" s="67" t="inlineStr">
        <is>
          <t>Stephany Lima</t>
        </is>
      </c>
      <c r="C107" s="70">
        <f>VLOOKUP(I:I,'Referencias '!H:I,2,0)</f>
        <v/>
      </c>
      <c r="D107" s="71" t="n">
        <v>21195472</v>
      </c>
      <c r="E107" s="71" t="n">
        <v>0</v>
      </c>
      <c r="F107" s="72" t="n">
        <v>2610009024222</v>
      </c>
      <c r="G107" s="72">
        <f>VLOOKUP(H:H,'Referencias '!B:C,2,0)</f>
        <v/>
      </c>
      <c r="H107" s="72">
        <f>TRIM(_xlfn.TEXTBEFORE(_xlfn.TEXTAFTER(U107,"CNPJ/CPF:&lt;/strong&gt;"),"&lt;/p&gt;"))</f>
        <v/>
      </c>
      <c r="I107" s="70" t="inlineStr">
        <is>
          <t>Carta de quitação / circularização</t>
        </is>
      </c>
      <c r="J107" s="72" t="inlineStr">
        <is>
          <t xml:space="preserve">carta de quitação </t>
        </is>
      </c>
      <c r="K107" s="72" t="n"/>
      <c r="L107" s="70" t="inlineStr">
        <is>
          <t>EM ANDAMENTO</t>
        </is>
      </c>
      <c r="M107" s="73" t="inlineStr">
        <is>
          <t>Alta</t>
        </is>
      </c>
      <c r="N107" s="71" t="inlineStr">
        <is>
          <t>1018 Financeiro | Desejo falar com o setor financeiro | CSX ACADEMIA DE EDUCACAO FISICA LTD | ariane.pasilva@cielo.com.br</t>
        </is>
      </c>
      <c r="O107" s="74" t="n">
        <v>46122</v>
      </c>
      <c r="P107" s="123" t="inlineStr">
        <is>
          <t>13/04/2026</t>
        </is>
      </c>
      <c r="Q107" s="177">
        <f>TEXT(O107,"mmm/aaaa")</f>
        <v/>
      </c>
      <c r="R107" s="71" t="inlineStr">
        <is>
          <t>FABIANA DE JESUS MARTINS LISBOA</t>
        </is>
      </c>
      <c r="S107" s="71" t="inlineStr">
        <is>
          <t>ariane.pasilva@cielo.com.br</t>
        </is>
      </c>
      <c r="T107" s="71" t="inlineStr">
        <is>
          <t>CSX ACADEMIA DE CONDICIONAMENTO</t>
        </is>
      </c>
      <c r="U107" s="71" t="inlineStr">
        <is>
          <t>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
070259
073898
075899
069664
080497
082696
077870
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t>
        </is>
      </c>
      <c r="V107" s="71">
        <f>IFERROR(_xlfn.TEXTBEFORE(_xlfn.TEXTAFTER(U107,"Descrição do problema:&lt;/strong"),"&lt;/p&gt;"),_xlfn.TEXTAFTER(U107,"Descrição do problema:&lt;/strong"))</f>
        <v/>
      </c>
      <c r="W107" s="76">
        <f>_xlfn.CONCAT(D107:E107)</f>
        <v/>
      </c>
      <c r="X107" s="77" t="n"/>
      <c r="Y107" s="78">
        <f>IF(X107="","Aberto","Encerrado")</f>
        <v/>
      </c>
      <c r="Z107" s="78">
        <f>IF(OR(L107="PENDENTE",L107="EM ANDAMENTO",L107="PENDENTE APROVAÇÃO CANCELAMENTO NF"),TODAY()-O107,X107-O107)</f>
        <v/>
      </c>
      <c r="AA107" s="78">
        <f>IF(Y107="Aberto",Z107+ROW()/100000,"")</f>
        <v/>
      </c>
      <c r="AB107" s="2">
        <f>IF(ISNUMBER(FIND("@cielo.com.br",S107)),"Interno","Externo")</f>
        <v/>
      </c>
      <c r="AC107" t="inlineStr">
        <is>
          <t>Solicitar documento administrativo.</t>
        </is>
      </c>
      <c r="AD107" t="inlineStr">
        <is>
          <t>carta de quitação</t>
        </is>
      </c>
      <c r="AE107" t="inlineStr">
        <is>
          <t>Reenvio de informação</t>
        </is>
      </c>
      <c r="AF107" t="inlineStr">
        <is>
          <t>Informação/Atendimento</t>
        </is>
      </c>
      <c r="AG107" t="inlineStr">
        <is>
          <t>Atendimento Administrativo e Suporte</t>
        </is>
      </c>
      <c r="AI107" t="inlineStr">
        <is>
          <t>INT_ADM_DOCUMENTOS</t>
        </is>
      </c>
      <c r="AJ107" t="inlineStr">
        <is>
          <t>Sugerida</t>
        </is>
      </c>
      <c r="AK107" t="b">
        <v>0</v>
      </c>
      <c r="AN107">
        <f>IF(OR(AG107="",AM107=""),"",IF(AG107=AM107,"SIM","NÃO"))</f>
        <v/>
      </c>
      <c r="AO107" t="inlineStr">
        <is>
          <t>CLASSIFIED_PATTERN</t>
        </is>
      </c>
    </row>
    <row r="108" ht="15.5" customHeight="1">
      <c r="A108" s="1" t="n"/>
      <c r="B108" s="67" t="inlineStr">
        <is>
          <t>Stephany Lima</t>
        </is>
      </c>
      <c r="C108" s="70">
        <f>VLOOKUP(I:I,'Referencias '!H:I,2,0)</f>
        <v/>
      </c>
      <c r="D108" s="71" t="n">
        <v>21249982</v>
      </c>
      <c r="E108" s="71" t="n">
        <v>0</v>
      </c>
      <c r="F108" s="72" t="n">
        <v>0</v>
      </c>
      <c r="G108" s="72">
        <f>VLOOKUP(H:H,'Referencias '!B:C,2,0)</f>
        <v/>
      </c>
      <c r="H108" s="72">
        <f>TRIM(_xlfn.TEXTBEFORE(_xlfn.TEXTAFTER(U108,"CNPJ/CPF:&lt;/strong&gt;"),"&lt;/p&gt;"))</f>
        <v/>
      </c>
      <c r="I108" s="70" t="inlineStr">
        <is>
          <t>Cancelamento de NF / reemissão</t>
        </is>
      </c>
      <c r="J108" s="72" t="n"/>
      <c r="K108" s="72" t="n"/>
      <c r="L108" s="70" t="inlineStr">
        <is>
          <t>FINALIZADO</t>
        </is>
      </c>
      <c r="M108" s="73" t="inlineStr">
        <is>
          <t>Médio</t>
        </is>
      </c>
      <c r="N108" s="71" t="inlineStr">
        <is>
          <t>1018 Financeiro | Desejo falar com o setor financeiro | PAGUEVELOZ INSTITUICAO DE PAGAMENTO | ariane.pasilva@cielo.com.br</t>
        </is>
      </c>
      <c r="O108" s="74" t="n">
        <v>46125</v>
      </c>
      <c r="P108" s="123" t="n">
        <v>46162</v>
      </c>
      <c r="Q108" s="177">
        <f>TEXT(O108,"mmm/aaaa")</f>
        <v/>
      </c>
      <c r="R108" s="71" t="inlineStr">
        <is>
          <t>STEPHANY LIMA DE LISBOA</t>
        </is>
      </c>
      <c r="S108" s="71" t="inlineStr">
        <is>
          <t>ariane.pasilva@cielo.com.br</t>
        </is>
      </c>
      <c r="T108" s="71" t="inlineStr">
        <is>
          <t>PAGUEVELOZ</t>
        </is>
      </c>
      <c r="U108" s="71" t="inlineStr">
        <is>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
Por favor, seguir com a substituição da NF107209.
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t>
        </is>
      </c>
      <c r="V108" s="71">
        <f>IFERROR(_xlfn.TEXTBEFORE(_xlfn.TEXTAFTER(U108,"Descrição do problema:&lt;/strong"),"&lt;/p&gt;"),_xlfn.TEXTAFTER(U108,"Descrição do problema:&lt;/strong"))</f>
        <v/>
      </c>
      <c r="W108" s="76">
        <f>_xlfn.CONCAT(D108:E108)</f>
        <v/>
      </c>
      <c r="X108" s="77" t="n">
        <v>46216</v>
      </c>
      <c r="Y108" s="78">
        <f>IF(X108="","Aberto","Encerrado")</f>
        <v/>
      </c>
      <c r="Z108" s="78">
        <f>IF(OR(L108="PENDENTE",L108="EM ANDAMENTO",L108="PENDENTE APROVAÇÃO CANCELAMENTO NF"),TODAY()-O108,X108-O108)</f>
        <v/>
      </c>
      <c r="AA108" s="78">
        <f>IF(Y108="Aberto",Z108+ROW()/100000,"")</f>
        <v/>
      </c>
      <c r="AB108" s="2">
        <f>IF(ISNUMBER(FIND("@cielo.com.br",S108)),"Interno","Externo")</f>
        <v/>
      </c>
      <c r="AC108" t="inlineStr">
        <is>
          <t>Corrigir dados fiscais ou incluir PO por carta de correção.</t>
        </is>
      </c>
      <c r="AD108" t="inlineStr">
        <is>
          <t>constar + po + nf</t>
        </is>
      </c>
      <c r="AE108" t="inlineStr">
        <is>
          <t>Inclusão de PO em NF</t>
        </is>
      </c>
      <c r="AF108" t="inlineStr">
        <is>
          <t>Parâmetro de Faturamento</t>
        </is>
      </c>
      <c r="AG108" t="inlineStr">
        <is>
          <t>Faturamento e Obrigações Fiscais</t>
        </is>
      </c>
      <c r="AI108" t="inlineStr">
        <is>
          <t>INT_FAT_CORRECAO_PO</t>
        </is>
      </c>
      <c r="AJ108" t="inlineStr">
        <is>
          <t>Sugerida</t>
        </is>
      </c>
      <c r="AK108" t="b">
        <v>0</v>
      </c>
      <c r="AN108">
        <f>IF(OR(AG108="",AM108=""),"",IF(AG108=AM108,"SIM","NÃO"))</f>
        <v/>
      </c>
      <c r="AO108" t="inlineStr">
        <is>
          <t>CLASSIFIED_PATTERN</t>
        </is>
      </c>
    </row>
    <row r="109" ht="15.5" customHeight="1">
      <c r="A109" s="1" t="n"/>
      <c r="B109" s="67" t="inlineStr">
        <is>
          <t>Fabiana Lisboa</t>
        </is>
      </c>
      <c r="C109" s="70">
        <f>VLOOKUP(I:I,'Referencias '!H:I,2,0)</f>
        <v/>
      </c>
      <c r="D109" s="71" t="n">
        <v>21338462</v>
      </c>
      <c r="E109" s="71" t="n">
        <v>0</v>
      </c>
      <c r="F109" s="72" t="n">
        <v>0</v>
      </c>
      <c r="G109" s="72">
        <f>T109</f>
        <v/>
      </c>
      <c r="H109" s="72">
        <f>TRIM(_xlfn.TEXTBEFORE(_xlfn.TEXTAFTER(U109,"CNPJ/CPF:&lt;/strong&gt;"),"&lt;/p&gt;"))</f>
        <v/>
      </c>
      <c r="I109" s="70" t="inlineStr">
        <is>
          <t>Cancelamento de contrato</t>
        </is>
      </c>
      <c r="J109" s="72" t="n"/>
      <c r="K109" s="72" t="n"/>
      <c r="L109" s="70" t="inlineStr">
        <is>
          <t>FINALIZADO</t>
        </is>
      </c>
      <c r="M109" s="73" t="inlineStr">
        <is>
          <t>Médio</t>
        </is>
      </c>
      <c r="N109" s="71" t="inlineStr">
        <is>
          <t>1018 Financeiro | Desejo falar com o setor financeiro | Michelle Eleve Life | financeiro01@elevelife.com.br</t>
        </is>
      </c>
      <c r="O109" s="74" t="n">
        <v>46126</v>
      </c>
      <c r="P109" s="123" t="n">
        <v>46147</v>
      </c>
      <c r="Q109" s="177">
        <f>TEXT(O109,"mmm/aaaa")</f>
        <v/>
      </c>
      <c r="R109" s="71" t="inlineStr">
        <is>
          <t>ECOMMERCE BP SUPORTE FINANCEIRO N2</t>
        </is>
      </c>
      <c r="S109" s="71" t="inlineStr">
        <is>
          <t>financeiro01@elevelife.com.br</t>
        </is>
      </c>
      <c r="T109" s="71" t="inlineStr">
        <is>
          <t>ELEVE</t>
        </is>
      </c>
      <c r="U109" s="71" t="inlineStr">
        <is>
          <t>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
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t>
        </is>
      </c>
      <c r="V109" s="71">
        <f>IFERROR(_xlfn.TEXTBEFORE(_xlfn.TEXTAFTER(U109,"Descrição do problema:&lt;/strong"),"&lt;/p&gt;"),_xlfn.TEXTAFTER(U109,"Descrição do problema:&lt;/strong"))</f>
        <v/>
      </c>
      <c r="W109" s="76">
        <f>_xlfn.CONCAT(D109:E109)</f>
        <v/>
      </c>
      <c r="X109" s="77" t="n">
        <v>46226</v>
      </c>
      <c r="Y109" s="78">
        <f>IF(X109="","Aberto","Encerrado")</f>
        <v/>
      </c>
      <c r="Z109" s="78">
        <f>IF(OR(L109="PENDENTE",L109="EM ANDAMENTO",L109="PENDENTE APROVAÇÃO CANCELAMENTO NF"),TODAY()-O109,X109-O109)</f>
        <v/>
      </c>
      <c r="AA109" s="78">
        <f>IF(Y109="Aberto",Z109+ROW()/100000,"")</f>
        <v/>
      </c>
      <c r="AB109" s="2">
        <f>IF(ISNUMBER(FIND("@cielo.com.br",S109)),"Interno","Externo")</f>
        <v/>
      </c>
      <c r="AD109" t="inlineStr">
        <is>
          <t>ACAO:CANCELAR; OBJETO:BOLETO; OBJETO:CONTRATO; OBJETO:NOTA_FISCAL</t>
        </is>
      </c>
      <c r="AJ109" t="inlineStr">
        <is>
          <t>Ambígua</t>
        </is>
      </c>
      <c r="AK109" t="b">
        <v>1</v>
      </c>
      <c r="AN109">
        <f>IF(OR(AG109="",AM109=""),"",IF(AG109=AM109,"SIM","NÃO"))</f>
        <v/>
      </c>
      <c r="AO109" t="inlineStr">
        <is>
          <t>AMBIGUOUS_CAUSE</t>
        </is>
      </c>
    </row>
    <row r="110" ht="15.5" customHeight="1">
      <c r="A110" s="1" t="n"/>
      <c r="B110" s="67" t="inlineStr">
        <is>
          <t>Stephany Lima</t>
        </is>
      </c>
      <c r="C110" s="70">
        <f>VLOOKUP(I:I,'Referencias '!H:I,2,0)</f>
        <v/>
      </c>
      <c r="D110" s="71" t="n">
        <v>21310956</v>
      </c>
      <c r="E110" s="71" t="n">
        <v>0</v>
      </c>
      <c r="F110" s="72" t="n">
        <v>0</v>
      </c>
      <c r="G110" s="72">
        <f>VLOOKUP(H:H,'Referencias '!B:C,2,0)</f>
        <v/>
      </c>
      <c r="H110" s="72">
        <f>TRIM(_xlfn.TEXTBEFORE(_xlfn.TEXTAFTER(U110,"CNPJ/CPF:&lt;/strong&gt;"),"&lt;/p&gt;"))</f>
        <v/>
      </c>
      <c r="I110" s="70" t="inlineStr">
        <is>
          <t>Reenvio de boleto / NF</t>
        </is>
      </c>
      <c r="J110" s="72" t="n"/>
      <c r="K110" s="72" t="n"/>
      <c r="L110" s="70" t="inlineStr">
        <is>
          <t>FINALIZADO</t>
        </is>
      </c>
      <c r="M110" s="73" t="inlineStr">
        <is>
          <t>Médio</t>
        </is>
      </c>
      <c r="N110" s="71" t="inlineStr">
        <is>
          <t>1018 Financeiro | Desejo falar com o setor financeiro | Mariane Oliveira dos Santos | mariane.santos@cielo.com.br</t>
        </is>
      </c>
      <c r="O110" s="74" t="n">
        <v>46126</v>
      </c>
      <c r="P110" s="123" t="n">
        <v>46153</v>
      </c>
      <c r="Q110" s="177">
        <f>TEXT(O110,"mmm/aaaa")</f>
        <v/>
      </c>
      <c r="R110" s="71" t="inlineStr">
        <is>
          <t>STEPHANY LIMA DE LISBOA</t>
        </is>
      </c>
      <c r="S110" s="71" t="inlineStr">
        <is>
          <t>mariane.santos@cielo.com.br</t>
        </is>
      </c>
      <c r="T110" s="71" t="inlineStr">
        <is>
          <t>CEA MODAS SA</t>
        </is>
      </c>
      <c r="U110" s="71" t="inlineStr">
        <is>
          <t>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
C&amp;amp;A me procurou dizendo que o prazo de pagamento das faturas não está cumprindo o contrato.
Identificamos que os últimos documentos emitidos não tiveram a observância do prazo de 90 dias acordados.
A diferença de dias foi questionada, inclusive pelo nosso time de Tesouraria. 
Abaixo segue exemplo.
NF 0106944 e boletos, emitidos em 02/02/26, venc</t>
        </is>
      </c>
      <c r="V110" s="71">
        <f>IFERROR(_xlfn.TEXTBEFORE(_xlfn.TEXTAFTER(U110,"Descrição do problema:&lt;/strong"),"&lt;/p&gt;"),_xlfn.TEXTAFTER(U110,"Descrição do problema:&lt;/strong"))</f>
        <v/>
      </c>
      <c r="W110" s="76">
        <f>_xlfn.CONCAT(D110:E110)</f>
        <v/>
      </c>
      <c r="X110" s="77" t="n">
        <v>46216</v>
      </c>
      <c r="Y110" s="78">
        <f>IF(X110="","Aberto","Encerrado")</f>
        <v/>
      </c>
      <c r="Z110" s="78">
        <f>IF(OR(L110="PENDENTE",L110="EM ANDAMENTO",L110="PENDENTE APROVAÇÃO CANCELAMENTO NF"),TODAY()-O110,X110-O110)</f>
        <v/>
      </c>
      <c r="AA110" s="78">
        <f>IF(Y110="Aberto",Z110+ROW()/100000,"")</f>
        <v/>
      </c>
      <c r="AB110" s="2">
        <f>IF(ISNUMBER(FIND("@cielo.com.br",S110)),"Interno","Externo")</f>
        <v/>
      </c>
      <c r="AC110" t="inlineStr">
        <is>
          <t>Contestar divergência, valor ou critério de cobrança.</t>
        </is>
      </c>
      <c r="AD110" t="inlineStr">
        <is>
          <t>OBJETO:BOLETO; OBJETO:COBRANCA; OBJETO:CONTRATO; OBJETO:NOTA_FISCAL; CONTEXTO:DIVERGENCIA</t>
        </is>
      </c>
      <c r="AE110" t="inlineStr">
        <is>
          <t>Contestação de cobrança</t>
        </is>
      </c>
      <c r="AF110" t="inlineStr">
        <is>
          <t>Valor Cobrado</t>
        </is>
      </c>
      <c r="AG110" t="inlineStr">
        <is>
          <t>Cobrança e Contestação</t>
        </is>
      </c>
      <c r="AI110" t="inlineStr">
        <is>
          <t>INT_COB_CONTESTACAO</t>
        </is>
      </c>
      <c r="AJ110" t="inlineStr">
        <is>
          <t>Sugerida</t>
        </is>
      </c>
      <c r="AK110" t="b">
        <v>0</v>
      </c>
      <c r="AN110">
        <f>IF(OR(AG110="",AM110=""),"",IF(AG110=AM110,"SIM","NÃO"))</f>
        <v/>
      </c>
      <c r="AO110" t="inlineStr">
        <is>
          <t>CLASSIFIED_SIGNATURE</t>
        </is>
      </c>
    </row>
    <row r="111" ht="15.5" customHeight="1">
      <c r="A111" s="1" t="n"/>
      <c r="B111" s="67" t="inlineStr">
        <is>
          <t>Emilly Maria</t>
        </is>
      </c>
      <c r="C111" s="70">
        <f>VLOOKUP(I:I,'Referencias '!H:I,2,0)</f>
        <v/>
      </c>
      <c r="D111" s="71" t="n">
        <v>21396645</v>
      </c>
      <c r="E111" s="71" t="n">
        <v>0</v>
      </c>
      <c r="F111" s="72" t="n">
        <v>0</v>
      </c>
      <c r="G111" s="72">
        <f>T111</f>
        <v/>
      </c>
      <c r="H111" s="72">
        <f>TRIM(_xlfn.TEXTBEFORE(_xlfn.TEXTAFTER(U111,"CNPJ/CPF:&lt;/strong&gt;"),"&lt;/p&gt;"))</f>
        <v/>
      </c>
      <c r="I111" s="70" t="inlineStr">
        <is>
          <t>Cancelamento de NF / reemissão</t>
        </is>
      </c>
      <c r="J111" s="72" t="n"/>
      <c r="K111" s="72" t="n"/>
      <c r="L111" s="70" t="inlineStr">
        <is>
          <t>FINALIZADO</t>
        </is>
      </c>
      <c r="M111" s="73" t="inlineStr">
        <is>
          <t>Médio</t>
        </is>
      </c>
      <c r="N111" s="71" t="inlineStr">
        <is>
          <t>1018 Financeiro | Desejo falar com o setor financeiro | Júlia Angelozzi | julia.djesus@cielo.com.br</t>
        </is>
      </c>
      <c r="O111" s="74" t="n">
        <v>46127</v>
      </c>
      <c r="P111" s="123" t="n">
        <v>46135</v>
      </c>
      <c r="Q111" s="177">
        <f>TEXT(O111,"mmm/aaaa")</f>
        <v/>
      </c>
      <c r="R111" s="71" t="inlineStr">
        <is>
          <t>ECOMMERCE BP SUPORTE FINANCEIRO N2</t>
        </is>
      </c>
      <c r="S111" s="71" t="inlineStr">
        <is>
          <t>julia.djesus@cielo.com.br</t>
        </is>
      </c>
      <c r="T111" s="71" t="inlineStr">
        <is>
          <t>RIVER SECURITIZADORA</t>
        </is>
      </c>
      <c r="U111" s="71"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
PATAGONIA COMERCIO DIGITAL LTDA, CNPJ CNPJ
37.030.090/0001-73. Recentemente, eles formalizaram o pedido de cancelamento dos serviços contratados, todavia, adiamos essa ação na tentativa de reverter o cliente e estamos com algumas NF´s pendentes atrelados ao Antifraud</t>
        </is>
      </c>
      <c r="V111" s="71">
        <f>IFERROR(_xlfn.TEXTBEFORE(_xlfn.TEXTAFTER(U111,"Descrição do problema:&lt;/strong"),"&lt;/p&gt;"),_xlfn.TEXTAFTER(U111,"Descrição do problema:&lt;/strong"))</f>
        <v/>
      </c>
      <c r="W111" s="76">
        <f>_xlfn.CONCAT(D111:E111)</f>
        <v/>
      </c>
      <c r="X111" s="77" t="n">
        <v>46220</v>
      </c>
      <c r="Y111" s="78">
        <f>IF(X111="","Aberto","Encerrado")</f>
        <v/>
      </c>
      <c r="Z111" s="78">
        <f>IF(OR(L111="PENDENTE",L111="EM ANDAMENTO",L111="PENDENTE APROVAÇÃO CANCELAMENTO NF"),TODAY()-O111,X111-O111)</f>
        <v/>
      </c>
      <c r="AA111" s="78">
        <f>IF(Y111="Aberto",Z111+ROW()/100000,"")</f>
        <v/>
      </c>
      <c r="AB111" s="2">
        <f>IF(ISNUMBER(FIND("@cielo.com.br",S111)),"Interno","Externo")</f>
        <v/>
      </c>
      <c r="AC111" t="inlineStr">
        <is>
          <t>Cancelar, substituir ou reemitir nota fiscal.</t>
        </is>
      </c>
      <c r="AD111" t="inlineStr">
        <is>
          <t>ACAO:CANCELAR; OBJETO:NOTA_FISCAL</t>
        </is>
      </c>
      <c r="AE111" t="inlineStr">
        <is>
          <t>Cancelamento de NF</t>
        </is>
      </c>
      <c r="AF111" t="inlineStr">
        <is>
          <t>Documento Fiscal</t>
        </is>
      </c>
      <c r="AG111" t="inlineStr">
        <is>
          <t>Cancelamento e Reemissão de Nota Fiscal</t>
        </is>
      </c>
      <c r="AI111" t="inlineStr">
        <is>
          <t>INT_NF_CANCEL_REEMISSAO</t>
        </is>
      </c>
      <c r="AJ111" t="inlineStr">
        <is>
          <t>Sugerida</t>
        </is>
      </c>
      <c r="AK111" t="b">
        <v>0</v>
      </c>
      <c r="AN111">
        <f>IF(OR(AG111="",AM111=""),"",IF(AG111=AM111,"SIM","NÃO"))</f>
        <v/>
      </c>
      <c r="AO111" t="inlineStr">
        <is>
          <t>CLASSIFIED_SIGNATURE</t>
        </is>
      </c>
    </row>
    <row r="112" ht="15.5" customHeight="1">
      <c r="A112" s="1" t="n"/>
      <c r="B112" s="67" t="inlineStr">
        <is>
          <t>Emilly Maria</t>
        </is>
      </c>
      <c r="C112" s="70">
        <f>VLOOKUP(I:I,'Referencias '!H:I,2,0)</f>
        <v/>
      </c>
      <c r="D112" s="71" t="n">
        <v>21362802</v>
      </c>
      <c r="E112" s="71" t="n">
        <v>0</v>
      </c>
      <c r="F112" s="72" t="n">
        <v>0</v>
      </c>
      <c r="G112" s="72">
        <f>VLOOKUP(H:H,'Referencias '!B:C,2,0)</f>
        <v/>
      </c>
      <c r="H112" s="72">
        <f>TRIM(_xlfn.TEXTBEFORE(_xlfn.TEXTAFTER(U112,"CNPJ/CPF:&lt;/strong&gt;"),"&lt;/p&gt;"))</f>
        <v/>
      </c>
      <c r="I112" s="70" t="inlineStr">
        <is>
          <t>Cancelamento de NF / reemissão</t>
        </is>
      </c>
      <c r="J112" s="72" t="n"/>
      <c r="K112" s="72" t="n"/>
      <c r="L112" s="70" t="inlineStr">
        <is>
          <t>FINALIZADO</t>
        </is>
      </c>
      <c r="M112" s="73" t="inlineStr">
        <is>
          <t>Médio</t>
        </is>
      </c>
      <c r="N112" s="71" t="inlineStr">
        <is>
          <t>1002 Portais E-commerce | Estou com um problema em produção e preciso de ajuda | Cleber de Jesus da Silva | cleberjesus@ibm.com</t>
        </is>
      </c>
      <c r="O112" s="74" t="n">
        <v>46127</v>
      </c>
      <c r="P112" s="123" t="n">
        <v>46211</v>
      </c>
      <c r="Q112" s="177">
        <f>TEXT(O112,"mmm/aaaa")</f>
        <v/>
      </c>
      <c r="R112" s="71" t="inlineStr">
        <is>
          <t>Emilly Maria Sousa Almeida</t>
        </is>
      </c>
      <c r="S112" s="71" t="inlineStr">
        <is>
          <t>cleberjesus@ibm.com</t>
        </is>
      </c>
      <c r="T112" s="71" t="inlineStr"/>
      <c r="U112" s="71" t="inlineStr">
        <is>
          <t>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
Recebemos orientação do time de Accounts Payable informando a necessidade de reemissão da nota fiscal, pois os tributos CBS e IBS estão apresentados apenas de forma consolidada (1%) como valor estimado.
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t>
        </is>
      </c>
      <c r="V112" s="71">
        <f>IFERROR(_xlfn.TEXTBEFORE(_xlfn.TEXTAFTER(U112,"Descrição do problema:&lt;/strong"),"&lt;/p&gt;"),_xlfn.TEXTAFTER(U112,"Descrição do problema:&lt;/strong"))</f>
        <v/>
      </c>
      <c r="W112" s="76">
        <f>_xlfn.CONCAT(D112:E112)</f>
        <v/>
      </c>
      <c r="X112" s="77" t="n">
        <v>46220</v>
      </c>
      <c r="Y112" s="78">
        <f>IF(X112="","Aberto","Encerrado")</f>
        <v/>
      </c>
      <c r="Z112" s="78">
        <f>IF(OR(L112="PENDENTE",L112="EM ANDAMENTO",L112="PENDENTE APROVAÇÃO CANCELAMENTO NF"),TODAY()-O112,X112-O112)</f>
        <v/>
      </c>
      <c r="AA112" s="78">
        <f>IF(Y112="Aberto",Z112+ROW()/100000,"")</f>
        <v/>
      </c>
      <c r="AB112" s="2">
        <f>IF(ISNUMBER(FIND("@cielo.com.br",S112)),"Interno","Externo")</f>
        <v/>
      </c>
      <c r="AC112" t="inlineStr">
        <is>
          <t>Cancelar, substituir ou reemitir nota fiscal.</t>
        </is>
      </c>
      <c r="AD112" t="inlineStr">
        <is>
          <t>ACAO:REEMITIR; OBJETO:NOTA_FISCAL</t>
        </is>
      </c>
      <c r="AE112" t="inlineStr">
        <is>
          <t>Cancelamento de NF</t>
        </is>
      </c>
      <c r="AF112" t="inlineStr">
        <is>
          <t>Documento Fiscal</t>
        </is>
      </c>
      <c r="AG112" t="inlineStr">
        <is>
          <t>Cancelamento e Reemissão de Nota Fiscal</t>
        </is>
      </c>
      <c r="AI112" t="inlineStr">
        <is>
          <t>INT_NF_CANCEL_REEMISSAO</t>
        </is>
      </c>
      <c r="AJ112" t="inlineStr">
        <is>
          <t>Sugerida</t>
        </is>
      </c>
      <c r="AK112" t="b">
        <v>0</v>
      </c>
      <c r="AN112">
        <f>IF(OR(AG112="",AM112=""),"",IF(AG112=AM112,"SIM","NÃO"))</f>
        <v/>
      </c>
      <c r="AO112" t="inlineStr">
        <is>
          <t>CLASSIFIED_SIGNATURE</t>
        </is>
      </c>
    </row>
    <row r="113" ht="15.5" customHeight="1">
      <c r="A113" s="1" t="n"/>
      <c r="B113" s="67" t="inlineStr">
        <is>
          <t>Emilly Maria</t>
        </is>
      </c>
      <c r="C113" s="70">
        <f>VLOOKUP(I:I,'Referencias '!H:I,2,0)</f>
        <v/>
      </c>
      <c r="D113" s="71" t="n">
        <v>21451225</v>
      </c>
      <c r="E113" s="71" t="n">
        <v>0</v>
      </c>
      <c r="F113" s="72" t="n">
        <v>0</v>
      </c>
      <c r="G113" s="72">
        <f>T113</f>
        <v/>
      </c>
      <c r="H113" s="72">
        <f>TRIM(_xlfn.TEXTBEFORE(_xlfn.TEXTAFTER(U113,"CNPJ/CPF:&lt;/strong&gt;"),"&lt;/p&gt;"))</f>
        <v/>
      </c>
      <c r="I113" s="70" t="inlineStr">
        <is>
          <t>Cancelamento de NF / reemissão</t>
        </is>
      </c>
      <c r="J113" s="72" t="n"/>
      <c r="K113" s="72" t="n"/>
      <c r="L113" s="70" t="inlineStr">
        <is>
          <t>FINALIZADO</t>
        </is>
      </c>
      <c r="M113" s="73" t="inlineStr">
        <is>
          <t>Médio</t>
        </is>
      </c>
      <c r="N113" s="71" t="inlineStr">
        <is>
          <t>1018 Financeiro | Desejo falar com o setor financeiro | DOM BEBE COMERCIO DE PRODUTOS LTDA | bordini@cielo.com.br</t>
        </is>
      </c>
      <c r="O113" s="74" t="n">
        <v>46128</v>
      </c>
      <c r="P113" s="123" t="n">
        <v>46129</v>
      </c>
      <c r="Q113" s="177">
        <f>TEXT(O113,"mmm/aaaa")</f>
        <v/>
      </c>
      <c r="R113" s="71" t="inlineStr">
        <is>
          <t>ECOMMERCE BP SUPORTE FINANCEIRO N2</t>
        </is>
      </c>
      <c r="S113" s="71" t="inlineStr">
        <is>
          <t>bordini@cielo.com.br</t>
        </is>
      </c>
      <c r="T113" s="71" t="inlineStr"/>
      <c r="U113" s="71" t="inlineStr">
        <is>
          <t>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
Cliente com contrato cancelado desde o dia 14/01 , multa paga e o mesmo recebeu uma cobrança de antifraude
NF NÚMERO 0111837 
VALOR: R$222,45 
PERIODO DE APURAÇÃO : 01/03/2026 A 31/03/2026. Entendo que essa cobrança é indevida e precisamos cancelar, podem atender a demanda com urgência por gentileza? Cliente veio do banco</t>
        </is>
      </c>
      <c r="V113" s="71">
        <f>IFERROR(_xlfn.TEXTBEFORE(_xlfn.TEXTAFTER(U113,"Descrição do problema:&lt;/strong"),"&lt;/p&gt;"),_xlfn.TEXTAFTER(U113,"Descrição do problema:&lt;/strong"))</f>
        <v/>
      </c>
      <c r="W113" s="76">
        <f>_xlfn.CONCAT(D113:E113)</f>
        <v/>
      </c>
      <c r="X113" s="77" t="n">
        <v>46225</v>
      </c>
      <c r="Y113" s="78">
        <f>IF(X113="","Aberto","Encerrado")</f>
        <v/>
      </c>
      <c r="Z113" s="78">
        <f>IF(OR(L113="PENDENTE",L113="EM ANDAMENTO",L113="PENDENTE APROVAÇÃO CANCELAMENTO NF"),TODAY()-O113,X113-O113)</f>
        <v/>
      </c>
      <c r="AA113" s="78">
        <f>IF(Y113="Aberto",Z113+ROW()/100000,"")</f>
        <v/>
      </c>
      <c r="AB113" s="2">
        <f>IF(ISNUMBER(FIND("@cielo.com.br",S113)),"Interno","Externo")</f>
        <v/>
      </c>
      <c r="AC113" t="inlineStr">
        <is>
          <t>Cancelar, substituir ou reemitir nota fiscal.</t>
        </is>
      </c>
      <c r="AD113" t="inlineStr">
        <is>
          <t>ACAO:CANCELAR; OBJETO:COBRANCA; OBJETO:CONTRATO; OBJETO:NOTA_FISCAL; CONTEXTO:APOS_CANCELAMENTO; CONTEXTO:DIVERGENCIA; CANAL:BANCO</t>
        </is>
      </c>
      <c r="AE113" t="inlineStr">
        <is>
          <t>Cancelamento de NF</t>
        </is>
      </c>
      <c r="AF113" t="inlineStr">
        <is>
          <t>Documento Fiscal</t>
        </is>
      </c>
      <c r="AG113" t="inlineStr">
        <is>
          <t>Cancelamento e Reemissão de Nota Fiscal</t>
        </is>
      </c>
      <c r="AI113" t="inlineStr">
        <is>
          <t>INT_NF_CANCEL_REEMISSAO</t>
        </is>
      </c>
      <c r="AJ113" t="inlineStr">
        <is>
          <t>Sugerida</t>
        </is>
      </c>
      <c r="AK113" t="b">
        <v>0</v>
      </c>
      <c r="AN113">
        <f>IF(OR(AG113="",AM113=""),"",IF(AG113=AM113,"SIM","NÃO"))</f>
        <v/>
      </c>
      <c r="AO113" t="inlineStr">
        <is>
          <t>CLASSIFIED_SIGNATURE</t>
        </is>
      </c>
    </row>
    <row r="114" ht="15.5" customHeight="1">
      <c r="A114" s="1" t="n"/>
      <c r="B114" s="67" t="inlineStr">
        <is>
          <t>Emilly Maria</t>
        </is>
      </c>
      <c r="C114" s="70">
        <f>VLOOKUP(I:I,'Referencias '!H:I,2,0)</f>
        <v/>
      </c>
      <c r="D114" s="71" t="n">
        <v>21496236</v>
      </c>
      <c r="E114" s="71" t="n">
        <v>0</v>
      </c>
      <c r="F114" s="72" t="n">
        <v>2610716226904</v>
      </c>
      <c r="G114" s="72">
        <f>VLOOKUP(H:H,'Referencias '!B:C,2,0)</f>
        <v/>
      </c>
      <c r="H114" s="72">
        <f>TRIM(_xlfn.TEXTBEFORE(_xlfn.TEXTAFTER(U114,"CNPJ/CPF:&lt;/strong&gt;"),"&lt;/p&gt;"))</f>
        <v/>
      </c>
      <c r="I114" s="70" t="inlineStr">
        <is>
          <t>Contestação de cobrança</t>
        </is>
      </c>
      <c r="J114" s="72" t="n"/>
      <c r="K114" s="72" t="n"/>
      <c r="L114" s="70" t="inlineStr">
        <is>
          <t>FINALIZADO</t>
        </is>
      </c>
      <c r="M114" s="73" t="inlineStr">
        <is>
          <t>Médio</t>
        </is>
      </c>
      <c r="N114" s="71" t="inlineStr">
        <is>
          <t>1004 Gestão de Risco (Antifraude) | Configurações da loja | Kelly Castro | controller.palmas@hplus.com.br</t>
        </is>
      </c>
      <c r="O114" s="74" t="n">
        <v>46129</v>
      </c>
      <c r="P114" s="123" t="n">
        <v>46210</v>
      </c>
      <c r="Q114" s="177">
        <f>TEXT(O114,"mmm/aaaa")</f>
        <v/>
      </c>
      <c r="R114" s="71" t="inlineStr">
        <is>
          <t>Emilly Maria Sousa Almeida</t>
        </is>
      </c>
      <c r="S114" s="71" t="inlineStr">
        <is>
          <t>controller.palmas@hplus.com.br</t>
        </is>
      </c>
      <c r="T114" s="71" t="inlineStr">
        <is>
          <t>H PLUS</t>
        </is>
      </c>
      <c r="U114" s="71" t="inlineStr">
        <is>
          <t>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
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t>
        </is>
      </c>
      <c r="V114" s="71">
        <f>IFERROR(_xlfn.TEXTBEFORE(_xlfn.TEXTAFTER(U114,"Descrição do problema:&lt;/strong"),"&lt;/p&gt;"),_xlfn.TEXTAFTER(U114,"Descrição do problema:&lt;/strong"))</f>
        <v/>
      </c>
      <c r="W114" s="76">
        <f>_xlfn.CONCAT(D114:E114)</f>
        <v/>
      </c>
      <c r="X114" s="77" t="n">
        <v>46248</v>
      </c>
      <c r="Y114" s="78">
        <f>IF(X114="","Aberto","Encerrado")</f>
        <v/>
      </c>
      <c r="Z114" s="78">
        <f>IF(OR(L114="PENDENTE",L114="EM ANDAMENTO",L114="PENDENTE APROVAÇÃO CANCELAMENTO NF"),TODAY()-O114,X114-O114)</f>
        <v/>
      </c>
      <c r="AA114" s="78">
        <f>IF(Y114="Aberto",Z114+ROW()/100000,"")</f>
        <v/>
      </c>
      <c r="AB114" s="2">
        <f>IF(ISNUMBER(FIND("@cielo.com.br",S114)),"Interno","Externo")</f>
        <v/>
      </c>
      <c r="AC114" t="inlineStr">
        <is>
          <t>Contestar divergência, valor ou critério de cobrança.</t>
        </is>
      </c>
      <c r="AD114" t="inlineStr">
        <is>
          <t>OBJETO:COBRANCA; OBJETO:NOTA_FISCAL; CONTEXTO:DIVERGENCIA</t>
        </is>
      </c>
      <c r="AE114" t="inlineStr">
        <is>
          <t>Contestação de cobrança</t>
        </is>
      </c>
      <c r="AF114" t="inlineStr">
        <is>
          <t>Valor Cobrado</t>
        </is>
      </c>
      <c r="AG114" t="inlineStr">
        <is>
          <t>Cobrança e Contestação</t>
        </is>
      </c>
      <c r="AI114" t="inlineStr">
        <is>
          <t>INT_COB_CONTESTACAO</t>
        </is>
      </c>
      <c r="AJ114" t="inlineStr">
        <is>
          <t>Sugerida</t>
        </is>
      </c>
      <c r="AK114" t="b">
        <v>0</v>
      </c>
      <c r="AN114">
        <f>IF(OR(AG114="",AM114=""),"",IF(AG114=AM114,"SIM","NÃO"))</f>
        <v/>
      </c>
      <c r="AO114" t="inlineStr">
        <is>
          <t>CLASSIFIED_SIGNATURE</t>
        </is>
      </c>
    </row>
    <row r="115" ht="15.5" customHeight="1">
      <c r="A115" s="1" t="n"/>
      <c r="B115" s="67" t="inlineStr">
        <is>
          <t>Emilly Maria</t>
        </is>
      </c>
      <c r="C115" s="70">
        <f>VLOOKUP(I:I,'Referencias '!H:I,2,0)</f>
        <v/>
      </c>
      <c r="D115" s="71" t="n">
        <v>21602868</v>
      </c>
      <c r="E115" s="71" t="n">
        <v>0</v>
      </c>
      <c r="F115" s="72" t="n">
        <v>2611217299885</v>
      </c>
      <c r="G115" s="72">
        <f>VLOOKUP(H:H,'Referencias '!B:C,2,0)</f>
        <v/>
      </c>
      <c r="H115" s="72">
        <f>TRIM(_xlfn.TEXTBEFORE(_xlfn.TEXTAFTER(U115,"CNPJ/CPF:&lt;/strong&gt;"),"&lt;/p&gt;"))</f>
        <v/>
      </c>
      <c r="I115" s="70" t="inlineStr">
        <is>
          <t>Cancelamento de NF / reemissão</t>
        </is>
      </c>
      <c r="J115" s="72" t="n"/>
      <c r="K115" s="72" t="n"/>
      <c r="L115" s="70" t="inlineStr">
        <is>
          <t>FINALIZADO</t>
        </is>
      </c>
      <c r="M115" s="73" t="inlineStr">
        <is>
          <t>Médio</t>
        </is>
      </c>
      <c r="N115" s="71" t="inlineStr">
        <is>
          <t>1018 Financeiro | Desejo falar com o setor financeiro | OBJETIVO 1220 COMERCIO DE COSMETICO | ariane.pasilva@cielo.com.br</t>
        </is>
      </c>
      <c r="O115" s="74" t="n">
        <v>46134</v>
      </c>
      <c r="P115" s="123" t="n">
        <v>46210</v>
      </c>
      <c r="Q115" s="177">
        <f>TEXT(O115,"mmm/aaaa")</f>
        <v/>
      </c>
      <c r="R115" s="71" t="inlineStr">
        <is>
          <t>Emilly Maria Sousa Almeida</t>
        </is>
      </c>
      <c r="S115" s="71" t="inlineStr">
        <is>
          <t>ariane.pasilva@cielo.com.br</t>
        </is>
      </c>
      <c r="T115" s="71" t="inlineStr">
        <is>
          <t>OBJETIVO 1220 COMERCIO DE COSMETICOS LTDA</t>
        </is>
      </c>
      <c r="U115" s="71" t="inlineStr">
        <is>
          <t>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
095522
096782
097441
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t>
        </is>
      </c>
      <c r="V115" s="71">
        <f>IFERROR(_xlfn.TEXTBEFORE(_xlfn.TEXTAFTER(U115,"Descrição do problema:&lt;/strong"),"&lt;/p&gt;"),_xlfn.TEXTAFTER(U115,"Descrição do problema:&lt;/strong"))</f>
        <v/>
      </c>
      <c r="W115" s="76">
        <f>_xlfn.CONCAT(D115:E115)</f>
        <v/>
      </c>
      <c r="X115" s="77" t="n">
        <v>46244</v>
      </c>
      <c r="Y115" s="78">
        <f>IF(X115="","Aberto","Encerrado")</f>
        <v/>
      </c>
      <c r="Z115" s="78">
        <f>IF(OR(L115="PENDENTE",L115="EM ANDAMENTO",L115="PENDENTE APROVAÇÃO CANCELAMENTO NF"),TODAY()-O115,X115-O115)</f>
        <v/>
      </c>
      <c r="AA115" s="78">
        <f>IF(Y115="Aberto",Z115+ROW()/100000,"")</f>
        <v/>
      </c>
      <c r="AB115" s="2">
        <f>IF(ISNUMBER(FIND("@cielo.com.br",S115)),"Interno","Externo")</f>
        <v/>
      </c>
      <c r="AC115" t="inlineStr">
        <is>
          <t>Cancelar, substituir ou reemitir nota fiscal.</t>
        </is>
      </c>
      <c r="AD115" t="inlineStr">
        <is>
          <t>ACAO:CANCELAR; OBJETO:NOTA_FISCAL</t>
        </is>
      </c>
      <c r="AE115" t="inlineStr">
        <is>
          <t>Cancelamento de NF</t>
        </is>
      </c>
      <c r="AF115" t="inlineStr">
        <is>
          <t>Documento Fiscal</t>
        </is>
      </c>
      <c r="AG115" t="inlineStr">
        <is>
          <t>Cancelamento e Reemissão de Nota Fiscal</t>
        </is>
      </c>
      <c r="AI115" t="inlineStr">
        <is>
          <t>INT_NF_CANCEL_REEMISSAO</t>
        </is>
      </c>
      <c r="AJ115" t="inlineStr">
        <is>
          <t>Sugerida</t>
        </is>
      </c>
      <c r="AK115" t="b">
        <v>0</v>
      </c>
      <c r="AN115">
        <f>IF(OR(AG115="",AM115=""),"",IF(AG115=AM115,"SIM","NÃO"))</f>
        <v/>
      </c>
      <c r="AO115" t="inlineStr">
        <is>
          <t>CLASSIFIED_SIGNATURE</t>
        </is>
      </c>
    </row>
    <row r="116" ht="15.5" customHeight="1">
      <c r="A116" s="1" t="n"/>
      <c r="B116" s="67" t="inlineStr">
        <is>
          <t>Pamela de Sá</t>
        </is>
      </c>
      <c r="C116" s="70">
        <f>VLOOKUP(I:I,'Referencias '!H:I,2,0)</f>
        <v/>
      </c>
      <c r="D116" s="71" t="n">
        <v>21590451</v>
      </c>
      <c r="E116" s="71" t="n">
        <v>0</v>
      </c>
      <c r="F116" s="72" t="n">
        <v>2611214291586</v>
      </c>
      <c r="G116" s="72">
        <f>T116</f>
        <v/>
      </c>
      <c r="H116" s="72" t="n"/>
      <c r="I116" s="70" t="inlineStr">
        <is>
          <t>Alteração de vencimento / prorrogação</t>
        </is>
      </c>
      <c r="J116" s="72" t="n"/>
      <c r="K116" s="72" t="n"/>
      <c r="L116" s="70" t="inlineStr">
        <is>
          <t>FINALIZADO</t>
        </is>
      </c>
      <c r="M116" s="73" t="inlineStr">
        <is>
          <t>Médio</t>
        </is>
      </c>
      <c r="N116" s="71" t="inlineStr">
        <is>
          <t>1018 Financeiro | Desejo falar com o setor financeiro | Raphael Felipe Palmeira | raphael.palmeira@cielo.com.br</t>
        </is>
      </c>
      <c r="O116" s="74" t="n">
        <v>46134</v>
      </c>
      <c r="P116" s="123" t="n">
        <v>46134</v>
      </c>
      <c r="Q116" s="177">
        <f>TEXT(O116,"mmm/aaaa")</f>
        <v/>
      </c>
      <c r="R116" s="71" t="inlineStr">
        <is>
          <t>ECOMMERCE BP SUPORTE FINANCEIRO N2</t>
        </is>
      </c>
      <c r="S116" s="71" t="inlineStr">
        <is>
          <t>raphael.palmeira@cielo.com.br</t>
        </is>
      </c>
      <c r="T116" s="71" t="inlineStr"/>
      <c r="U116" s="71" t="inlineStr">
        <is>
          <t xml:space="preserve">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Estamos negociando com um cliente muito relevante, o BANCO INTER. 
No âmbito financeiro, preciso muito da sua ajuda nesses dois pontos, por favor? 
1.	Gostaríamos de solicitar a substituição do indexador de reajuste IGPM pelo IPCA, por ser um indicador mais aderente à inflação real e amplamente adotado em contratos de longo prazo.
2.	Conforme alinhado em reunião, foi acordada a isenção do </t>
        </is>
      </c>
      <c r="V116" s="71">
        <f>IFERROR(_xlfn.TEXTBEFORE(_xlfn.TEXTAFTER(U116,"Descrição do problema:&lt;/strong"),"&lt;/p&gt;"),_xlfn.TEXTAFTER(U116,"Descrição do problema:&lt;/strong"))</f>
        <v/>
      </c>
      <c r="W116" s="76">
        <f>_xlfn.CONCAT(D116:E116)</f>
        <v/>
      </c>
      <c r="X116" s="77" t="n">
        <v>46259</v>
      </c>
      <c r="Y116" s="78">
        <f>IF(X116="","Aberto","Encerrado")</f>
        <v/>
      </c>
      <c r="Z116" s="78">
        <f>IF(OR(L116="PENDENTE",L116="EM ANDAMENTO",L116="PENDENTE APROVAÇÃO CANCELAMENTO NF"),TODAY()-O116,X116-O116)</f>
        <v/>
      </c>
      <c r="AA116" s="78">
        <f>IF(Y116="Aberto",Z116+ROW()/100000,"")</f>
        <v/>
      </c>
      <c r="AB116" s="2">
        <f>IF(ISNUMBER(FIND("@cielo.com.br",S116)),"Interno","Externo")</f>
        <v/>
      </c>
      <c r="AC116" t="inlineStr">
        <is>
          <t>Alterar, renegociar ou atualizar condições comerciais ou contratuais.</t>
        </is>
      </c>
      <c r="AD116" t="inlineStr">
        <is>
          <t>substituição do indexador</t>
        </is>
      </c>
      <c r="AE116" t="inlineStr">
        <is>
          <t>Pendente retorno comercial</t>
        </is>
      </c>
      <c r="AF116" t="inlineStr">
        <is>
          <t>Contrato/Cadastro</t>
        </is>
      </c>
      <c r="AG116" t="inlineStr">
        <is>
          <t>Contratos, Comercial e Cadastro</t>
        </is>
      </c>
      <c r="AI116" t="inlineStr">
        <is>
          <t>INT_CON_CONDICOES</t>
        </is>
      </c>
      <c r="AJ116" t="inlineStr">
        <is>
          <t>Sugerida</t>
        </is>
      </c>
      <c r="AK116" t="b">
        <v>0</v>
      </c>
      <c r="AN116">
        <f>IF(OR(AG116="",AM116=""),"",IF(AG116=AM116,"SIM","NÃO"))</f>
        <v/>
      </c>
      <c r="AO116" t="inlineStr">
        <is>
          <t>CLASSIFIED_PATTERN</t>
        </is>
      </c>
    </row>
    <row r="117" ht="15.5" customHeight="1">
      <c r="A117" s="1" t="n"/>
      <c r="B117" s="67" t="inlineStr">
        <is>
          <t>Stephany Lima</t>
        </is>
      </c>
      <c r="C117" s="70">
        <f>VLOOKUP(I:I,'Referencias '!H:I,2,0)</f>
        <v/>
      </c>
      <c r="D117" s="71" t="n">
        <v>21588282</v>
      </c>
      <c r="E117" s="71" t="n">
        <v>0</v>
      </c>
      <c r="F117" s="72" t="n">
        <v>0</v>
      </c>
      <c r="G117" s="72">
        <f>VLOOKUP(H:H,'Referencias '!B:C,2,0)</f>
        <v/>
      </c>
      <c r="H117" s="72">
        <f>TRIM(_xlfn.TEXTBEFORE(_xlfn.TEXTAFTER(U117,"CNPJ/CPF:&lt;/strong&gt;"),"&lt;/p&gt;"))</f>
        <v/>
      </c>
      <c r="I117" s="70" t="inlineStr">
        <is>
          <t>Reenvio de boleto / NF</t>
        </is>
      </c>
      <c r="J117" s="72" t="n"/>
      <c r="K117" s="72" t="n"/>
      <c r="L117" s="70" t="inlineStr">
        <is>
          <t>FINALIZADO</t>
        </is>
      </c>
      <c r="M117" s="73" t="inlineStr">
        <is>
          <t>Médio</t>
        </is>
      </c>
      <c r="N117" s="71" t="inlineStr">
        <is>
          <t>1018 Financeiro | Desejo falar com o setor financeiro | Caroline Alves | carolineal@cielo.com.br</t>
        </is>
      </c>
      <c r="O117" s="74" t="n">
        <v>46134</v>
      </c>
      <c r="P117" s="123" t="n">
        <v>46163</v>
      </c>
      <c r="Q117" s="177">
        <f>TEXT(O117,"mmm/aaaa")</f>
        <v/>
      </c>
      <c r="R117" s="71" t="inlineStr">
        <is>
          <t>STEPHANY LIMA DE LISBOA</t>
        </is>
      </c>
      <c r="S117" s="71" t="inlineStr">
        <is>
          <t>carolineal@cielo.com.br</t>
        </is>
      </c>
      <c r="T117" s="71" t="inlineStr">
        <is>
          <t>COVABRA SUPERMERCADOS LTDA</t>
        </is>
      </c>
      <c r="U117" s="71" t="inlineStr">
        <is>
          <t>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Preciso da ajuda de vocês.
O cliente covabra nos informou que passou por mudanças recentes nos processos internos dos departamentos fiscal, financeiro e contábil. Com isso, eles não conseguem mais realizar o lançamento de Notas Fiscais emitidas fora do mês do pagamento em seu sistema.
Além disso, solicitaram que os boletos s</t>
        </is>
      </c>
      <c r="V117" s="71">
        <f>IFERROR(_xlfn.TEXTBEFORE(_xlfn.TEXTAFTER(U117,"Descrição do problema:&lt;/strong"),"&lt;/p&gt;"),_xlfn.TEXTAFTER(U117,"Descrição do problema:&lt;/strong"))</f>
        <v/>
      </c>
      <c r="W117" s="76">
        <f>_xlfn.CONCAT(D117:E117)</f>
        <v/>
      </c>
      <c r="X117" s="77" t="n">
        <v>46216</v>
      </c>
      <c r="Y117" s="78">
        <f>IF(X117="","Aberto","Encerrado")</f>
        <v/>
      </c>
      <c r="Z117" s="78">
        <f>IF(OR(L117="PENDENTE",L117="EM ANDAMENTO",L117="PENDENTE APROVAÇÃO CANCELAMENTO NF"),TODAY()-O117,X117-O117)</f>
        <v/>
      </c>
      <c r="AA117" s="78">
        <f>IF(Y117="Aberto",Z117+ROW()/100000,"")</f>
        <v/>
      </c>
      <c r="AB117" s="2">
        <f>IF(ISNUMBER(FIND("@cielo.com.br",S117)),"Interno","Externo")</f>
        <v/>
      </c>
      <c r="AD117" t="inlineStr"/>
      <c r="AJ117" t="inlineStr">
        <is>
          <t>Sem correspondência</t>
        </is>
      </c>
      <c r="AK117" t="b">
        <v>0</v>
      </c>
      <c r="AN117">
        <f>IF(OR(AG117="",AM117=""),"",IF(AG117=AM117,"SIM","NÃO"))</f>
        <v/>
      </c>
      <c r="AO117" t="inlineStr">
        <is>
          <t>NO_PATTERN</t>
        </is>
      </c>
    </row>
    <row r="118" ht="15.5" customHeight="1">
      <c r="A118" s="1" t="n"/>
      <c r="B118" s="67" t="inlineStr">
        <is>
          <t>Emilly Maria</t>
        </is>
      </c>
      <c r="C118" s="70">
        <f>VLOOKUP(I:I,'Referencias '!H:I,2,0)</f>
        <v/>
      </c>
      <c r="D118" s="71" t="n">
        <v>21573732</v>
      </c>
      <c r="E118" s="71" t="n">
        <v>0</v>
      </c>
      <c r="F118" s="72" t="n">
        <v>2611211280254</v>
      </c>
      <c r="G118" s="72">
        <f>T118</f>
        <v/>
      </c>
      <c r="H118" s="72">
        <f>TRIM(_xlfn.TEXTBEFORE(_xlfn.TEXTAFTER(U118,"CNPJ/CPF:&lt;/strong&gt;"),"&lt;/p&gt;"))</f>
        <v/>
      </c>
      <c r="I118" s="70" t="inlineStr">
        <is>
          <t>Cancelamento de NF / reemissão</t>
        </is>
      </c>
      <c r="J118" s="72" t="inlineStr">
        <is>
          <t>Solicitei DA do Everton.</t>
        </is>
      </c>
      <c r="K118" s="72" t="n"/>
      <c r="L118" s="70" t="inlineStr">
        <is>
          <t>EM ANDAMENTO</t>
        </is>
      </c>
      <c r="M118" s="73" t="inlineStr">
        <is>
          <t>Alta</t>
        </is>
      </c>
      <c r="N118" s="71" t="inlineStr">
        <is>
          <t>1018 Financeiro | Desejo falar com o setor financeiro | NEXTION PAY TECNOLOGIA LTDA | ariane.pasilva@cielo.com.br</t>
        </is>
      </c>
      <c r="O118" s="74" t="n">
        <v>46134</v>
      </c>
      <c r="P118" s="123" t="n">
        <v>46162</v>
      </c>
      <c r="Q118" s="177">
        <f>TEXT(O118,"mmm/aaaa")</f>
        <v/>
      </c>
      <c r="R118" s="71" t="inlineStr">
        <is>
          <t>ECOMMERCE BP SUPORTE FINANCEIRO N2</t>
        </is>
      </c>
      <c r="S118" s="71" t="inlineStr">
        <is>
          <t>ariane.pasilva@cielo.com.br</t>
        </is>
      </c>
      <c r="T118" s="71" t="inlineStr">
        <is>
          <t>NEXTION PAY</t>
        </is>
      </c>
      <c r="U118" s="71" t="inlineStr">
        <is>
          <t>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t>
        </is>
      </c>
      <c r="V118" s="71">
        <f>IFERROR(_xlfn.TEXTBEFORE(_xlfn.TEXTAFTER(U118,"Descrição do problema:&lt;/strong"),"&lt;/p&gt;"),_xlfn.TEXTAFTER(U118,"Descrição do problema:&lt;/strong"))</f>
        <v/>
      </c>
      <c r="W118" s="76">
        <f>_xlfn.CONCAT(D118:E118)</f>
        <v/>
      </c>
      <c r="X118" s="77" t="n"/>
      <c r="Y118" s="78">
        <f>IF(X118="","Aberto","Encerrado")</f>
        <v/>
      </c>
      <c r="Z118" s="78">
        <f>IF(OR(L118="PENDENTE",L118="EM ANDAMENTO",L118="PENDENTE APROVAÇÃO CANCELAMENTO NF"),TODAY()-O118,X118-O118)</f>
        <v/>
      </c>
      <c r="AA118" s="78">
        <f>IF(Y118="Aberto",Z118+ROW()/100000,"")</f>
        <v/>
      </c>
      <c r="AB118" s="2">
        <f>IF(ISNUMBER(FIND("@cielo.com.br",S118)),"Interno","Externo")</f>
        <v/>
      </c>
      <c r="AC118" t="inlineStr">
        <is>
          <t>Cancelar, substituir ou reemitir nota fiscal.</t>
        </is>
      </c>
      <c r="AD118" t="inlineStr">
        <is>
          <t>cancelamento de nota; cancelamento de todas as notas</t>
        </is>
      </c>
      <c r="AE118" t="inlineStr">
        <is>
          <t>Cancelamento de NF</t>
        </is>
      </c>
      <c r="AF118" t="inlineStr">
        <is>
          <t>Documento Fiscal</t>
        </is>
      </c>
      <c r="AG118" t="inlineStr">
        <is>
          <t>Cancelamento e Reemissão de Nota Fiscal</t>
        </is>
      </c>
      <c r="AI118" t="inlineStr">
        <is>
          <t>INT_NF_CANCEL_REEMISSAO</t>
        </is>
      </c>
      <c r="AJ118" t="inlineStr">
        <is>
          <t>Sugerida</t>
        </is>
      </c>
      <c r="AK118" t="b">
        <v>0</v>
      </c>
      <c r="AN118">
        <f>IF(OR(AG118="",AM118=""),"",IF(AG118=AM118,"SIM","NÃO"))</f>
        <v/>
      </c>
      <c r="AO118" t="inlineStr">
        <is>
          <t>CLASSIFIED_PATTERN</t>
        </is>
      </c>
    </row>
    <row r="119" ht="15.5" customHeight="1">
      <c r="A119" s="1" t="n"/>
      <c r="B119" s="67" t="inlineStr">
        <is>
          <t>Fabiana Lisboa</t>
        </is>
      </c>
      <c r="C119" s="70">
        <f>VLOOKUP(I:I,'Referencias '!H:I,2,0)</f>
        <v/>
      </c>
      <c r="D119" s="71" t="n">
        <v>21559707</v>
      </c>
      <c r="E119" s="71" t="n">
        <v>0</v>
      </c>
      <c r="F119" s="72" t="n">
        <v>2611208270971</v>
      </c>
      <c r="G119" s="72">
        <f>T119</f>
        <v/>
      </c>
      <c r="H119" s="72">
        <f>TRIM(_xlfn.TEXTBEFORE(_xlfn.TEXTAFTER(U119,"CNPJ/CPF:&lt;/strong&gt;"),"&lt;/p&gt;"))</f>
        <v/>
      </c>
      <c r="I119" s="70" t="inlineStr">
        <is>
          <t>Reenvio de boleto / NF</t>
        </is>
      </c>
      <c r="J119" s="72" t="n"/>
      <c r="K119" s="72" t="n"/>
      <c r="L119" s="70" t="inlineStr">
        <is>
          <t>FINALIZADO</t>
        </is>
      </c>
      <c r="M119" s="73" t="inlineStr">
        <is>
          <t>Médio</t>
        </is>
      </c>
      <c r="N119" s="71" t="inlineStr">
        <is>
          <t>1003 Gateway de Pagamento | Estou com um problema em produção e preciso de ajuda | fabio ferreira da silva | marketing@nicom.com.br</t>
        </is>
      </c>
      <c r="O119" s="74" t="n">
        <v>46134</v>
      </c>
      <c r="P119" s="123" t="n">
        <v>46140</v>
      </c>
      <c r="Q119" s="177">
        <f>TEXT(O119,"mmm/aaaa")</f>
        <v/>
      </c>
      <c r="R119" s="71" t="inlineStr">
        <is>
          <t>ECOMMERCE BP SUPORTE FINANCEIRO N2</t>
        </is>
      </c>
      <c r="S119" s="71" t="inlineStr">
        <is>
          <t>marketing@nicom.com.br</t>
        </is>
      </c>
      <c r="T119" s="71" t="inlineStr">
        <is>
          <t>NICOM COM MATS CONSTR</t>
        </is>
      </c>
      <c r="U119" s="71" t="inlineStr">
        <is>
          <t>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
Recebo boletos de cobrança 2x por mês. Porém solicito que me enviem junto com os boletos e NF a RELAÇÃO DE NF A QUE REFEREM-SE ESSAS COBRANÇAS.
Caso a relação não seja enviada junto ou até a data dos boletos que tem a vencer, peço a gentileza de prorrogar a data de vencimento.
Muito obrigado.&lt;/p&gt;&lt;p&gt;&lt;strong&gt;ID da transação:&lt;/strong&gt; &lt;/p&gt;&lt;p&gt;&lt;strong&gt;Código do erro:&lt;/strong&gt; &lt;/p&gt;&lt;p&gt;&lt;strong&gt;Sobre qual produto ou área deseja falar?:&lt;/strong&gt; Gateway de Pagamento&lt;/p&gt;&lt;p&gt;&lt;strong&gt;Como podemos te ajudar?:&lt;/strong&gt; E</t>
        </is>
      </c>
      <c r="V119" s="71">
        <f>IFERROR(_xlfn.TEXTBEFORE(_xlfn.TEXTAFTER(U119,"Descrição do problema:&lt;/strong"),"&lt;/p&gt;"),_xlfn.TEXTAFTER(U119,"Descrição do problema:&lt;/strong"))</f>
        <v/>
      </c>
      <c r="W119" s="76">
        <f>_xlfn.CONCAT(D119:E119)</f>
        <v/>
      </c>
      <c r="X119" s="77" t="n">
        <v>46227</v>
      </c>
      <c r="Y119" s="78">
        <f>IF(X119="","Aberto","Encerrado")</f>
        <v/>
      </c>
      <c r="Z119" s="78">
        <f>IF(OR(L119="PENDENTE",L119="EM ANDAMENTO",L119="PENDENTE APROVAÇÃO CANCELAMENTO NF"),TODAY()-O119,X119-O119)</f>
        <v/>
      </c>
      <c r="AA119" s="78">
        <f>IF(Y119="Aberto",Z119+ROW()/100000,"")</f>
        <v/>
      </c>
      <c r="AB119" s="2">
        <f>IF(ISNUMBER(FIND("@cielo.com.br",S119)),"Interno","Externo")</f>
        <v/>
      </c>
      <c r="AC119" t="inlineStr">
        <is>
          <t>Alterar ou prorrogar vencimento ou prazo de pagamento.</t>
        </is>
      </c>
      <c r="AD119" t="inlineStr">
        <is>
          <t>prorrogar + vencimento; prorrogar + vencimento</t>
        </is>
      </c>
      <c r="AE119" t="inlineStr">
        <is>
          <t>Alteração de vencimento</t>
        </is>
      </c>
      <c r="AF119" t="inlineStr">
        <is>
          <t>Título Financeiro</t>
        </is>
      </c>
      <c r="AG119" t="inlineStr">
        <is>
          <t>Pagamentos, Boletos e Recebimentos</t>
        </is>
      </c>
      <c r="AI119" t="inlineStr">
        <is>
          <t>INT_PAG_VENCIMENTO</t>
        </is>
      </c>
      <c r="AJ119" t="inlineStr">
        <is>
          <t>Sugerida</t>
        </is>
      </c>
      <c r="AK119" t="b">
        <v>0</v>
      </c>
      <c r="AN119">
        <f>IF(OR(AG119="",AM119=""),"",IF(AG119=AM119,"SIM","NÃO"))</f>
        <v/>
      </c>
      <c r="AO119" t="inlineStr">
        <is>
          <t>CLASSIFIED_PATTERN</t>
        </is>
      </c>
    </row>
    <row r="120" ht="15.5" customFormat="1" customHeight="1" s="91">
      <c r="A120" s="1" t="inlineStr">
        <is>
          <t>Aberto antigos</t>
        </is>
      </c>
      <c r="B120" s="67" t="inlineStr">
        <is>
          <t>Emilly Maria</t>
        </is>
      </c>
      <c r="C120" s="122">
        <f>VLOOKUP(I:I,'Referencias '!H:I,2,0)</f>
        <v/>
      </c>
      <c r="D120" s="129" t="n">
        <v>21808345</v>
      </c>
      <c r="E120" s="129" t="n">
        <v>0</v>
      </c>
      <c r="F120" s="126" t="n">
        <v>2611817435033</v>
      </c>
      <c r="G120" s="126" t="inlineStr">
        <is>
          <t>Arezzo&amp;CO</t>
        </is>
      </c>
      <c r="H120" s="126" t="n"/>
      <c r="I120" s="122" t="inlineStr">
        <is>
          <t>Dúvidas sobre cobrança</t>
        </is>
      </c>
      <c r="J120" s="126" t="n"/>
      <c r="K120" s="126" t="inlineStr">
        <is>
          <t>Está em fase final de cancelamento</t>
        </is>
      </c>
      <c r="L120" s="122" t="inlineStr">
        <is>
          <t>FINALIZADO</t>
        </is>
      </c>
      <c r="M120" s="73" t="inlineStr">
        <is>
          <t>Alta</t>
        </is>
      </c>
      <c r="N120" s="129" t="inlineStr">
        <is>
          <t>1018 Financeiro | Desejo falar com o setor financeiro | Weslei Dornelles Morais | weslei.morais@arezzo.com.br</t>
        </is>
      </c>
      <c r="O120" s="125" t="n">
        <v>46140</v>
      </c>
      <c r="P120" s="123" t="n">
        <v>46210</v>
      </c>
      <c r="Q120" s="178">
        <f>TEXT(O120,"mmm/aaaa")</f>
        <v/>
      </c>
      <c r="R120" s="129" t="inlineStr">
        <is>
          <t>Emilly Maria Sousa Almeida</t>
        </is>
      </c>
      <c r="S120" s="129" t="inlineStr">
        <is>
          <t>weslei.morais@arezzo.com.br</t>
        </is>
      </c>
      <c r="T120" s="129" t="inlineStr"/>
      <c r="U120" s="129" t="inlineStr">
        <is>
          <t>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
Temos ciência do valor total consolidado nas notas emitidas, porém, para viabilizarmos a quitação, precisamos entender como esse valor e</t>
        </is>
      </c>
      <c r="V120" s="129">
        <f>IFERROR(_xlfn.TEXTBEFORE(_xlfn.TEXTAFTER(U120,"Descrição do problema:&lt;/strong"),"&lt;/p&gt;"),_xlfn.TEXTAFTER(U120,"Descrição do problema:&lt;/strong"))</f>
        <v/>
      </c>
      <c r="W120" s="130">
        <f>_xlfn.CONCAT(D120:E120)</f>
        <v/>
      </c>
      <c r="X120" s="77" t="n">
        <v>46289</v>
      </c>
      <c r="Y120" s="131">
        <f>IF(X120="","Aberto","Encerrado")</f>
        <v/>
      </c>
      <c r="Z120" s="131">
        <f>IF(OR(L120="PENDENTE",L120="EM ANDAMENTO",L120="PENDENTE APROVAÇÃO CANCELAMENTO NF"),TODAY()-O120,X120-O120)</f>
        <v/>
      </c>
      <c r="AA120" s="131">
        <f>IF(Y120="Aberto",Z120+ROW()/100000,"")</f>
        <v/>
      </c>
      <c r="AB120" s="2">
        <f>IF(ISNUMBER(FIND("@cielo.com.br",S120)),"Interno","Externo")</f>
        <v/>
      </c>
      <c r="AC120" t="inlineStr">
        <is>
          <t>Consultar pagamentos, débitos, pendências ou recebíveis.</t>
        </is>
      </c>
      <c r="AD120" t="inlineStr">
        <is>
          <t>valores em aberto</t>
        </is>
      </c>
      <c r="AE120" t="inlineStr">
        <is>
          <t>Consulta financeira</t>
        </is>
      </c>
      <c r="AF120" t="inlineStr">
        <is>
          <t>Título Financeiro</t>
        </is>
      </c>
      <c r="AG120" t="inlineStr">
        <is>
          <t>Pagamentos, Boletos e Recebimentos</t>
        </is>
      </c>
      <c r="AI120" t="inlineStr">
        <is>
          <t>INT_PAG_FINANCEIRO</t>
        </is>
      </c>
      <c r="AJ120" t="inlineStr">
        <is>
          <t>Sugerida</t>
        </is>
      </c>
      <c r="AK120" t="b">
        <v>0</v>
      </c>
      <c r="AN120">
        <f>IF(OR(AG120="",AM120=""),"",IF(AG120=AM120,"SIM","NÃO"))</f>
        <v/>
      </c>
      <c r="AO120" t="inlineStr">
        <is>
          <t>CLASSIFIED_PATTERN</t>
        </is>
      </c>
    </row>
    <row r="121" ht="15.5" customHeight="1">
      <c r="A121" s="1" t="n"/>
      <c r="B121" s="67" t="inlineStr">
        <is>
          <t>Emilly Maria</t>
        </is>
      </c>
      <c r="C121" s="70">
        <f>VLOOKUP(I:I,'Referencias '!H:I,2,0)</f>
        <v/>
      </c>
      <c r="D121" s="71" t="n">
        <v>21790747</v>
      </c>
      <c r="E121" s="71" t="inlineStr">
        <is>
          <t>subs</t>
        </is>
      </c>
      <c r="F121" s="72" t="n">
        <v>2611814423623</v>
      </c>
      <c r="G121" s="72">
        <f>T121</f>
        <v/>
      </c>
      <c r="H121" s="72">
        <f>TRIM(_xlfn.TEXTBEFORE(_xlfn.TEXTAFTER(U121,"CNPJ/CPF:&lt;/strong&gt;"),"&lt;/p&gt;"))</f>
        <v/>
      </c>
      <c r="I121" s="70" t="inlineStr">
        <is>
          <t>Reemissão de NF (incluir PO)</t>
        </is>
      </c>
      <c r="J121" s="72" t="n"/>
      <c r="K121" s="72" t="n"/>
      <c r="L121" s="70" t="inlineStr">
        <is>
          <t>FINALIZADO</t>
        </is>
      </c>
      <c r="M121" s="73" t="inlineStr">
        <is>
          <t>Médio</t>
        </is>
      </c>
      <c r="N121" s="71" t="inlineStr">
        <is>
          <t>1018 Financeiro | Desejo falar com o setor financeiro | Sara Ordeno | sara.maozita@dasa.com.br</t>
        </is>
      </c>
      <c r="O121" s="74" t="n">
        <v>46140</v>
      </c>
      <c r="P121" s="123" t="n">
        <v>46140</v>
      </c>
      <c r="Q121" s="177">
        <f>TEXT(O121,"mmm/aaaa")</f>
        <v/>
      </c>
      <c r="R121" s="71" t="inlineStr">
        <is>
          <t>ECOMMERCE BP SUPORTE FINANCEIRO N2</t>
        </is>
      </c>
      <c r="S121" s="71" t="inlineStr">
        <is>
          <t>sara.maozita@dasa.com.br</t>
        </is>
      </c>
      <c r="T121" s="71" t="inlineStr"/>
      <c r="U121" s="71" t="inlineStr">
        <is>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
Por gentileza, solicito a substituição das NFS:
NF 109897 
NF 110104
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t>
        </is>
      </c>
      <c r="V121" s="71">
        <f>IFERROR(_xlfn.TEXTBEFORE(_xlfn.TEXTAFTER(U121,"Descrição do problema:&lt;/strong"),"&lt;/p&gt;"),_xlfn.TEXTAFTER(U121,"Descrição do problema:&lt;/strong"))</f>
        <v/>
      </c>
      <c r="W121" s="76">
        <f>_xlfn.CONCAT(D121:E121)</f>
        <v/>
      </c>
      <c r="X121" s="77" t="n">
        <v>46259</v>
      </c>
      <c r="Y121" s="78">
        <f>IF(X121="","Aberto","Encerrado")</f>
        <v/>
      </c>
      <c r="Z121" s="78">
        <f>IF(OR(L121="PENDENTE",L121="EM ANDAMENTO",L121="PENDENTE APROVAÇÃO CANCELAMENTO NF"),TODAY()-O121,X121-O121)</f>
        <v/>
      </c>
      <c r="AA121" s="78">
        <f>IF(Y121="Aberto",Z121+ROW()/100000,"")</f>
        <v/>
      </c>
      <c r="AB121" s="2">
        <f>IF(ISNUMBER(FIND("@cielo.com.br",S121)),"Interno","Externo")</f>
        <v/>
      </c>
      <c r="AC121" t="inlineStr">
        <is>
          <t>Substituir ou reemitir NF com PO.</t>
        </is>
      </c>
      <c r="AD121" t="inlineStr">
        <is>
          <t>ACAO:PO; ACAO:SUBSTITUIR; OBJETO:NOTA_FISCAL; OBJETO:PO; CANAL:PO</t>
        </is>
      </c>
      <c r="AE121" t="inlineStr">
        <is>
          <t>Reemissão de NF com PO</t>
        </is>
      </c>
      <c r="AF121" t="inlineStr">
        <is>
          <t>Documento Fiscal</t>
        </is>
      </c>
      <c r="AG121" t="inlineStr">
        <is>
          <t>Cancelamento e Reemissão de Nota Fiscal</t>
        </is>
      </c>
      <c r="AI121" t="inlineStr">
        <is>
          <t>INT_NF_REEMISSAO_PO</t>
        </is>
      </c>
      <c r="AJ121" t="inlineStr">
        <is>
          <t>Sugerida</t>
        </is>
      </c>
      <c r="AK121" t="b">
        <v>0</v>
      </c>
      <c r="AN121">
        <f>IF(OR(AG121="",AM121=""),"",IF(AG121=AM121,"SIM","NÃO"))</f>
        <v/>
      </c>
      <c r="AO121" t="inlineStr">
        <is>
          <t>CLASSIFIED_SIGNATURE</t>
        </is>
      </c>
    </row>
    <row r="122" ht="15.5" customHeight="1">
      <c r="A122" s="1" t="n"/>
      <c r="B122" s="67" t="inlineStr">
        <is>
          <t>Emilly Maria</t>
        </is>
      </c>
      <c r="C122" s="70">
        <f>VLOOKUP(I:I,'Referencias '!H:I,2,0)</f>
        <v/>
      </c>
      <c r="D122" s="71" t="n">
        <v>21789283</v>
      </c>
      <c r="E122" s="71" t="n">
        <v>0</v>
      </c>
      <c r="F122" s="72" t="n">
        <v>0</v>
      </c>
      <c r="G122" s="72">
        <f>VLOOKUP(H:H,'Referencias '!B:C,2,0)</f>
        <v/>
      </c>
      <c r="H122" s="72">
        <f>TRIM(_xlfn.TEXTBEFORE(_xlfn.TEXTAFTER(U122,"CNPJ/CPF:&lt;/strong&gt;"),"&lt;/p&gt;"))</f>
        <v/>
      </c>
      <c r="I122" s="70" t="inlineStr">
        <is>
          <t>Cancelamento de NF / reemissão</t>
        </is>
      </c>
      <c r="J122" s="72" t="n"/>
      <c r="K122" s="72" t="n"/>
      <c r="L122" s="70" t="inlineStr">
        <is>
          <t>FINALIZADO</t>
        </is>
      </c>
      <c r="M122" s="73" t="inlineStr">
        <is>
          <t>Médio</t>
        </is>
      </c>
      <c r="N122" s="71" t="inlineStr">
        <is>
          <t>1018 Financeiro | Desejo falar com o setor financeiro | Tatiana Ribeiro | marketing@sanearbrasil.com.br</t>
        </is>
      </c>
      <c r="O122" s="74" t="n">
        <v>46140</v>
      </c>
      <c r="P122" s="123" t="n">
        <v>46210</v>
      </c>
      <c r="Q122" s="177">
        <f>TEXT(O122,"mmm/aaaa")</f>
        <v/>
      </c>
      <c r="R122" s="71" t="inlineStr">
        <is>
          <t>Emilly Maria Sousa Almeida</t>
        </is>
      </c>
      <c r="S122" s="71" t="inlineStr">
        <is>
          <t>marketing@sanearbrasil.com.br</t>
        </is>
      </c>
      <c r="T122" s="71" t="inlineStr">
        <is>
          <t>SANEAR BRASIL</t>
        </is>
      </c>
      <c r="U122" s="71" t="inlineStr">
        <is>
          <t>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t>
        </is>
      </c>
      <c r="V122" s="71">
        <f>IFERROR(_xlfn.TEXTBEFORE(_xlfn.TEXTAFTER(U122,"Descrição do problema:&lt;/strong"),"&lt;/p&gt;"),_xlfn.TEXTAFTER(U122,"Descrição do problema:&lt;/strong"))</f>
        <v/>
      </c>
      <c r="W122" s="76">
        <f>_xlfn.CONCAT(D122:E122)</f>
        <v/>
      </c>
      <c r="X122" s="77" t="n">
        <v>46219</v>
      </c>
      <c r="Y122" s="78">
        <f>IF(X122="","Aberto","Encerrado")</f>
        <v/>
      </c>
      <c r="Z122" s="78">
        <f>IF(OR(L122="PENDENTE",L122="EM ANDAMENTO",L122="PENDENTE APROVAÇÃO CANCELAMENTO NF"),TODAY()-O122,X122-O122)</f>
        <v/>
      </c>
      <c r="AA122" s="78">
        <f>IF(Y122="Aberto",Z122+ROW()/100000,"")</f>
        <v/>
      </c>
      <c r="AB122" s="2">
        <f>IF(ISNUMBER(FIND("@cielo.com.br",S122)),"Interno","Externo")</f>
        <v/>
      </c>
      <c r="AC122" t="inlineStr">
        <is>
          <t>Corrigir cobrança ou pagamento em duplicidade.</t>
        </is>
      </c>
      <c r="AD122" t="inlineStr">
        <is>
          <t>OBJETO:NOTA_FISCAL; CONTEXTO:DUPLICIDADE</t>
        </is>
      </c>
      <c r="AE122" t="inlineStr">
        <is>
          <t>Duplicidade de cobrança</t>
        </is>
      </c>
      <c r="AF122" t="inlineStr">
        <is>
          <t>Valor Cobrado</t>
        </is>
      </c>
      <c r="AG122" t="inlineStr">
        <is>
          <t>Cobrança e Contestação</t>
        </is>
      </c>
      <c r="AI122" t="inlineStr">
        <is>
          <t>INT_COB_DUPLICIDADE</t>
        </is>
      </c>
      <c r="AJ122" t="inlineStr">
        <is>
          <t>Sugerida</t>
        </is>
      </c>
      <c r="AK122" t="b">
        <v>0</v>
      </c>
      <c r="AN122">
        <f>IF(OR(AG122="",AM122=""),"",IF(AG122=AM122,"SIM","NÃO"))</f>
        <v/>
      </c>
      <c r="AO122" t="inlineStr">
        <is>
          <t>CLASSIFIED_SIGNATURE</t>
        </is>
      </c>
    </row>
    <row r="123" ht="15.5" customHeight="1">
      <c r="A123" s="1" t="n"/>
      <c r="B123" s="67" t="inlineStr">
        <is>
          <t>Stephany Lima</t>
        </is>
      </c>
      <c r="C123" s="70">
        <f>VLOOKUP(I:I,'Referencias '!H:I,2,0)</f>
        <v/>
      </c>
      <c r="D123" s="71" t="n">
        <v>21889153</v>
      </c>
      <c r="E123" s="71" t="n">
        <v>0</v>
      </c>
      <c r="F123" s="72" t="n">
        <v>0</v>
      </c>
      <c r="G123" s="72">
        <f>VLOOKUP(H:H,'Referencias '!B:C,2,0)</f>
        <v/>
      </c>
      <c r="H123" s="72">
        <f>TRIM(_xlfn.TEXTBEFORE(_xlfn.TEXTAFTER(U123,"CNPJ/CPF:&lt;/strong&gt;"),"&lt;/p&gt;"))</f>
        <v/>
      </c>
      <c r="I123" s="70" t="inlineStr">
        <is>
          <t>Cancelamento de NF / reemissão</t>
        </is>
      </c>
      <c r="J123" s="72" t="n"/>
      <c r="K123" s="72" t="n"/>
      <c r="L123" s="70" t="inlineStr">
        <is>
          <t>FINALIZADO</t>
        </is>
      </c>
      <c r="M123" s="73" t="inlineStr">
        <is>
          <t>Médio</t>
        </is>
      </c>
      <c r="N123" s="71" t="inlineStr">
        <is>
          <t>1018 Financeiro | Desejo falar com o setor financeiro | Sabrina Stilben | sabrina.stilben@seliafullservice.com.br</t>
        </is>
      </c>
      <c r="O123" s="74" t="n">
        <v>46142</v>
      </c>
      <c r="P123" s="123" t="n">
        <v>46142</v>
      </c>
      <c r="Q123" s="177">
        <f>TEXT(O123,"mmm/aaaa")</f>
        <v/>
      </c>
      <c r="R123" s="71" t="inlineStr">
        <is>
          <t>ECOMMERCE BP SUPORTE FINANCEIRO N2</t>
        </is>
      </c>
      <c r="S123" s="71" t="inlineStr">
        <is>
          <t>sabrina.stilben@seliafullservice.com.br</t>
        </is>
      </c>
      <c r="T123" s="71" t="inlineStr"/>
      <c r="U123" s="71" t="inlineStr">
        <is>
          <t>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
NF113132&lt;/p&gt;&lt;p&gt;&lt;strong&gt;GA Client ID:&lt;/strong&gt; 493233723.1762454464&lt;/p&gt;&lt;p&gt;&lt;strong&gt;Lead Hash ID:&lt;/strong&gt; 99c1cecc0ac02c2955aa5773c6ac30d08f71ea0008637541007b62383105a1b7&lt;/p&gt;&lt;p&gt;&lt;strong&gt;Lead For</t>
        </is>
      </c>
      <c r="V123" s="71">
        <f>IFERROR(_xlfn.TEXTBEFORE(_xlfn.TEXTAFTER(U123,"Descrição do problema:&lt;/strong"),"&lt;/p&gt;"),_xlfn.TEXTAFTER(U123,"Descrição do problema:&lt;/strong"))</f>
        <v/>
      </c>
      <c r="W123" s="76">
        <f>_xlfn.CONCAT(D123:E123)</f>
        <v/>
      </c>
      <c r="X123" s="77" t="n">
        <v>46216</v>
      </c>
      <c r="Y123" s="78">
        <f>IF(X123="","Aberto","Encerrado")</f>
        <v/>
      </c>
      <c r="Z123" s="78">
        <f>IF(OR(L123="PENDENTE",L123="EM ANDAMENTO",L123="PENDENTE APROVAÇÃO CANCELAMENTO NF"),TODAY()-O123,X123-O123)</f>
        <v/>
      </c>
      <c r="AA123" s="78">
        <f>IF(Y123="Aberto",Z123+ROW()/100000,"")</f>
        <v/>
      </c>
      <c r="AB123" s="2">
        <f>IF(ISNUMBER(FIND("@cielo.com.br",S123)),"Interno","Externo")</f>
        <v/>
      </c>
      <c r="AC123" t="inlineStr">
        <is>
          <t>Cancelar, substituir ou reemitir nota fiscal.</t>
        </is>
      </c>
      <c r="AD123" t="inlineStr">
        <is>
          <t>ACAO:CANCELAR; ACAO:REEMITIR; OBJETO:NOTA_FISCAL</t>
        </is>
      </c>
      <c r="AE123" t="inlineStr">
        <is>
          <t>Cancelamento de NF</t>
        </is>
      </c>
      <c r="AF123" t="inlineStr">
        <is>
          <t>Documento Fiscal</t>
        </is>
      </c>
      <c r="AG123" t="inlineStr">
        <is>
          <t>Cancelamento e Reemissão de Nota Fiscal</t>
        </is>
      </c>
      <c r="AI123" t="inlineStr">
        <is>
          <t>INT_NF_CANCEL_REEMISSAO</t>
        </is>
      </c>
      <c r="AJ123" t="inlineStr">
        <is>
          <t>Sugerida</t>
        </is>
      </c>
      <c r="AK123" t="b">
        <v>0</v>
      </c>
      <c r="AN123">
        <f>IF(OR(AG123="",AM123=""),"",IF(AG123=AM123,"SIM","NÃO"))</f>
        <v/>
      </c>
      <c r="AO123" t="inlineStr">
        <is>
          <t>CLASSIFIED_SIGNATURE</t>
        </is>
      </c>
    </row>
    <row r="124" ht="15.5" customHeight="1">
      <c r="A124" s="1" t="n"/>
      <c r="B124" s="67" t="inlineStr">
        <is>
          <t>Emilly Maria</t>
        </is>
      </c>
      <c r="C124" s="70">
        <f>VLOOKUP(I:I,'Referencias '!H:I,2,0)</f>
        <v/>
      </c>
      <c r="D124" s="71" t="n">
        <v>21872472</v>
      </c>
      <c r="E124" s="71" t="n">
        <v>0</v>
      </c>
      <c r="F124" s="72" t="n">
        <v>2612010477743</v>
      </c>
      <c r="G124" s="72">
        <f>VLOOKUP(H:H,'Referencias '!B:C,2,0)</f>
        <v/>
      </c>
      <c r="H124" s="72">
        <f>TRIM(_xlfn.TEXTBEFORE(_xlfn.TEXTAFTER(U124,"CNPJ/CPF:&lt;/strong&gt;"),"&lt;/p&gt;"))</f>
        <v/>
      </c>
      <c r="I124" s="70" t="inlineStr">
        <is>
          <t>Cancelamento de NF</t>
        </is>
      </c>
      <c r="J124" s="72" t="n"/>
      <c r="K124" s="72" t="n"/>
      <c r="L124" s="70" t="inlineStr">
        <is>
          <t>FINALIZADO</t>
        </is>
      </c>
      <c r="M124" s="73" t="inlineStr">
        <is>
          <t>Médio</t>
        </is>
      </c>
      <c r="N124" s="71" t="inlineStr">
        <is>
          <t>1018 Financeiro | Desejo falar com o setor financeiro | camila basilio de souza | camila.basilio@wsa.com</t>
        </is>
      </c>
      <c r="O124" s="74" t="n">
        <v>46142</v>
      </c>
      <c r="P124" s="123" t="n">
        <v>46142</v>
      </c>
      <c r="Q124" s="177">
        <f>TEXT(O124,"mmm/aaaa")</f>
        <v/>
      </c>
      <c r="R124" s="71" t="inlineStr">
        <is>
          <t>ECOMMERCE BP SUPORTE FINANCEIRO N2</t>
        </is>
      </c>
      <c r="S124" s="71" t="inlineStr">
        <is>
          <t>camila.basilio@wsa.com</t>
        </is>
      </c>
      <c r="T124" s="71" t="inlineStr"/>
      <c r="U124" s="71" t="inlineStr">
        <is>
          <t>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
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t>
        </is>
      </c>
      <c r="V124" s="71">
        <f>IFERROR(_xlfn.TEXTBEFORE(_xlfn.TEXTAFTER(U124,"Descrição do problema:&lt;/strong"),"&lt;/p&gt;"),_xlfn.TEXTAFTER(U124,"Descrição do problema:&lt;/strong"))</f>
        <v/>
      </c>
      <c r="W124" s="76">
        <f>_xlfn.CONCAT(D124:E124)</f>
        <v/>
      </c>
      <c r="X124" s="77" t="n">
        <v>46239</v>
      </c>
      <c r="Y124" s="78">
        <f>IF(X124="","Aberto","Encerrado")</f>
        <v/>
      </c>
      <c r="Z124" s="78">
        <f>IF(OR(L124="PENDENTE",L124="EM ANDAMENTO",L124="PENDENTE APROVAÇÃO CANCELAMENTO NF"),TODAY()-O124,X124-O124)</f>
        <v/>
      </c>
      <c r="AA124" s="78">
        <f>IF(Y124="Aberto",Z124+ROW()/100000,"")</f>
        <v/>
      </c>
      <c r="AB124" s="2">
        <f>IF(ISNUMBER(FIND("@cielo.com.br",S124)),"Interno","Externo")</f>
        <v/>
      </c>
      <c r="AC124" t="inlineStr">
        <is>
          <t>Cancelar, substituir ou reemitir nota fiscal.</t>
        </is>
      </c>
      <c r="AD124" t="inlineStr">
        <is>
          <t>ACAO:SUBSTITUIR; OBJETO:NOTA_FISCAL</t>
        </is>
      </c>
      <c r="AE124" t="inlineStr">
        <is>
          <t>Cancelamento de NF</t>
        </is>
      </c>
      <c r="AF124" t="inlineStr">
        <is>
          <t>Documento Fiscal</t>
        </is>
      </c>
      <c r="AG124" t="inlineStr">
        <is>
          <t>Cancelamento e Reemissão de Nota Fiscal</t>
        </is>
      </c>
      <c r="AI124" t="inlineStr">
        <is>
          <t>INT_NF_CANCEL_REEMISSAO</t>
        </is>
      </c>
      <c r="AJ124" t="inlineStr">
        <is>
          <t>Sugerida</t>
        </is>
      </c>
      <c r="AK124" t="b">
        <v>0</v>
      </c>
      <c r="AN124">
        <f>IF(OR(AG124="",AM124=""),"",IF(AG124=AM124,"SIM","NÃO"))</f>
        <v/>
      </c>
      <c r="AO124" t="inlineStr">
        <is>
          <t>CLASSIFIED_SIGNATURE</t>
        </is>
      </c>
    </row>
    <row r="125" ht="15.5" customHeight="1">
      <c r="A125" s="1" t="n"/>
      <c r="B125" s="67" t="inlineStr">
        <is>
          <t>Stephany Lima</t>
        </is>
      </c>
      <c r="C125" s="70">
        <f>VLOOKUP(I:I,'Referencias '!H:I,2,0)</f>
        <v/>
      </c>
      <c r="D125" s="71" t="n">
        <v>21945415</v>
      </c>
      <c r="E125" s="71" t="n">
        <v>0</v>
      </c>
      <c r="F125" s="72" t="n">
        <v>0</v>
      </c>
      <c r="G125" s="72">
        <f>VLOOKUP(H:H,'Referencias '!B:C,2,0)</f>
        <v/>
      </c>
      <c r="H125" s="72">
        <f>TRIM(_xlfn.TEXTBEFORE(_xlfn.TEXTAFTER(U125,"CNPJ/CPF:&lt;/strong&gt;"),"&lt;/p&gt;"))</f>
        <v/>
      </c>
      <c r="I125" s="70" t="inlineStr">
        <is>
          <t>Cancelamento de NF / reemissão</t>
        </is>
      </c>
      <c r="J125" s="72" t="n"/>
      <c r="K125" s="72" t="n"/>
      <c r="L125" s="70" t="inlineStr">
        <is>
          <t>FINALIZADO</t>
        </is>
      </c>
      <c r="M125" s="73" t="inlineStr">
        <is>
          <t>Médio</t>
        </is>
      </c>
      <c r="N125" s="71" t="inlineStr">
        <is>
          <t>1018 Financeiro | Desejo falar com o setor financeiro | Debora | cobrancati@cinemark.com.br</t>
        </is>
      </c>
      <c r="O125" s="74" t="n">
        <v>46146</v>
      </c>
      <c r="P125" s="123" t="n">
        <v>46157</v>
      </c>
      <c r="Q125" s="177">
        <f>TEXT(O125,"mmm/aaaa")</f>
        <v/>
      </c>
      <c r="R125" s="71" t="inlineStr">
        <is>
          <t>FABIANA DE JESUS MARTINS LISBOA</t>
        </is>
      </c>
      <c r="S125" s="71" t="inlineStr">
        <is>
          <t>cobrancati@cinemark.com.br</t>
        </is>
      </c>
      <c r="T125" s="71" t="inlineStr"/>
      <c r="U125" s="71" t="inlineStr">
        <is>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
OC000759773 Cartão Protegido
OC000759806 3DS
OC000759817 Antifraude
OC000759929 Pagador&lt;/p&gt;&lt;p&gt;&lt;strong&gt;GA Client ID:&lt;/strong&gt; 1764456801.1765984201&lt;/p&gt;&lt;p&gt;&lt;strong&gt;Lead Hash ID:&lt;/strong&gt; ae4e7ca904ec5ec8b89ceeb86ba8a422c0fbd84abebe218fe785dc0bd6b548d1&lt;/p&gt;&lt;p&gt;&lt;strong&gt;Lead Form ID:&lt;/strong</t>
        </is>
      </c>
      <c r="V125" s="71">
        <f>IFERROR(_xlfn.TEXTBEFORE(_xlfn.TEXTAFTER(U125,"Descrição do problema:&lt;/strong"),"&lt;/p&gt;"),_xlfn.TEXTAFTER(U125,"Descrição do problema:&lt;/strong"))</f>
        <v/>
      </c>
      <c r="W125" s="76">
        <f>_xlfn.CONCAT(D125:E125)</f>
        <v/>
      </c>
      <c r="X125" s="77" t="n">
        <v>46216</v>
      </c>
      <c r="Y125" s="78">
        <f>IF(X125="","Aberto","Encerrado")</f>
        <v/>
      </c>
      <c r="Z125" s="78">
        <f>IF(OR(L125="PENDENTE",L125="EM ANDAMENTO",L125="PENDENTE APROVAÇÃO CANCELAMENTO NF"),TODAY()-O125,X125-O125)</f>
        <v/>
      </c>
      <c r="AA125" s="78">
        <f>IF(Y125="Aberto",Z125+ROW()/100000,"")</f>
        <v/>
      </c>
      <c r="AB125" s="2">
        <f>IF(ISNUMBER(FIND("@cielo.com.br",S125)),"Interno","Externo")</f>
        <v/>
      </c>
      <c r="AC125" t="inlineStr">
        <is>
          <t>Substituir ou reemitir NF com PO.</t>
        </is>
      </c>
      <c r="AD125" t="inlineStr">
        <is>
          <t>ACAO:PO; ACAO:SUBSTITUIR; OBJETO:NOTA_FISCAL; OBJETO:PO; CANAL:PO</t>
        </is>
      </c>
      <c r="AE125" t="inlineStr">
        <is>
          <t>Reemissão de NF com PO</t>
        </is>
      </c>
      <c r="AF125" t="inlineStr">
        <is>
          <t>Documento Fiscal</t>
        </is>
      </c>
      <c r="AG125" t="inlineStr">
        <is>
          <t>Cancelamento e Reemissão de Nota Fiscal</t>
        </is>
      </c>
      <c r="AI125" t="inlineStr">
        <is>
          <t>INT_NF_REEMISSAO_PO</t>
        </is>
      </c>
      <c r="AJ125" t="inlineStr">
        <is>
          <t>Sugerida</t>
        </is>
      </c>
      <c r="AK125" t="b">
        <v>0</v>
      </c>
      <c r="AN125">
        <f>IF(OR(AG125="",AM125=""),"",IF(AG125=AM125,"SIM","NÃO"))</f>
        <v/>
      </c>
      <c r="AO125" t="inlineStr">
        <is>
          <t>CLASSIFIED_SIGNATURE</t>
        </is>
      </c>
    </row>
    <row r="126" ht="15.5" customHeight="1">
      <c r="A126" s="1" t="n"/>
      <c r="B126" s="67" t="inlineStr">
        <is>
          <t>Emilly Maria</t>
        </is>
      </c>
      <c r="C126" s="70">
        <f>VLOOKUP(I:I,'Referencias '!H:I,2,0)</f>
        <v/>
      </c>
      <c r="D126" s="71" t="n">
        <v>22010034</v>
      </c>
      <c r="E126" s="71" t="n">
        <v>0</v>
      </c>
      <c r="F126" s="72" t="n">
        <v>2612517570790</v>
      </c>
      <c r="G126" s="72">
        <f>T126</f>
        <v/>
      </c>
      <c r="H126" s="72">
        <f>TRIM(_xlfn.TEXTBEFORE(_xlfn.TEXTAFTER(U126,"CNPJ/CPF:&lt;/strong&gt;"),"&lt;/p&gt;"))</f>
        <v/>
      </c>
      <c r="I126" s="70" t="inlineStr">
        <is>
          <t>Cancelamento de NF / reemissão</t>
        </is>
      </c>
      <c r="J126" s="72" t="n"/>
      <c r="K126" s="72" t="n"/>
      <c r="L126" s="70" t="inlineStr">
        <is>
          <t>FINALIZADO</t>
        </is>
      </c>
      <c r="M126" s="73" t="inlineStr">
        <is>
          <t>Médio</t>
        </is>
      </c>
      <c r="N126" s="71" t="inlineStr">
        <is>
          <t>1018 Financeiro | Desejo falar com o setor financeiro | Júlia Angelozzi | julia.djesus@cielo.com.br</t>
        </is>
      </c>
      <c r="O126" s="74" t="n">
        <v>46147</v>
      </c>
      <c r="P126" s="123" t="n">
        <v>46148</v>
      </c>
      <c r="Q126" s="177">
        <f>TEXT(O126,"mmm/aaaa")</f>
        <v/>
      </c>
      <c r="R126" s="71" t="inlineStr">
        <is>
          <t>ECOMMERCE BP SUPORTE FINANCEIRO N2</t>
        </is>
      </c>
      <c r="S126" s="71" t="inlineStr">
        <is>
          <t>julia.djesus@cielo.com.br</t>
        </is>
      </c>
      <c r="T126" s="71" t="inlineStr"/>
      <c r="U126" s="71"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
PATAGONIA COMERCIO DIGITAL LTDA CNPJ
37.030.090/0001-73,  pois o mesmo formalizou previamente na data 29/12/2025 o pedido de cancelamento total dos serviços contratados- em anexo. 
Todavia, na tentativa de reverter essa solicitação e ampliar o motivo do contato, adiamos a conclusão.&lt;/p&gt;&lt;p&gt;&lt;strong&gt;ID da transação:&lt;/strong&gt; &lt;/p&gt;&lt;p&gt;&lt;strong&gt;Código do erro:&lt;/strong&gt; &lt;/p&gt;&lt;p&gt;&lt;strong&gt;Sobre qual produto ou área deseja falar?:&lt;</t>
        </is>
      </c>
      <c r="V126" s="71">
        <f>IFERROR(_xlfn.TEXTBEFORE(_xlfn.TEXTAFTER(U126,"Descrição do problema:&lt;/strong"),"&lt;/p&gt;"),_xlfn.TEXTAFTER(U126,"Descrição do problema:&lt;/strong"))</f>
        <v/>
      </c>
      <c r="W126" s="76">
        <f>_xlfn.CONCAT(D126:E126)</f>
        <v/>
      </c>
      <c r="X126" s="77" t="n">
        <v>46148</v>
      </c>
      <c r="Y126" s="78">
        <f>IF(X126="","Aberto","Encerrado")</f>
        <v/>
      </c>
      <c r="Z126" s="78">
        <f>IF(OR(L126="PENDENTE",L126="EM ANDAMENTO",L126="PENDENTE APROVAÇÃO CANCELAMENTO NF"),TODAY()-O126,X126-O126)</f>
        <v/>
      </c>
      <c r="AA126" s="78">
        <f>IF(Y126="Aberto",Z126+ROW()/100000,"")</f>
        <v/>
      </c>
      <c r="AB126" s="2">
        <f>IF(ISNUMBER(FIND("@cielo.com.br",S126)),"Interno","Externo")</f>
        <v/>
      </c>
      <c r="AC126" t="inlineStr">
        <is>
          <t>Cancelar, substituir ou reemitir nota fiscal.</t>
        </is>
      </c>
      <c r="AD126" t="inlineStr">
        <is>
          <t>ACAO:CANCELAR; OBJETO:NOTA_FISCAL</t>
        </is>
      </c>
      <c r="AE126" t="inlineStr">
        <is>
          <t>Cancelamento de NF</t>
        </is>
      </c>
      <c r="AF126" t="inlineStr">
        <is>
          <t>Documento Fiscal</t>
        </is>
      </c>
      <c r="AG126" t="inlineStr">
        <is>
          <t>Cancelamento e Reemissão de Nota Fiscal</t>
        </is>
      </c>
      <c r="AI126" t="inlineStr">
        <is>
          <t>INT_NF_CANCEL_REEMISSAO</t>
        </is>
      </c>
      <c r="AJ126" t="inlineStr">
        <is>
          <t>Sugerida</t>
        </is>
      </c>
      <c r="AK126" t="b">
        <v>0</v>
      </c>
      <c r="AN126">
        <f>IF(OR(AG126="",AM126=""),"",IF(AG126=AM126,"SIM","NÃO"))</f>
        <v/>
      </c>
      <c r="AO126" t="inlineStr">
        <is>
          <t>CLASSIFIED_SIGNATURE</t>
        </is>
      </c>
    </row>
    <row r="127" ht="15.5" customHeight="1">
      <c r="A127" s="1" t="n"/>
      <c r="B127" s="67" t="inlineStr">
        <is>
          <t>Stephany Lima</t>
        </is>
      </c>
      <c r="C127" s="70">
        <f>VLOOKUP(I:I,'Referencias '!H:I,2,0)</f>
        <v/>
      </c>
      <c r="D127" s="71" t="n">
        <v>22004578</v>
      </c>
      <c r="E127" s="71" t="n">
        <v>0</v>
      </c>
      <c r="F127" s="72" t="n">
        <v>0</v>
      </c>
      <c r="G127" s="72">
        <f>VLOOKUP(H:H,'Referencias '!B:C,2,0)</f>
        <v/>
      </c>
      <c r="H127" s="72">
        <f>TRIM(_xlfn.TEXTBEFORE(_xlfn.TEXTAFTER(U127,"CNPJ/CPF:&lt;/strong&gt;"),"&lt;/p&gt;"))</f>
        <v/>
      </c>
      <c r="I127" s="70" t="inlineStr">
        <is>
          <t>Cancelamento de NF / reemissão</t>
        </is>
      </c>
      <c r="J127" s="72" t="n"/>
      <c r="K127" s="72" t="n"/>
      <c r="L127" s="70" t="inlineStr">
        <is>
          <t>FINALIZADO</t>
        </is>
      </c>
      <c r="M127" s="73" t="inlineStr">
        <is>
          <t>Médio</t>
        </is>
      </c>
      <c r="N127" s="71" t="inlineStr">
        <is>
          <t>1018 Financeiro | Desejo falar com o setor financeiro | Mariane Oliveira dos Santos | mariane.santos@cielo.com.br</t>
        </is>
      </c>
      <c r="O127" s="74" t="n">
        <v>46147</v>
      </c>
      <c r="P127" s="123" t="n">
        <v>46163</v>
      </c>
      <c r="Q127" s="177">
        <f>TEXT(O127,"mmm/aaaa")</f>
        <v/>
      </c>
      <c r="R127" s="71" t="inlineStr">
        <is>
          <t>STEPHANY LIMA DE LISBOA</t>
        </is>
      </c>
      <c r="S127" s="71" t="inlineStr">
        <is>
          <t>mariane.santos@cielo.com.br</t>
        </is>
      </c>
      <c r="T127" s="71" t="inlineStr"/>
      <c r="U127" s="71" t="inlineStr">
        <is>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
Precisamos que as NFS referentes ao período de 26/03 até 25/04, sejam reemitidas com a data RPS de maio.
Além disso, precisamos resolver este problema definitivamente para não precisar ficar fazendo o cancelamento de NFS todos os meses.&lt;/p&gt;&lt;p&gt;&lt;strong&gt;ID da transação:&lt;/strong&gt; &lt;/p&gt;&lt;p&gt;&lt;strong&gt;Código do erro:&lt;/strong&gt; &lt;/p&gt;&lt;p&gt;&lt;strong&gt;Sobre qual produto ou ár</t>
        </is>
      </c>
      <c r="V127" s="71">
        <f>IFERROR(_xlfn.TEXTBEFORE(_xlfn.TEXTAFTER(U127,"Descrição do problema:&lt;/strong"),"&lt;/p&gt;"),_xlfn.TEXTAFTER(U127,"Descrição do problema:&lt;/strong"))</f>
        <v/>
      </c>
      <c r="W127" s="76">
        <f>_xlfn.CONCAT(D127:E127)</f>
        <v/>
      </c>
      <c r="X127" s="77" t="n">
        <v>46216</v>
      </c>
      <c r="Y127" s="78">
        <f>IF(X127="","Aberto","Encerrado")</f>
        <v/>
      </c>
      <c r="Z127" s="78">
        <f>IF(OR(L127="PENDENTE",L127="EM ANDAMENTO",L127="PENDENTE APROVAÇÃO CANCELAMENTO NF"),TODAY()-O127,X127-O127)</f>
        <v/>
      </c>
      <c r="AA127" s="78">
        <f>IF(Y127="Aberto",Z127+ROW()/100000,"")</f>
        <v/>
      </c>
      <c r="AB127" s="2">
        <f>IF(ISNUMBER(FIND("@cielo.com.br",S127)),"Interno","Externo")</f>
        <v/>
      </c>
      <c r="AC127" t="inlineStr">
        <is>
          <t>Cancelar, substituir ou reemitir nota fiscal.</t>
        </is>
      </c>
      <c r="AD127" t="inlineStr">
        <is>
          <t>ACAO:CANCELAR; ACAO:REEMITIR; OBJETO:NOTA_FISCAL</t>
        </is>
      </c>
      <c r="AE127" t="inlineStr">
        <is>
          <t>Cancelamento de NF</t>
        </is>
      </c>
      <c r="AF127" t="inlineStr">
        <is>
          <t>Documento Fiscal</t>
        </is>
      </c>
      <c r="AG127" t="inlineStr">
        <is>
          <t>Cancelamento e Reemissão de Nota Fiscal</t>
        </is>
      </c>
      <c r="AI127" t="inlineStr">
        <is>
          <t>INT_NF_CANCEL_REEMISSAO</t>
        </is>
      </c>
      <c r="AJ127" t="inlineStr">
        <is>
          <t>Sugerida</t>
        </is>
      </c>
      <c r="AK127" t="b">
        <v>0</v>
      </c>
      <c r="AN127">
        <f>IF(OR(AG127="",AM127=""),"",IF(AG127=AM127,"SIM","NÃO"))</f>
        <v/>
      </c>
      <c r="AO127" t="inlineStr">
        <is>
          <t>CLASSIFIED_SIGNATURE</t>
        </is>
      </c>
    </row>
    <row r="128" ht="15.5" customHeight="1">
      <c r="A128" s="1" t="n"/>
      <c r="B128" s="67" t="inlineStr">
        <is>
          <t>Stephany Lima</t>
        </is>
      </c>
      <c r="C128" s="70">
        <f>VLOOKUP(I:I,'Referencias '!H:I,2,0)</f>
        <v/>
      </c>
      <c r="D128" s="71" t="n">
        <v>21996121</v>
      </c>
      <c r="E128" s="71" t="n">
        <v>0</v>
      </c>
      <c r="F128" s="72" t="n">
        <v>0</v>
      </c>
      <c r="G128" s="72">
        <f>VLOOKUP(H:H,'Referencias '!B:C,2,0)</f>
        <v/>
      </c>
      <c r="H128" s="72">
        <f>TRIM(_xlfn.TEXTBEFORE(_xlfn.TEXTAFTER(U128,"CNPJ/CPF:&lt;/strong&gt;"),"&lt;/p&gt;"))</f>
        <v/>
      </c>
      <c r="I128" s="70" t="inlineStr">
        <is>
          <t>Cancelamento de NF / reemissão</t>
        </is>
      </c>
      <c r="J128" s="72" t="n"/>
      <c r="K128" s="72" t="n"/>
      <c r="L128" s="70" t="inlineStr">
        <is>
          <t>FINALIZADO</t>
        </is>
      </c>
      <c r="M128" s="73" t="inlineStr">
        <is>
          <t>Médio</t>
        </is>
      </c>
      <c r="N128" s="71" t="inlineStr">
        <is>
          <t>1018 Financeiro | Desejo falar com o setor financeiro | Mariane Oliveira dos Santos | mariane.santos@cielo.com.br</t>
        </is>
      </c>
      <c r="O128" s="74" t="n">
        <v>46147</v>
      </c>
      <c r="P128" s="123" t="n">
        <v>46147</v>
      </c>
      <c r="Q128" s="177">
        <f>TEXT(O128,"mmm/aaaa")</f>
        <v/>
      </c>
      <c r="R128" s="71" t="inlineStr">
        <is>
          <t>ECOMMERCE BP SUPORTE FINANCEIRO N2</t>
        </is>
      </c>
      <c r="S128" s="71" t="inlineStr">
        <is>
          <t>mariane.santos@cielo.com.br</t>
        </is>
      </c>
      <c r="T128" s="71" t="inlineStr"/>
      <c r="U128" s="71" t="inlineStr">
        <is>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t>
        </is>
      </c>
      <c r="V128" s="71">
        <f>IFERROR(_xlfn.TEXTBEFORE(_xlfn.TEXTAFTER(U128,"Descrição do problema:&lt;/strong"),"&lt;/p&gt;"),_xlfn.TEXTAFTER(U128,"Descrição do problema:&lt;/strong"))</f>
        <v/>
      </c>
      <c r="W128" s="76">
        <f>_xlfn.CONCAT(D128:E128)</f>
        <v/>
      </c>
      <c r="X128" s="77" t="n">
        <v>46213</v>
      </c>
      <c r="Y128" s="78">
        <f>IF(X128="","Aberto","Encerrado")</f>
        <v/>
      </c>
      <c r="Z128" s="78">
        <f>IF(OR(L128="PENDENTE",L128="EM ANDAMENTO",L128="PENDENTE APROVAÇÃO CANCELAMENTO NF"),TODAY()-O128,X128-O128)</f>
        <v/>
      </c>
      <c r="AA128" s="78">
        <f>IF(Y128="Aberto",Z128+ROW()/100000,"")</f>
        <v/>
      </c>
      <c r="AB128" s="2">
        <f>IF(ISNUMBER(FIND("@cielo.com.br",S128)),"Interno","Externo")</f>
        <v/>
      </c>
      <c r="AC128" t="inlineStr">
        <is>
          <t>Cancelar, substituir ou reemitir nota fiscal.</t>
        </is>
      </c>
      <c r="AD128" t="inlineStr">
        <is>
          <t>ACAO:CANCELAR; OBJETO:NOTA_FISCAL</t>
        </is>
      </c>
      <c r="AE128" t="inlineStr">
        <is>
          <t>Cancelamento de NF</t>
        </is>
      </c>
      <c r="AF128" t="inlineStr">
        <is>
          <t>Documento Fiscal</t>
        </is>
      </c>
      <c r="AG128" t="inlineStr">
        <is>
          <t>Cancelamento e Reemissão de Nota Fiscal</t>
        </is>
      </c>
      <c r="AI128" t="inlineStr">
        <is>
          <t>INT_NF_CANCEL_REEMISSAO</t>
        </is>
      </c>
      <c r="AJ128" t="inlineStr">
        <is>
          <t>Sugerida</t>
        </is>
      </c>
      <c r="AK128" t="b">
        <v>0</v>
      </c>
      <c r="AN128">
        <f>IF(OR(AG128="",AM128=""),"",IF(AG128=AM128,"SIM","NÃO"))</f>
        <v/>
      </c>
      <c r="AO128" t="inlineStr">
        <is>
          <t>CLASSIFIED_SIGNATURE</t>
        </is>
      </c>
    </row>
    <row r="129" ht="15.5" customHeight="1">
      <c r="A129" s="1" t="n"/>
      <c r="B129" s="67" t="inlineStr">
        <is>
          <t>Stephany Lima</t>
        </is>
      </c>
      <c r="C129" s="70">
        <f>VLOOKUP(I:I,'Referencias '!H:I,2,0)</f>
        <v/>
      </c>
      <c r="D129" s="129" t="n">
        <v>21980987</v>
      </c>
      <c r="E129" s="71" t="n">
        <v>0</v>
      </c>
      <c r="F129" s="72" t="n">
        <v>2612511551172</v>
      </c>
      <c r="G129" s="72">
        <f>T129</f>
        <v/>
      </c>
      <c r="H129" s="72">
        <f>TRIM(_xlfn.TEXTBEFORE(_xlfn.TEXTAFTER(U129,"CNPJ/CPF:&lt;/strong&gt;"),"&lt;/p&gt;"))</f>
        <v/>
      </c>
      <c r="I129" s="70" t="inlineStr">
        <is>
          <t>Cancelamento de NF / Reemissão (Mudança CNPJ)</t>
        </is>
      </c>
      <c r="J129" s="126" t="inlineStr">
        <is>
          <t>cessão contratual não migrou o contrato no billing</t>
        </is>
      </c>
      <c r="K129" s="126" t="inlineStr">
        <is>
          <t>falta encerrar</t>
        </is>
      </c>
      <c r="L129" s="70" t="inlineStr">
        <is>
          <t>FINALIZADO</t>
        </is>
      </c>
      <c r="M129" s="73" t="inlineStr">
        <is>
          <t>Médio</t>
        </is>
      </c>
      <c r="N129" s="71" t="inlineStr">
        <is>
          <t>1018 Financeiro | Desejo falar com o setor financeiro | Kelly | kelly.oliveira@hortifruti.com.br</t>
        </is>
      </c>
      <c r="O129" s="74" t="n">
        <v>46147</v>
      </c>
      <c r="P129" s="123" t="n">
        <v>46147</v>
      </c>
      <c r="Q129" s="177">
        <f>TEXT(O129,"mmm/aaaa")</f>
        <v/>
      </c>
      <c r="R129" s="71" t="inlineStr">
        <is>
          <t>ECOMMERCE BP SUPORTE FINANCEIRO N2</t>
        </is>
      </c>
      <c r="S129" s="71" t="inlineStr">
        <is>
          <t>kelly.oliveira@hortifruti.com.br</t>
        </is>
      </c>
      <c r="T129" s="71" t="inlineStr"/>
      <c r="U129" s="71" t="inlineStr">
        <is>
          <t>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As notas fiscais abaixo foram emitidas no CNPJ antigo e devem ser emitidas no novo CNPJ:
Segue as notas a serem substituídas:
NF: 0112080
NF: 0112126
NF:0112374
Novos dados:
Nome/Razão Social: HNT COMERCIO HORTIFRUTIGRANJEIROS LTDA
CPF/CNPJ: 62.336.322/0001-63
Endereço: Rua Marques de Abrantes 192, BLOCO 1 LOJA A PARTE - Flamengo - CEP: 22230-061
Município: Rio de Janeiro 
UF: RJ&lt;/p&gt;</t>
        </is>
      </c>
      <c r="V129" s="71">
        <f>IFERROR(_xlfn.TEXTBEFORE(_xlfn.TEXTAFTER(U129,"Descrição do problema:&lt;/strong"),"&lt;/p&gt;"),_xlfn.TEXTAFTER(U129,"Descrição do problema:&lt;/strong"))</f>
        <v/>
      </c>
      <c r="W129" s="76">
        <f>_xlfn.CONCAT(D129:E129)</f>
        <v/>
      </c>
      <c r="X129" s="77" t="n">
        <v>46268</v>
      </c>
      <c r="Y129" s="78">
        <f>IF(X129="","Aberto","Encerrado")</f>
        <v/>
      </c>
      <c r="Z129" s="78">
        <f>IF(OR(L129="PENDENTE",L129="EM ANDAMENTO",L129="PENDENTE APROVAÇÃO CANCELAMENTO NF"),TODAY()-O129,X129-O129)</f>
        <v/>
      </c>
      <c r="AA129" s="78">
        <f>IF(Y129="Aberto",Z129+ROW()/100000,"")</f>
        <v/>
      </c>
      <c r="AB129" s="2">
        <f>IF(ISNUMBER(FIND("@cielo.com.br",S129)),"Interno","Externo")</f>
        <v/>
      </c>
      <c r="AC129" t="inlineStr">
        <is>
          <t>Cancelar, substituir ou reemitir nota fiscal.</t>
        </is>
      </c>
      <c r="AD129" t="inlineStr">
        <is>
          <t>ACAO:SUBSTITUIR; OBJETO:NOTA_FISCAL</t>
        </is>
      </c>
      <c r="AE129" t="inlineStr">
        <is>
          <t>Cancelamento de NF</t>
        </is>
      </c>
      <c r="AF129" t="inlineStr">
        <is>
          <t>Documento Fiscal</t>
        </is>
      </c>
      <c r="AG129" t="inlineStr">
        <is>
          <t>Cancelamento e Reemissão de Nota Fiscal</t>
        </is>
      </c>
      <c r="AI129" t="inlineStr">
        <is>
          <t>INT_NF_CANCEL_REEMISSAO</t>
        </is>
      </c>
      <c r="AJ129" t="inlineStr">
        <is>
          <t>Sugerida</t>
        </is>
      </c>
      <c r="AK129" t="b">
        <v>0</v>
      </c>
      <c r="AN129">
        <f>IF(OR(AG129="",AM129=""),"",IF(AG129=AM129,"SIM","NÃO"))</f>
        <v/>
      </c>
      <c r="AO129" t="inlineStr">
        <is>
          <t>CLASSIFIED_SIGNATURE</t>
        </is>
      </c>
    </row>
    <row r="130" ht="15.5" customHeight="1">
      <c r="A130" s="1" t="n"/>
      <c r="B130" s="67" t="inlineStr">
        <is>
          <t>Emilly Maria</t>
        </is>
      </c>
      <c r="C130" s="70">
        <f>VLOOKUP(I:I,'Referencias '!H:I,2,0)</f>
        <v/>
      </c>
      <c r="D130" s="71" t="n">
        <v>22101893</v>
      </c>
      <c r="E130" s="71" t="n">
        <v>0</v>
      </c>
      <c r="F130" s="72" t="n">
        <v>2612715632566</v>
      </c>
      <c r="G130" s="72">
        <f>VLOOKUP(H:H,'Referencias '!B:C,2,0)</f>
        <v/>
      </c>
      <c r="H130" s="72">
        <f>TRIM(_xlfn.TEXTBEFORE(_xlfn.TEXTAFTER(U130,"CNPJ/CPF:&lt;/strong&gt;"),"&lt;/p&gt;"))</f>
        <v/>
      </c>
      <c r="I130" s="70" t="inlineStr">
        <is>
          <t>Cancelamento de NF / reemissão</t>
        </is>
      </c>
      <c r="J130" s="72" t="n"/>
      <c r="K130" s="72" t="n"/>
      <c r="L130" s="70" t="inlineStr">
        <is>
          <t>FINALIZADO</t>
        </is>
      </c>
      <c r="M130" s="73" t="inlineStr">
        <is>
          <t>Médio</t>
        </is>
      </c>
      <c r="N130" s="71" t="inlineStr">
        <is>
          <t>1018 Financeiro | Desejo falar com o setor financeiro | ELO CONSULTORIA E SOLUCOES LTDA | ariane.pasilva@cielo.com.br</t>
        </is>
      </c>
      <c r="O130" s="74" t="n">
        <v>46149</v>
      </c>
      <c r="P130" s="123" t="n">
        <v>46149</v>
      </c>
      <c r="Q130" s="177">
        <f>TEXT(O130,"mmm/aaaa")</f>
        <v/>
      </c>
      <c r="R130" s="71" t="inlineStr">
        <is>
          <t>ECOMMERCE BP SUPORTE FINANCEIRO N2</t>
        </is>
      </c>
      <c r="S130" s="71" t="inlineStr">
        <is>
          <t>ariane.pasilva@cielo.com.br</t>
        </is>
      </c>
      <c r="T130" s="71" t="inlineStr"/>
      <c r="U130" s="71" t="inlineStr">
        <is>
          <t xml:space="preserve">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
 </t>
        </is>
      </c>
      <c r="V130" s="71">
        <f>IFERROR(_xlfn.TEXTBEFORE(_xlfn.TEXTAFTER(U130,"Descrição do problema:&lt;/strong"),"&lt;/p&gt;"),_xlfn.TEXTAFTER(U130,"Descrição do problema:&lt;/strong"))</f>
        <v/>
      </c>
      <c r="W130" s="76">
        <f>_xlfn.CONCAT(D130:E130)</f>
        <v/>
      </c>
      <c r="X130" s="77" t="n">
        <v>46248</v>
      </c>
      <c r="Y130" s="78">
        <f>IF(X130="","Aberto","Encerrado")</f>
        <v/>
      </c>
      <c r="Z130" s="78">
        <f>IF(OR(L130="PENDENTE",L130="EM ANDAMENTO",L130="PENDENTE APROVAÇÃO CANCELAMENTO NF"),TODAY()-O130,X130-O130)</f>
        <v/>
      </c>
      <c r="AA130" s="78">
        <f>IF(Y130="Aberto",Z130+ROW()/100000,"")</f>
        <v/>
      </c>
      <c r="AB130" s="2">
        <f>IF(ISNUMBER(FIND("@cielo.com.br",S130)),"Interno","Externo")</f>
        <v/>
      </c>
      <c r="AC130" t="inlineStr">
        <is>
          <t>Cancelar, substituir ou reemitir nota fiscal.</t>
        </is>
      </c>
      <c r="AD130" t="inlineStr">
        <is>
          <t>ACAO:CANCELAR; ACAO:SUBSTITUIR; OBJETO:NOTA_FISCAL</t>
        </is>
      </c>
      <c r="AE130" t="inlineStr">
        <is>
          <t>Cancelamento de NF</t>
        </is>
      </c>
      <c r="AF130" t="inlineStr">
        <is>
          <t>Documento Fiscal</t>
        </is>
      </c>
      <c r="AG130" t="inlineStr">
        <is>
          <t>Cancelamento e Reemissão de Nota Fiscal</t>
        </is>
      </c>
      <c r="AI130" t="inlineStr">
        <is>
          <t>INT_NF_CANCEL_REEMISSAO</t>
        </is>
      </c>
      <c r="AJ130" t="inlineStr">
        <is>
          <t>Sugerida</t>
        </is>
      </c>
      <c r="AK130" t="b">
        <v>0</v>
      </c>
      <c r="AN130">
        <f>IF(OR(AG130="",AM130=""),"",IF(AG130=AM130,"SIM","NÃO"))</f>
        <v/>
      </c>
      <c r="AO130" t="inlineStr">
        <is>
          <t>CLASSIFIED_SIGNATURE</t>
        </is>
      </c>
    </row>
    <row r="131" ht="15.5" customHeight="1">
      <c r="A131" s="1" t="n"/>
      <c r="B131" s="67" t="inlineStr">
        <is>
          <t>Emilly Maria</t>
        </is>
      </c>
      <c r="C131" s="70">
        <f>VLOOKUP(I:I,'Referencias '!H:I,2,0)</f>
        <v/>
      </c>
      <c r="D131" s="71" t="n">
        <v>22091039</v>
      </c>
      <c r="E131" s="71" t="n">
        <v>0</v>
      </c>
      <c r="F131" s="72" t="n">
        <v>0</v>
      </c>
      <c r="G131" s="72">
        <f>VLOOKUP(H:H,'Referencias '!B:C,2,0)</f>
        <v/>
      </c>
      <c r="H131" s="72">
        <f>TRIM(_xlfn.TEXTBEFORE(_xlfn.TEXTAFTER(U131,"CNPJ/CPF:&lt;/strong&gt;"),"&lt;/p&gt;"))</f>
        <v/>
      </c>
      <c r="I131" s="70" t="inlineStr">
        <is>
          <t>Cancelamento de NF / reemissão</t>
        </is>
      </c>
      <c r="J131" s="72" t="n"/>
      <c r="K131" s="72" t="n"/>
      <c r="L131" s="70" t="inlineStr">
        <is>
          <t>FINALIZADO</t>
        </is>
      </c>
      <c r="M131" s="73" t="inlineStr">
        <is>
          <t>Médio</t>
        </is>
      </c>
      <c r="N131" s="71" t="inlineStr">
        <is>
          <t>1001 Split de Pagamento | Estou em produção e tenho uma dúvida | Gabriel Alexandre Brites | gabriel_1510_britess@hotmail.com</t>
        </is>
      </c>
      <c r="O131" s="74" t="n">
        <v>46149</v>
      </c>
      <c r="P131" s="123" t="n">
        <v>46155</v>
      </c>
      <c r="Q131" s="177">
        <f>TEXT(O131,"mmm/aaaa")</f>
        <v/>
      </c>
      <c r="R131" s="71" t="inlineStr">
        <is>
          <t>ECOMMERCE BP SUPORTE FINANCEIRO N2</t>
        </is>
      </c>
      <c r="S131" s="71" t="inlineStr">
        <is>
          <t>gabriel_1510_britess@hotmail.com</t>
        </is>
      </c>
      <c r="T131" s="71" t="inlineStr">
        <is>
          <t>KINGPAY</t>
        </is>
      </c>
      <c r="U131" s="71" t="inlineStr">
        <is>
          <t>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
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t>
        </is>
      </c>
      <c r="V131" s="71">
        <f>IFERROR(_xlfn.TEXTBEFORE(_xlfn.TEXTAFTER(U131,"Descrição do problema:&lt;/strong"),"&lt;/p&gt;"),_xlfn.TEXTAFTER(U131,"Descrição do problema:&lt;/strong"))</f>
        <v/>
      </c>
      <c r="W131" s="76">
        <f>_xlfn.CONCAT(D131:E131)</f>
        <v/>
      </c>
      <c r="X131" s="77" t="n">
        <v>46226</v>
      </c>
      <c r="Y131" s="78">
        <f>IF(X131="","Aberto","Encerrado")</f>
        <v/>
      </c>
      <c r="Z131" s="78">
        <f>IF(OR(L131="PENDENTE",L131="EM ANDAMENTO",L131="PENDENTE APROVAÇÃO CANCELAMENTO NF"),TODAY()-O131,X131-O131)</f>
        <v/>
      </c>
      <c r="AA131" s="78">
        <f>IF(Y131="Aberto",Z131+ROW()/100000,"")</f>
        <v/>
      </c>
      <c r="AB131" s="2">
        <f>IF(ISNUMBER(FIND("@cielo.com.br",S131)),"Interno","Externo")</f>
        <v/>
      </c>
      <c r="AD131" t="inlineStr"/>
      <c r="AJ131" t="inlineStr">
        <is>
          <t>Sem correspondência</t>
        </is>
      </c>
      <c r="AK131" t="b">
        <v>0</v>
      </c>
      <c r="AN131">
        <f>IF(OR(AG131="",AM131=""),"",IF(AG131=AM131,"SIM","NÃO"))</f>
        <v/>
      </c>
      <c r="AO131" t="inlineStr">
        <is>
          <t>NO_PATTERN</t>
        </is>
      </c>
    </row>
    <row r="132" ht="15.5" customHeight="1">
      <c r="A132" s="1" t="n"/>
      <c r="B132" s="67" t="inlineStr">
        <is>
          <t>Stephany Lima</t>
        </is>
      </c>
      <c r="C132" s="70">
        <f>VLOOKUP(I:I,'Referencias '!H:I,2,0)</f>
        <v/>
      </c>
      <c r="D132" s="71" t="n">
        <v>22209508</v>
      </c>
      <c r="E132" s="71" t="n">
        <v>0</v>
      </c>
      <c r="F132" s="72" t="n">
        <v>2613116705546</v>
      </c>
      <c r="G132" s="72">
        <f>VLOOKUP(H:H,'Referencias '!B:C,2,0)</f>
        <v/>
      </c>
      <c r="H132" s="72">
        <f>TRIM(_xlfn.TEXTBEFORE(_xlfn.TEXTAFTER(U132,"CNPJ/CPF:&lt;/strong&gt;"),"&lt;/p&gt;"))</f>
        <v/>
      </c>
      <c r="I132" s="70" t="inlineStr">
        <is>
          <t>Alteração de vencimento / prorrogação</t>
        </is>
      </c>
      <c r="J132" s="72" t="n"/>
      <c r="K132" s="72" t="n"/>
      <c r="L132" s="70" t="inlineStr">
        <is>
          <t>FINALIZADO</t>
        </is>
      </c>
      <c r="M132" s="73" t="inlineStr">
        <is>
          <t>Alta</t>
        </is>
      </c>
      <c r="N132" s="71" t="inlineStr">
        <is>
          <t>1018 Financeiro | Desejo falar com o setor financeiro | Fernanda | fernanda.scamarneira@cielo.com.br</t>
        </is>
      </c>
      <c r="O132" s="74" t="n">
        <v>46153</v>
      </c>
      <c r="P132" s="123" t="n">
        <v>46153</v>
      </c>
      <c r="Q132" s="177">
        <f>TEXT(O132,"mmm/aaaa")</f>
        <v/>
      </c>
      <c r="R132" s="71" t="inlineStr">
        <is>
          <t>ECOMMERCE BP SUPORTE FINANCEIRO N2</t>
        </is>
      </c>
      <c r="S132" s="71" t="inlineStr">
        <is>
          <t>fernanda.scamarneira@cielo.com.br</t>
        </is>
      </c>
      <c r="T132" s="71" t="inlineStr"/>
      <c r="U132" s="71" t="inlineStr">
        <is>
          <t>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
Sendo assim, não estão conseguindo pagar as notas do Pagador e do Cartão Protegido. 
Conseguimos incluir eles no fluxo de substituição de notas no primeiro dia util no mês seguinte com 10 dias de vencimento? 
CNPJs:
02.971.360/0001-66
02.971.360/0008-32&lt;/p&gt;&lt;p&gt;&lt;strong&gt;GA Client ID:&lt;/strong&gt; 1403402793.175</t>
        </is>
      </c>
      <c r="V132" s="71">
        <f>IFERROR(_xlfn.TEXTBEFORE(_xlfn.TEXTAFTER(U132,"Descrição do problema:&lt;/strong"),"&lt;/p&gt;"),_xlfn.TEXTAFTER(U132,"Descrição do problema:&lt;/strong"))</f>
        <v/>
      </c>
      <c r="W132" s="76">
        <f>_xlfn.CONCAT(D132:E132)</f>
        <v/>
      </c>
      <c r="X132" s="77" t="n">
        <v>46226</v>
      </c>
      <c r="Y132" s="78">
        <f>IF(X132="","Aberto","Encerrado")</f>
        <v/>
      </c>
      <c r="Z132" s="78">
        <f>IF(OR(L132="PENDENTE",L132="EM ANDAMENTO",L132="PENDENTE APROVAÇÃO CANCELAMENTO NF"),TODAY()-O132,X132-O132)</f>
        <v/>
      </c>
      <c r="AA132" s="78">
        <f>IF(Y132="Aberto",Z132+ROW()/100000,"")</f>
        <v/>
      </c>
      <c r="AB132" s="2">
        <f>IF(ISNUMBER(FIND("@cielo.com.br",S132)),"Interno","Externo")</f>
        <v/>
      </c>
      <c r="AC132" t="inlineStr">
        <is>
          <t>Cancelar, substituir ou reemitir nota fiscal.</t>
        </is>
      </c>
      <c r="AD132" t="inlineStr">
        <is>
          <t>ACAO:SUBSTITUIR; OBJETO:NOTA_FISCAL</t>
        </is>
      </c>
      <c r="AE132" t="inlineStr">
        <is>
          <t>Cancelamento de NF</t>
        </is>
      </c>
      <c r="AF132" t="inlineStr">
        <is>
          <t>Documento Fiscal</t>
        </is>
      </c>
      <c r="AG132" t="inlineStr">
        <is>
          <t>Cancelamento e Reemissão de Nota Fiscal</t>
        </is>
      </c>
      <c r="AI132" t="inlineStr">
        <is>
          <t>INT_NF_CANCEL_REEMISSAO</t>
        </is>
      </c>
      <c r="AJ132" t="inlineStr">
        <is>
          <t>Sugerida</t>
        </is>
      </c>
      <c r="AK132" t="b">
        <v>0</v>
      </c>
      <c r="AN132">
        <f>IF(OR(AG132="",AM132=""),"",IF(AG132=AM132,"SIM","NÃO"))</f>
        <v/>
      </c>
      <c r="AO132" t="inlineStr">
        <is>
          <t>CLASSIFIED_SIGNATURE</t>
        </is>
      </c>
    </row>
    <row r="133" ht="15.5" customHeight="1">
      <c r="A133" s="1" t="n"/>
      <c r="B133" s="67" t="inlineStr">
        <is>
          <t>Stephany Lima</t>
        </is>
      </c>
      <c r="C133" s="70">
        <f>VLOOKUP(I:I,'Referencias '!H:I,2,0)</f>
        <v/>
      </c>
      <c r="D133" s="71" t="n">
        <v>22173103</v>
      </c>
      <c r="E133" s="71" t="n">
        <v>0</v>
      </c>
      <c r="F133" s="72" t="n">
        <v>2613109680970</v>
      </c>
      <c r="G133" s="72">
        <f>VLOOKUP(H:H,'Referencias '!B:C,2,0)</f>
        <v/>
      </c>
      <c r="H133" s="72">
        <f>TRIM(_xlfn.TEXTBEFORE(_xlfn.TEXTAFTER(U133,"CNPJ/CPF:&lt;/strong&gt;"),"&lt;/p&gt;"))</f>
        <v/>
      </c>
      <c r="I133" s="70" t="inlineStr">
        <is>
          <t>Cancelamento de NF / reemissão</t>
        </is>
      </c>
      <c r="J133" s="72" t="n"/>
      <c r="K133" s="72" t="n"/>
      <c r="L133" s="70" t="inlineStr">
        <is>
          <t>FINALIZADO</t>
        </is>
      </c>
      <c r="M133" s="73" t="inlineStr">
        <is>
          <t>Médio</t>
        </is>
      </c>
      <c r="N133" s="71" t="inlineStr">
        <is>
          <t>1018 Financeiro | Desejo falar com o setor financeiro | I-RETAIL SERVICOS DE CONSULTORIA DE | ariane.pasilva@cielo.com.br</t>
        </is>
      </c>
      <c r="O133" s="74" t="n">
        <v>46153</v>
      </c>
      <c r="P133" s="123" t="n">
        <v>46162</v>
      </c>
      <c r="Q133" s="177">
        <f>TEXT(O133,"mmm/aaaa")</f>
        <v/>
      </c>
      <c r="R133" s="71" t="inlineStr">
        <is>
          <t>ECOMMERCE BP SUPORTE FINANCEIRO N2</t>
        </is>
      </c>
      <c r="S133" s="71" t="inlineStr">
        <is>
          <t>ariane.pasilva@cielo.com.br</t>
        </is>
      </c>
      <c r="T133" s="71" t="inlineStr">
        <is>
          <t>IRETAIL SERVICOS DE CONSULTORIA</t>
        </is>
      </c>
      <c r="U133" s="71" t="inlineStr">
        <is>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t>
        </is>
      </c>
      <c r="V133" s="71">
        <f>IFERROR(_xlfn.TEXTBEFORE(_xlfn.TEXTAFTER(U133,"Descrição do problema:&lt;/strong"),"&lt;/p&gt;"),_xlfn.TEXTAFTER(U133,"Descrição do problema:&lt;/strong"))</f>
        <v/>
      </c>
      <c r="W133" s="76">
        <f>_xlfn.CONCAT(D133:E133)</f>
        <v/>
      </c>
      <c r="X133" s="77" t="n">
        <v>46227</v>
      </c>
      <c r="Y133" s="78">
        <f>IF(X133="","Aberto","Encerrado")</f>
        <v/>
      </c>
      <c r="Z133" s="78">
        <f>IF(OR(L133="PENDENTE",L133="EM ANDAMENTO",L133="PENDENTE APROVAÇÃO CANCELAMENTO NF"),TODAY()-O133,X133-O133)</f>
        <v/>
      </c>
      <c r="AA133" s="78">
        <f>IF(Y133="Aberto",Z133+ROW()/100000,"")</f>
        <v/>
      </c>
      <c r="AB133" s="2">
        <f>IF(ISNUMBER(FIND("@cielo.com.br",S133)),"Interno","Externo")</f>
        <v/>
      </c>
      <c r="AC133" t="inlineStr">
        <is>
          <t>Substituir ou reemitir NF com PO.</t>
        </is>
      </c>
      <c r="AD133" t="inlineStr">
        <is>
          <t>ACAO:PO; ACAO:SUBSTITUIR; OBJETO:NOTA_FISCAL; OBJETO:PO; CANAL:PO</t>
        </is>
      </c>
      <c r="AE133" t="inlineStr">
        <is>
          <t>Reemissão de NF com PO</t>
        </is>
      </c>
      <c r="AF133" t="inlineStr">
        <is>
          <t>Documento Fiscal</t>
        </is>
      </c>
      <c r="AG133" t="inlineStr">
        <is>
          <t>Cancelamento e Reemissão de Nota Fiscal</t>
        </is>
      </c>
      <c r="AI133" t="inlineStr">
        <is>
          <t>INT_NF_REEMISSAO_PO</t>
        </is>
      </c>
      <c r="AJ133" t="inlineStr">
        <is>
          <t>Sugerida</t>
        </is>
      </c>
      <c r="AK133" t="b">
        <v>0</v>
      </c>
      <c r="AN133">
        <f>IF(OR(AG133="",AM133=""),"",IF(AG133=AM133,"SIM","NÃO"))</f>
        <v/>
      </c>
      <c r="AO133" t="inlineStr">
        <is>
          <t>CLASSIFIED_SIGNATURE</t>
        </is>
      </c>
    </row>
    <row r="134" ht="15.5" customHeight="1">
      <c r="A134" s="1" t="n"/>
      <c r="B134" s="67" t="inlineStr">
        <is>
          <t>Stephany Lima</t>
        </is>
      </c>
      <c r="C134" s="70">
        <f>VLOOKUP(I:I,'Referencias '!H:I,2,0)</f>
        <v/>
      </c>
      <c r="D134" s="71" t="n">
        <v>22331164</v>
      </c>
      <c r="E134" s="71" t="n">
        <v>0</v>
      </c>
      <c r="F134" s="72" t="n">
        <v>0</v>
      </c>
      <c r="G134" s="72">
        <f>VLOOKUP(H:H,'Referencias '!B:C,2,0)</f>
        <v/>
      </c>
      <c r="H134" s="72">
        <f>TRIM(_xlfn.TEXTBEFORE(_xlfn.TEXTAFTER(U134,"CNPJ/CPF:&lt;/strong&gt;"),"&lt;/p&gt;"))</f>
        <v/>
      </c>
      <c r="I134" s="70" t="inlineStr">
        <is>
          <t>Cancelamento de NF / reemissão</t>
        </is>
      </c>
      <c r="J134" s="72" t="n"/>
      <c r="K134" s="72" t="n"/>
      <c r="L134" s="70" t="inlineStr">
        <is>
          <t>FINALIZADO</t>
        </is>
      </c>
      <c r="M134" s="73" t="inlineStr">
        <is>
          <t>Médio</t>
        </is>
      </c>
      <c r="N134" s="71" t="inlineStr">
        <is>
          <t>1018 Financeiro | Desejo falar com o setor financeiro | ALFA  AGENCIA DE VIAGENS LTDA | ariane.pasilva@cielo.com.br</t>
        </is>
      </c>
      <c r="O134" s="74" t="n">
        <v>46156</v>
      </c>
      <c r="P134" s="123" t="n">
        <v>46213</v>
      </c>
      <c r="Q134" s="177">
        <f>TEXT(O134,"mmm/aaaa")</f>
        <v/>
      </c>
      <c r="R134" s="71" t="inlineStr">
        <is>
          <t>STEPHANY LIMA DE LISBOA</t>
        </is>
      </c>
      <c r="S134" s="71" t="inlineStr">
        <is>
          <t>ariane.pasilva@cielo.com.br</t>
        </is>
      </c>
      <c r="T134" s="71" t="inlineStr">
        <is>
          <t>ALFA OPERADORA</t>
        </is>
      </c>
      <c r="U134" s="71" t="inlineStr">
        <is>
          <t>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t>
        </is>
      </c>
      <c r="V134" s="71">
        <f>IFERROR(_xlfn.TEXTBEFORE(_xlfn.TEXTAFTER(U134,"Descrição do problema:&lt;/strong"),"&lt;/p&gt;"),_xlfn.TEXTAFTER(U134,"Descrição do problema:&lt;/strong"))</f>
        <v/>
      </c>
      <c r="W134" s="76">
        <f>_xlfn.CONCAT(D134:E134)</f>
        <v/>
      </c>
      <c r="X134" s="77" t="n">
        <v>46216</v>
      </c>
      <c r="Y134" s="78">
        <f>IF(X134="","Aberto","Encerrado")</f>
        <v/>
      </c>
      <c r="Z134" s="78">
        <f>IF(OR(L134="PENDENTE",L134="EM ANDAMENTO",L134="PENDENTE APROVAÇÃO CANCELAMENTO NF"),TODAY()-O134,X134-O134)</f>
        <v/>
      </c>
      <c r="AA134" s="78">
        <f>IF(Y134="Aberto",Z134+ROW()/100000,"")</f>
        <v/>
      </c>
      <c r="AB134" s="2">
        <f>IF(ISNUMBER(FIND("@cielo.com.br",S134)),"Interno","Externo")</f>
        <v/>
      </c>
      <c r="AC134" t="inlineStr">
        <is>
          <t>Cancelar, substituir ou reemitir nota fiscal.</t>
        </is>
      </c>
      <c r="AD134" t="inlineStr">
        <is>
          <t>ACAO:CANCELAR; ACAO:SUSPENDER; OBJETO:NOTA_FISCAL; OBJETO:SUSPENDER</t>
        </is>
      </c>
      <c r="AE134" t="inlineStr">
        <is>
          <t>Cancelamento de NF</t>
        </is>
      </c>
      <c r="AF134" t="inlineStr">
        <is>
          <t>Documento Fiscal</t>
        </is>
      </c>
      <c r="AG134" t="inlineStr">
        <is>
          <t>Cancelamento e Reemissão de Nota Fiscal</t>
        </is>
      </c>
      <c r="AI134" t="inlineStr">
        <is>
          <t>INT_NF_CANCEL_REEMISSAO</t>
        </is>
      </c>
      <c r="AJ134" t="inlineStr">
        <is>
          <t>Sugerida</t>
        </is>
      </c>
      <c r="AK134" t="b">
        <v>0</v>
      </c>
      <c r="AN134">
        <f>IF(OR(AG134="",AM134=""),"",IF(AG134=AM134,"SIM","NÃO"))</f>
        <v/>
      </c>
      <c r="AO134" t="inlineStr">
        <is>
          <t>CLASSIFIED_SIGNATURE</t>
        </is>
      </c>
    </row>
    <row r="135" ht="15.5" customHeight="1">
      <c r="A135" s="1" t="n"/>
      <c r="B135" s="67" t="inlineStr">
        <is>
          <t>Emilly Maria</t>
        </is>
      </c>
      <c r="C135" s="70">
        <f>VLOOKUP(I:I,'Referencias '!H:I,2,0)</f>
        <v/>
      </c>
      <c r="D135" s="71" t="n">
        <v>22395904</v>
      </c>
      <c r="E135" s="71" t="n">
        <v>0</v>
      </c>
      <c r="F135" s="72" t="n">
        <v>0</v>
      </c>
      <c r="G135" s="72">
        <f>T135</f>
        <v/>
      </c>
      <c r="H135" s="72">
        <f>TRIM(_xlfn.TEXTBEFORE(_xlfn.TEXTAFTER(U135,"CNPJ/CPF:&lt;/strong&gt;"),"&lt;/p&gt;"))</f>
        <v/>
      </c>
      <c r="I135" s="70" t="inlineStr">
        <is>
          <t>Cancelamento de NF / reemissão</t>
        </is>
      </c>
      <c r="J135" s="72" t="n"/>
      <c r="K135" s="72" t="n"/>
      <c r="L135" s="70" t="inlineStr">
        <is>
          <t>FINALIZADO</t>
        </is>
      </c>
      <c r="M135" s="73" t="inlineStr">
        <is>
          <t>Médio</t>
        </is>
      </c>
      <c r="N135" s="71" t="inlineStr">
        <is>
          <t>1018 Financeiro | Desejo falar com o setor financeiro | SIXPEL DISTRIBUIDORA LTDA | ariane.pasilva@cielo.com.br</t>
        </is>
      </c>
      <c r="O135" s="74" t="n">
        <v>46157</v>
      </c>
      <c r="P135" s="123" t="n">
        <v>46210</v>
      </c>
      <c r="Q135" s="177">
        <f>TEXT(O135,"mmm/aaaa")</f>
        <v/>
      </c>
      <c r="R135" s="71" t="inlineStr">
        <is>
          <t>Emilly Maria Sousa Almeida</t>
        </is>
      </c>
      <c r="S135" s="71" t="inlineStr">
        <is>
          <t>ariane.pasilva@cielo.com.br</t>
        </is>
      </c>
      <c r="T135" s="71" t="inlineStr"/>
      <c r="U135" s="71" t="inlineStr">
        <is>
          <t>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
NFS duplicadas mesmo período
NF 113769
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t>
        </is>
      </c>
      <c r="V135" s="71">
        <f>IFERROR(_xlfn.TEXTBEFORE(_xlfn.TEXTAFTER(U135,"Descrição do problema:&lt;/strong"),"&lt;/p&gt;"),_xlfn.TEXTAFTER(U135,"Descrição do problema:&lt;/strong"))</f>
        <v/>
      </c>
      <c r="W135" s="76">
        <f>_xlfn.CONCAT(D135:E135)</f>
        <v/>
      </c>
      <c r="X135" s="77" t="n">
        <v>46217</v>
      </c>
      <c r="Y135" s="78">
        <f>IF(X135="","Aberto","Encerrado")</f>
        <v/>
      </c>
      <c r="Z135" s="78">
        <f>IF(OR(L135="PENDENTE",L135="EM ANDAMENTO",L135="PENDENTE APROVAÇÃO CANCELAMENTO NF"),TODAY()-O135,X135-O135)</f>
        <v/>
      </c>
      <c r="AA135" s="78">
        <f>IF(Y135="Aberto",Z135+ROW()/100000,"")</f>
        <v/>
      </c>
      <c r="AB135" s="2">
        <f>IF(ISNUMBER(FIND("@cielo.com.br",S135)),"Interno","Externo")</f>
        <v/>
      </c>
      <c r="AC135" t="inlineStr">
        <is>
          <t>Cancelar, substituir ou reemitir nota fiscal.</t>
        </is>
      </c>
      <c r="AD135" t="inlineStr">
        <is>
          <t>ACAO:CANCELAR; OBJETO:NOTA_FISCAL; CONTEXTO:DUPLICIDADE</t>
        </is>
      </c>
      <c r="AE135" t="inlineStr">
        <is>
          <t>Cancelamento de NF</t>
        </is>
      </c>
      <c r="AF135" t="inlineStr">
        <is>
          <t>Documento Fiscal</t>
        </is>
      </c>
      <c r="AG135" t="inlineStr">
        <is>
          <t>Cancelamento e Reemissão de Nota Fiscal</t>
        </is>
      </c>
      <c r="AI135" t="inlineStr">
        <is>
          <t>INT_NF_CANCEL_REEMISSAO</t>
        </is>
      </c>
      <c r="AJ135" t="inlineStr">
        <is>
          <t>Sugerida</t>
        </is>
      </c>
      <c r="AK135" t="b">
        <v>0</v>
      </c>
      <c r="AN135">
        <f>IF(OR(AG135="",AM135=""),"",IF(AG135=AM135,"SIM","NÃO"))</f>
        <v/>
      </c>
      <c r="AO135" t="inlineStr">
        <is>
          <t>CLASSIFIED_SIGNATURE</t>
        </is>
      </c>
    </row>
    <row r="136" ht="15.5" customHeight="1">
      <c r="A136" s="1" t="n"/>
      <c r="B136" s="67" t="inlineStr">
        <is>
          <t>Emilly Maria</t>
        </is>
      </c>
      <c r="C136" s="70">
        <f>VLOOKUP(I:I,'Referencias '!H:I,2,0)</f>
        <v/>
      </c>
      <c r="D136" s="71" t="n">
        <v>22426805</v>
      </c>
      <c r="E136" s="71" t="n">
        <v>0</v>
      </c>
      <c r="F136" s="72" t="n">
        <v>0</v>
      </c>
      <c r="G136" s="72">
        <f>VLOOKUP(H:H,'Referencias '!B:C,2,0)</f>
        <v/>
      </c>
      <c r="H136" s="72">
        <f>TRIM(_xlfn.TEXTBEFORE(_xlfn.TEXTAFTER(U136,"CNPJ/CPF:&lt;/strong&gt;"),"&lt;/p&gt;"))</f>
        <v/>
      </c>
      <c r="I136" s="70" t="inlineStr">
        <is>
          <t>Cancelamento de NF / reemissão</t>
        </is>
      </c>
      <c r="J136" s="72" t="n"/>
      <c r="K136" s="72" t="n"/>
      <c r="L136" s="70" t="inlineStr">
        <is>
          <t>FINALIZADO</t>
        </is>
      </c>
      <c r="M136" s="73" t="inlineStr">
        <is>
          <t>Médio</t>
        </is>
      </c>
      <c r="N136" s="71" t="inlineStr">
        <is>
          <t>1018 Financeiro | Desejo falar com o setor financeiro | COVABRA SUPERMERCADOS LTDA | ariane.pasilva@cielo.com.br</t>
        </is>
      </c>
      <c r="O136" s="74" t="n">
        <v>46160</v>
      </c>
      <c r="P136" s="123" t="n">
        <v>46160</v>
      </c>
      <c r="Q136" s="177">
        <f>TEXT(O136,"mmm/aaaa")</f>
        <v/>
      </c>
      <c r="R136" s="71" t="inlineStr">
        <is>
          <t>ECOMMERCE BP SUPORTE FINANCEIRO N2</t>
        </is>
      </c>
      <c r="S136" s="71" t="inlineStr">
        <is>
          <t>ariane.pasilva@cielo.com.br</t>
        </is>
      </c>
      <c r="T136" s="71" t="inlineStr"/>
      <c r="U136" s="71"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
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t>
        </is>
      </c>
      <c r="V136" s="71">
        <f>IFERROR(_xlfn.TEXTBEFORE(_xlfn.TEXTAFTER(U136,"Descrição do problema:&lt;/strong"),"&lt;/p&gt;"),_xlfn.TEXTAFTER(U136,"Descrição do problema:&lt;/strong"))</f>
        <v/>
      </c>
      <c r="W136" s="76">
        <f>_xlfn.CONCAT(D136:E136)</f>
        <v/>
      </c>
      <c r="X136" s="77" t="n">
        <v>46223</v>
      </c>
      <c r="Y136" s="78">
        <f>IF(X136="","Aberto","Encerrado")</f>
        <v/>
      </c>
      <c r="Z136" s="78">
        <f>IF(OR(L136="PENDENTE",L136="EM ANDAMENTO",L136="PENDENTE APROVAÇÃO CANCELAMENTO NF"),TODAY()-O136,X136-O136)</f>
        <v/>
      </c>
      <c r="AA136" s="78">
        <f>IF(Y136="Aberto",Z136+ROW()/100000,"")</f>
        <v/>
      </c>
      <c r="AB136" s="2">
        <f>IF(ISNUMBER(FIND("@cielo.com.br",S136)),"Interno","Externo")</f>
        <v/>
      </c>
      <c r="AC136" t="inlineStr">
        <is>
          <t>Cancelar, substituir ou reemitir nota fiscal.</t>
        </is>
      </c>
      <c r="AD136" t="inlineStr">
        <is>
          <t>ACAO:REEMITIR; OBJETO:NOTA_FISCAL</t>
        </is>
      </c>
      <c r="AE136" t="inlineStr">
        <is>
          <t>Cancelamento de NF</t>
        </is>
      </c>
      <c r="AF136" t="inlineStr">
        <is>
          <t>Documento Fiscal</t>
        </is>
      </c>
      <c r="AG136" t="inlineStr">
        <is>
          <t>Cancelamento e Reemissão de Nota Fiscal</t>
        </is>
      </c>
      <c r="AI136" t="inlineStr">
        <is>
          <t>INT_NF_CANCEL_REEMISSAO</t>
        </is>
      </c>
      <c r="AJ136" t="inlineStr">
        <is>
          <t>Sugerida</t>
        </is>
      </c>
      <c r="AK136" t="b">
        <v>0</v>
      </c>
      <c r="AN136">
        <f>IF(OR(AG136="",AM136=""),"",IF(AG136=AM136,"SIM","NÃO"))</f>
        <v/>
      </c>
      <c r="AO136" t="inlineStr">
        <is>
          <t>CLASSIFIED_SIGNATURE</t>
        </is>
      </c>
    </row>
    <row r="137" ht="15.5" customHeight="1">
      <c r="A137" s="1" t="n"/>
      <c r="B137" s="67" t="inlineStr">
        <is>
          <t>Fabiana Lisboa</t>
        </is>
      </c>
      <c r="C137" s="70">
        <f>VLOOKUP(I:I,'Referencias '!H:I,2,0)</f>
        <v/>
      </c>
      <c r="D137" s="71" t="n">
        <v>22559395</v>
      </c>
      <c r="E137" s="71" t="n">
        <v>0</v>
      </c>
      <c r="F137" s="72" t="n">
        <v>2614015942033</v>
      </c>
      <c r="G137" s="72">
        <f>T137</f>
        <v/>
      </c>
      <c r="H137" s="72">
        <f>TRIM(_xlfn.TEXTBEFORE(_xlfn.TEXTAFTER(U137,"CNPJ/CPF:&lt;/strong&gt;"),"&lt;/p&gt;"))</f>
        <v/>
      </c>
      <c r="I137" s="70" t="inlineStr">
        <is>
          <t>Cancelamento de contrato</t>
        </is>
      </c>
      <c r="J137" s="72" t="n"/>
      <c r="K137" s="72" t="n"/>
      <c r="L137" s="70" t="inlineStr">
        <is>
          <t>FINALIZADO</t>
        </is>
      </c>
      <c r="M137" s="73" t="inlineStr">
        <is>
          <t>Médio</t>
        </is>
      </c>
      <c r="N137" s="71" t="inlineStr">
        <is>
          <t>1018 Financeiro | Desejo falar com o setor financeiro | NMA SERVICOS DE TELECOMUNICACOES LTDA | bordini@cielo.com.br</t>
        </is>
      </c>
      <c r="O137" s="74" t="n">
        <v>46162</v>
      </c>
      <c r="P137" s="123" t="n">
        <v>46162</v>
      </c>
      <c r="Q137" s="177">
        <f>TEXT(O137,"mmm/aaaa")</f>
        <v/>
      </c>
      <c r="R137" s="71" t="inlineStr">
        <is>
          <t>ECOMMERCE BP SUPORTE FINANCEIRO N2</t>
        </is>
      </c>
      <c r="S137" s="71" t="inlineStr">
        <is>
          <t>bordini@cielo.com.br</t>
        </is>
      </c>
      <c r="T137" s="71" t="inlineStr">
        <is>
          <t>ST1 INTERNET</t>
        </is>
      </c>
      <c r="U137" s="71" t="inlineStr">
        <is>
          <t>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
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
Fico á disposição para qualquer dúvida que surgir.
Att</t>
        </is>
      </c>
      <c r="V137" s="71">
        <f>IFERROR(_xlfn.TEXTBEFORE(_xlfn.TEXTAFTER(U137,"Descrição do problema:&lt;/strong"),"&lt;/p&gt;"),_xlfn.TEXTAFTER(U137,"Descrição do problema:&lt;/strong"))</f>
        <v/>
      </c>
      <c r="W137" s="76">
        <f>_xlfn.CONCAT(D137:E137)</f>
        <v/>
      </c>
      <c r="X137" s="77" t="n">
        <v>46227</v>
      </c>
      <c r="Y137" s="78">
        <f>IF(X137="","Aberto","Encerrado")</f>
        <v/>
      </c>
      <c r="Z137" s="78">
        <f>IF(OR(L137="PENDENTE",L137="EM ANDAMENTO",L137="PENDENTE APROVAÇÃO CANCELAMENTO NF"),TODAY()-O137,X137-O137)</f>
        <v/>
      </c>
      <c r="AA137" s="78">
        <f>IF(Y137="Aberto",Z137+ROW()/100000,"")</f>
        <v/>
      </c>
      <c r="AB137" s="2">
        <f>IF(ISNUMBER(FIND("@cielo.com.br",S137)),"Interno","Externo")</f>
        <v/>
      </c>
      <c r="AC137" t="inlineStr">
        <is>
          <t>Cancelar contrato, serviço ou produto contratado.</t>
        </is>
      </c>
      <c r="AD137" t="inlineStr">
        <is>
          <t>cancelamento do contrato</t>
        </is>
      </c>
      <c r="AE137" t="inlineStr">
        <is>
          <t>Cancelamento de contrato</t>
        </is>
      </c>
      <c r="AF137" t="inlineStr">
        <is>
          <t>Contrato/Cadastro</t>
        </is>
      </c>
      <c r="AG137" t="inlineStr">
        <is>
          <t>Contratos, Comercial e Cadastro</t>
        </is>
      </c>
      <c r="AI137" t="inlineStr">
        <is>
          <t>INT_CON_CANCELAMENTO</t>
        </is>
      </c>
      <c r="AJ137" t="inlineStr">
        <is>
          <t>Sugerida</t>
        </is>
      </c>
      <c r="AK137" t="b">
        <v>0</v>
      </c>
      <c r="AN137">
        <f>IF(OR(AG137="",AM137=""),"",IF(AG137=AM137,"SIM","NÃO"))</f>
        <v/>
      </c>
      <c r="AO137" t="inlineStr">
        <is>
          <t>CLASSIFIED_PATTERN</t>
        </is>
      </c>
    </row>
    <row r="138" ht="15.5" customHeight="1">
      <c r="A138" s="1" t="n"/>
      <c r="B138" s="67" t="inlineStr">
        <is>
          <t>Emilly Maria</t>
        </is>
      </c>
      <c r="C138" s="70">
        <f>VLOOKUP(I:I,'Referencias '!H:I,2,0)</f>
        <v/>
      </c>
      <c r="D138" s="71" t="n">
        <v>22536383</v>
      </c>
      <c r="E138" s="71" t="n">
        <v>0</v>
      </c>
      <c r="F138" s="72" t="n">
        <v>2614010926684</v>
      </c>
      <c r="G138" s="72">
        <f>VLOOKUP(H:H,'Referencias '!B:C,2,0)</f>
        <v/>
      </c>
      <c r="H138" s="72">
        <f>TRIM(_xlfn.TEXTBEFORE(_xlfn.TEXTAFTER(U138,"CNPJ/CPF:&lt;/strong&gt;"),"&lt;/p&gt;"))</f>
        <v/>
      </c>
      <c r="I138" s="70" t="inlineStr">
        <is>
          <t>Alterar data de emissão da NF</t>
        </is>
      </c>
      <c r="J138" s="72" t="n"/>
      <c r="K138" s="72" t="n"/>
      <c r="L138" s="70" t="inlineStr">
        <is>
          <t>FINALIZADO</t>
        </is>
      </c>
      <c r="M138" s="73" t="inlineStr">
        <is>
          <t>Médio</t>
        </is>
      </c>
      <c r="N138" s="71" t="inlineStr">
        <is>
          <t>1018 Financeiro | Desejo falar com o setor financeiro | Matheus | matheus.psilva@cielo.com.br</t>
        </is>
      </c>
      <c r="O138" s="74" t="n">
        <v>46162</v>
      </c>
      <c r="P138" s="123" t="n">
        <v>46162</v>
      </c>
      <c r="Q138" s="177">
        <f>TEXT(O138,"mmm/aaaa")</f>
        <v/>
      </c>
      <c r="R138" s="71" t="inlineStr">
        <is>
          <t>ECOMMERCE BP SUPORTE FINANCEIRO N2</t>
        </is>
      </c>
      <c r="S138" s="71" t="inlineStr">
        <is>
          <t>matheus.psilva@cielo.com.br</t>
        </is>
      </c>
      <c r="T138" s="71" t="inlineStr"/>
      <c r="U138" s="71" t="inlineStr">
        <is>
          <t>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
Cliente está com chamados em aberto conosco precisando da reemissão de NFs, a empresa possui uma política interna de datas para emissão, que após o dia23 de cada mês não é aceito pela política da CIA.
Poderiam por gentileza verificar e atuar neste caso?
Cliente está com notas em aberto devido a este problema.&lt;/p&gt;&lt;p&gt;&lt;strong&gt;GA Client ID:&lt;/strong&gt; 367522096.1751459838&lt;/p&gt;&lt;p&gt;&lt;</t>
        </is>
      </c>
      <c r="V138" s="71">
        <f>IFERROR(_xlfn.TEXTBEFORE(_xlfn.TEXTAFTER(U138,"Descrição do problema:&lt;/strong"),"&lt;/p&gt;"),_xlfn.TEXTAFTER(U138,"Descrição do problema:&lt;/strong"))</f>
        <v/>
      </c>
      <c r="W138" s="76">
        <f>_xlfn.CONCAT(D138:E138)</f>
        <v/>
      </c>
      <c r="X138" s="77" t="n">
        <v>46287</v>
      </c>
      <c r="Y138" s="78">
        <f>IF(X138="","Aberto","Encerrado")</f>
        <v/>
      </c>
      <c r="Z138" s="78">
        <f>IF(OR(L138="PENDENTE",L138="EM ANDAMENTO",L138="PENDENTE APROVAÇÃO CANCELAMENTO NF"),TODAY()-O138,X138-O138)</f>
        <v/>
      </c>
      <c r="AA138" s="78">
        <f>IF(Y138="Aberto",Z138+ROW()/100000,"")</f>
        <v/>
      </c>
      <c r="AB138" s="2">
        <f>IF(ISNUMBER(FIND("@cielo.com.br",S138)),"Interno","Externo")</f>
        <v/>
      </c>
      <c r="AC138" t="inlineStr">
        <is>
          <t>Cancelar, substituir ou reemitir nota fiscal.</t>
        </is>
      </c>
      <c r="AD138" t="inlineStr">
        <is>
          <t>ACAO:CONSULTAR; ACAO:REEMITIR; OBJETO:NOTA_FISCAL</t>
        </is>
      </c>
      <c r="AE138" t="inlineStr">
        <is>
          <t>Cancelamento de NF</t>
        </is>
      </c>
      <c r="AF138" t="inlineStr">
        <is>
          <t>Documento Fiscal</t>
        </is>
      </c>
      <c r="AG138" t="inlineStr">
        <is>
          <t>Cancelamento e Reemissão de Nota Fiscal</t>
        </is>
      </c>
      <c r="AI138" t="inlineStr">
        <is>
          <t>INT_NF_CANCEL_REEMISSAO</t>
        </is>
      </c>
      <c r="AJ138" t="inlineStr">
        <is>
          <t>Sugerida</t>
        </is>
      </c>
      <c r="AK138" t="b">
        <v>0</v>
      </c>
      <c r="AN138">
        <f>IF(OR(AG138="",AM138=""),"",IF(AG138=AM138,"SIM","NÃO"))</f>
        <v/>
      </c>
      <c r="AO138" t="inlineStr">
        <is>
          <t>CLASSIFIED_SIGNATURE</t>
        </is>
      </c>
    </row>
    <row r="139" ht="15.5" customHeight="1">
      <c r="A139" s="1" t="n"/>
      <c r="B139" s="67" t="inlineStr">
        <is>
          <t>Amanda Silva</t>
        </is>
      </c>
      <c r="C139" s="70">
        <f>VLOOKUP(I:I,'Referencias '!H:I,2,0)</f>
        <v/>
      </c>
      <c r="D139" s="71" t="n">
        <v>22532509</v>
      </c>
      <c r="E139" s="71" t="n">
        <v>0</v>
      </c>
      <c r="F139" s="72" t="n">
        <v>2614009924039</v>
      </c>
      <c r="G139" s="72">
        <f>T139</f>
        <v/>
      </c>
      <c r="H139" s="72" t="n"/>
      <c r="I139" s="70" t="inlineStr">
        <is>
          <t>Reenvio de boleto / NF</t>
        </is>
      </c>
      <c r="J139" s="72" t="n"/>
      <c r="K139" s="72" t="n"/>
      <c r="L139" s="70" t="inlineStr">
        <is>
          <t>FINALIZADO</t>
        </is>
      </c>
      <c r="M139" s="73" t="inlineStr">
        <is>
          <t>Médio</t>
        </is>
      </c>
      <c r="N139" s="71" t="inlineStr">
        <is>
          <t>RES: BOLETO ENVIADO</t>
        </is>
      </c>
      <c r="O139" s="74" t="n">
        <v>46162</v>
      </c>
      <c r="P139" s="123" t="n">
        <v>46162</v>
      </c>
      <c r="Q139" s="177">
        <f>TEXT(O139,"mmm/aaaa")</f>
        <v/>
      </c>
      <c r="R139" s="71" t="inlineStr">
        <is>
          <t>ECOMMERCE BP SUPORTE FINANCEIRO N2</t>
        </is>
      </c>
      <c r="S139" s="71" t="inlineStr">
        <is>
          <t>camila.basilio@wsa.com</t>
        </is>
      </c>
      <c r="T139" s="71" t="inlineStr"/>
      <c r="U139"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Camila Basílio de Souza
Compras e Facilities
[X]
WS Audiology
Av. Francisco Matarazzo, 1500 – 10° e 16° Andar
CJ. 101, 102, 161 e 162 – Torre Los Angeles
05001-100 – São Paulo, SP – Brasil
www.wsa.com&lt;http://www.wsa.com/&gt;
[X]+55 11 3612 – 5864
             11 9 8928-3931</t>
        </is>
      </c>
      <c r="V139" s="71" t="inlineStr">
        <is>
          <t>Bom dia,
Até o momento não recebi qualquer retorno dos chamados abertos para resolver nossos problemas com as notas emitidas incorretas e estamos sendo notificados da cobrança dessas notas que desde quando emitidas foram solicitadas as substituições.</t>
        </is>
      </c>
      <c r="W139" s="76">
        <f>_xlfn.CONCAT(D139:E139)</f>
        <v/>
      </c>
      <c r="X139" s="77" t="n">
        <v>46162</v>
      </c>
      <c r="Y139" s="78">
        <f>IF(X139="","Aberto","Encerrado")</f>
        <v/>
      </c>
      <c r="Z139" s="78">
        <f>IF(OR(L139="PENDENTE",L139="EM ANDAMENTO",L139="PENDENTE APROVAÇÃO CANCELAMENTO NF"),TODAY()-O139,X139-O139)</f>
        <v/>
      </c>
      <c r="AA139" s="78">
        <f>IF(Y139="Aberto",Z139+ROW()/100000,"")</f>
        <v/>
      </c>
      <c r="AB139" s="2">
        <f>IF(ISNUMBER(FIND("@cielo.com.br",S139)),"Interno","Externo")</f>
        <v/>
      </c>
      <c r="AC139" t="inlineStr">
        <is>
          <t>Reenviar nota fiscal não recebida.</t>
        </is>
      </c>
      <c r="AD139" t="inlineStr">
        <is>
          <t>não recebi + nf</t>
        </is>
      </c>
      <c r="AE139" t="inlineStr">
        <is>
          <t>Reenvio de NF</t>
        </is>
      </c>
      <c r="AF139" t="inlineStr">
        <is>
          <t>Parâmetro de Faturamento</t>
        </is>
      </c>
      <c r="AG139" t="inlineStr">
        <is>
          <t>Faturamento e Obrigações Fiscais</t>
        </is>
      </c>
      <c r="AI139" t="inlineStr">
        <is>
          <t>INT_FAT_REENVIO_NF</t>
        </is>
      </c>
      <c r="AJ139" t="inlineStr">
        <is>
          <t>Sugerida</t>
        </is>
      </c>
      <c r="AK139" t="b">
        <v>0</v>
      </c>
      <c r="AN139">
        <f>IF(OR(AG139="",AM139=""),"",IF(AG139=AM139,"SIM","NÃO"))</f>
        <v/>
      </c>
      <c r="AO139" t="inlineStr">
        <is>
          <t>CLASSIFIED_PATTERN</t>
        </is>
      </c>
    </row>
    <row r="140" ht="15.5" customHeight="1">
      <c r="A140" s="1" t="n"/>
      <c r="B140" s="67" t="inlineStr">
        <is>
          <t>Emilly Maria</t>
        </is>
      </c>
      <c r="C140" s="70">
        <f>VLOOKUP(I:I,'Referencias '!H:I,2,0)</f>
        <v/>
      </c>
      <c r="D140" s="71" t="n">
        <v>23202351</v>
      </c>
      <c r="E140" s="71" t="n">
        <v>0</v>
      </c>
      <c r="F140" s="72" t="n">
        <v>2615912370986</v>
      </c>
      <c r="G140" s="72">
        <f>VLOOKUP(H:H,'Referencias '!B:C,2,0)</f>
        <v/>
      </c>
      <c r="H140" s="72">
        <f>TRIM(_xlfn.TEXTBEFORE(_xlfn.TEXTAFTER(U140,"CNPJ/CPF:&lt;/strong&gt;"),"&lt;/p&gt;"))</f>
        <v/>
      </c>
      <c r="I140" s="70" t="inlineStr">
        <is>
          <t>Dúvida sobre adiantamento</t>
        </is>
      </c>
      <c r="J140" s="72" t="n"/>
      <c r="K140" s="72" t="n"/>
      <c r="L140" s="70" t="inlineStr">
        <is>
          <t>FINALIZADO</t>
        </is>
      </c>
      <c r="M140" s="73" t="inlineStr">
        <is>
          <t>Médio</t>
        </is>
      </c>
      <c r="N140" s="71" t="inlineStr">
        <is>
          <t>1018 Financeiro | Desejo falar com o setor financeiro | FENG - FAN ENGAGEMENT MARKETING E I NTELIGENCIA LTDA. | ariane.pasilva@cielo.com.br</t>
        </is>
      </c>
      <c r="O140" s="74" t="n">
        <v>46181</v>
      </c>
      <c r="P140" s="123" t="n">
        <v>46209</v>
      </c>
      <c r="Q140" s="177">
        <f>TEXT(O140,"mmm/aaaa")</f>
        <v/>
      </c>
      <c r="R140" s="71" t="inlineStr">
        <is>
          <t>Emilly Maria Sousa Almeida</t>
        </is>
      </c>
      <c r="S140" s="71" t="inlineStr">
        <is>
          <t>ariane.pasilva@cielo.com.br</t>
        </is>
      </c>
      <c r="T140" s="71" t="inlineStr"/>
      <c r="U140" s="71" t="inlineStr">
        <is>
          <t>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t>
        </is>
      </c>
      <c r="V140" s="71">
        <f>IFERROR(_xlfn.TEXTBEFORE(_xlfn.TEXTAFTER(U140,"Descrição do problema:&lt;/strong"),"&lt;/p&gt;"),_xlfn.TEXTAFTER(U140,"Descrição do problema:&lt;/strong"))</f>
        <v/>
      </c>
      <c r="W140" s="76">
        <f>_xlfn.CONCAT(D140:E140)</f>
        <v/>
      </c>
      <c r="X140" s="77" t="n">
        <v>46268</v>
      </c>
      <c r="Y140" s="78">
        <f>IF(X140="","Aberto","Encerrado")</f>
        <v/>
      </c>
      <c r="Z140" s="78">
        <f>IF(OR(L140="PENDENTE",L140="EM ANDAMENTO",L140="PENDENTE APROVAÇÃO CANCELAMENTO NF"),TODAY()-O140,X140-O140)</f>
        <v/>
      </c>
      <c r="AA140" s="78">
        <f>IF(Y140="Aberto",Z140+ROW()/100000,"")</f>
        <v/>
      </c>
      <c r="AB140" s="2">
        <f>IF(ISNUMBER(FIND("@cielo.com.br",S140)),"Interno","Externo")</f>
        <v/>
      </c>
      <c r="AC140" t="inlineStr">
        <is>
          <t>Cancelar, substituir ou reemitir nota fiscal.</t>
        </is>
      </c>
      <c r="AD140" t="inlineStr">
        <is>
          <t>cancelada + nf</t>
        </is>
      </c>
      <c r="AE140" t="inlineStr">
        <is>
          <t>Cancelamento de NF</t>
        </is>
      </c>
      <c r="AF140" t="inlineStr">
        <is>
          <t>Documento Fiscal</t>
        </is>
      </c>
      <c r="AG140" t="inlineStr">
        <is>
          <t>Cancelamento e Reemissão de Nota Fiscal</t>
        </is>
      </c>
      <c r="AI140" t="inlineStr">
        <is>
          <t>INT_NF_CANCEL_REEMISSAO</t>
        </is>
      </c>
      <c r="AJ140" t="inlineStr">
        <is>
          <t>Sugerida</t>
        </is>
      </c>
      <c r="AK140" t="b">
        <v>0</v>
      </c>
      <c r="AN140">
        <f>IF(OR(AG140="",AM140=""),"",IF(AG140=AM140,"SIM","NÃO"))</f>
        <v/>
      </c>
      <c r="AO140" t="inlineStr">
        <is>
          <t>CLASSIFIED_PATTERN</t>
        </is>
      </c>
    </row>
    <row r="141" ht="15.5" customHeight="1">
      <c r="A141" s="1" t="n"/>
      <c r="B141" s="67" t="inlineStr">
        <is>
          <t>Emilly Maria</t>
        </is>
      </c>
      <c r="C141" s="70">
        <f>VLOOKUP(I:I,'Referencias '!H:I,2,0)</f>
        <v/>
      </c>
      <c r="D141" s="71" t="n">
        <v>24303316</v>
      </c>
      <c r="E141" s="71" t="n">
        <v>0</v>
      </c>
      <c r="F141" s="72" t="n">
        <v>0</v>
      </c>
      <c r="G141" s="72">
        <f>VLOOKUP(H:H,'Referencias '!B:C,2,0)</f>
        <v/>
      </c>
      <c r="H141" s="72">
        <f>TRIM(_xlfn.TEXTBEFORE(_xlfn.TEXTAFTER(U141,"CNPJ/CPF:&lt;/strong&gt;"),"&lt;/p&gt;"))</f>
        <v/>
      </c>
      <c r="I141" s="70" t="inlineStr">
        <is>
          <t>Cancelamento de NF / reemissão</t>
        </is>
      </c>
      <c r="J141" s="72" t="n"/>
      <c r="K141" s="72" t="n"/>
      <c r="L141" s="70" t="inlineStr">
        <is>
          <t>FINALIZADO</t>
        </is>
      </c>
      <c r="M141" s="73" t="inlineStr">
        <is>
          <t>Médio</t>
        </is>
      </c>
      <c r="N141" s="71" t="inlineStr">
        <is>
          <t>1018 Financeiro | Desejo falar com o setor financeiro | Júlia Angelozzi | julia.djesus@cielo.com.br</t>
        </is>
      </c>
      <c r="O141" s="74" t="n">
        <v>46206</v>
      </c>
      <c r="P141" s="123" t="n">
        <v>46209</v>
      </c>
      <c r="Q141" s="177">
        <f>TEXT(O141,"mmm/aaaa")</f>
        <v/>
      </c>
      <c r="R141" s="71" t="inlineStr">
        <is>
          <t>ECOMMERCE BP SUPORTE FINANCEIRO N2</t>
        </is>
      </c>
      <c r="S141" s="71" t="inlineStr">
        <is>
          <t>julia.djesus@cielo.com.br</t>
        </is>
      </c>
      <c r="T141" s="71" t="inlineStr">
        <is>
          <t>MIC INDUSTRIA DE CONFECCAO LTDA</t>
        </is>
      </c>
      <c r="U141" s="71" t="inlineStr">
        <is>
          <t>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t>
        </is>
      </c>
      <c r="V141" s="71">
        <f>IFERROR(_xlfn.TEXTBEFORE(_xlfn.TEXTAFTER(U141,"Descrição do problema:&lt;/strong"),"&lt;/p&gt;"),_xlfn.TEXTAFTER(U141,"Descrição do problema:&lt;/strong"))</f>
        <v/>
      </c>
      <c r="W141" s="76">
        <f>_xlfn.CONCAT(D141:E141)</f>
        <v/>
      </c>
      <c r="X141" s="77" t="n">
        <v>46219</v>
      </c>
      <c r="Y141" s="78">
        <f>IF(X141="","Aberto","Encerrado")</f>
        <v/>
      </c>
      <c r="Z141" s="78">
        <f>IF(OR(L141="PENDENTE",L141="EM ANDAMENTO",L141="PENDENTE APROVAÇÃO CANCELAMENTO NF"),TODAY()-O141,X141-O141)</f>
        <v/>
      </c>
      <c r="AA141" s="78">
        <f>IF(Y141="Aberto",Z141+ROW()/100000,"")</f>
        <v/>
      </c>
      <c r="AB141" s="2">
        <f>IF(ISNUMBER(FIND("@cielo.com.br",S141)),"Interno","Externo")</f>
        <v/>
      </c>
      <c r="AC141" t="inlineStr">
        <is>
          <t>Alterar, renegociar ou atualizar condições comerciais ou contratuais.</t>
        </is>
      </c>
      <c r="AD141" t="inlineStr">
        <is>
          <t>correção de preço</t>
        </is>
      </c>
      <c r="AE141" t="inlineStr">
        <is>
          <t>Pendente retorno comercial</t>
        </is>
      </c>
      <c r="AF141" t="inlineStr">
        <is>
          <t>Contrato/Cadastro</t>
        </is>
      </c>
      <c r="AG141" t="inlineStr">
        <is>
          <t>Contratos, Comercial e Cadastro</t>
        </is>
      </c>
      <c r="AI141" t="inlineStr">
        <is>
          <t>INT_CON_CONDICOES</t>
        </is>
      </c>
      <c r="AJ141" t="inlineStr">
        <is>
          <t>Sugerida</t>
        </is>
      </c>
      <c r="AK141" t="b">
        <v>0</v>
      </c>
      <c r="AN141">
        <f>IF(OR(AG141="",AM141=""),"",IF(AG141=AM141,"SIM","NÃO"))</f>
        <v/>
      </c>
      <c r="AO141" t="inlineStr">
        <is>
          <t>CLASSIFIED_PATTERN</t>
        </is>
      </c>
    </row>
    <row r="142" ht="15.5" customHeight="1">
      <c r="A142" s="1" t="n"/>
      <c r="B142" s="67" t="inlineStr">
        <is>
          <t>Pamela de Sá</t>
        </is>
      </c>
      <c r="C142" s="70">
        <f>VLOOKUP(I:I,'Referencias '!H:I,2,0)</f>
        <v/>
      </c>
      <c r="D142" s="71" t="n">
        <v>24289294</v>
      </c>
      <c r="E142" s="71" t="n">
        <v>0</v>
      </c>
      <c r="F142" s="72" t="n">
        <v>2618414076373</v>
      </c>
      <c r="G142" s="72">
        <f>VLOOKUP(H:H,'Referencias '!B:C,2,0)</f>
        <v/>
      </c>
      <c r="H142" s="72">
        <f>TRIM(_xlfn.TEXTBEFORE(_xlfn.TEXTAFTER(U142,"CNPJ/CPF:&lt;/strong&gt;"),"&lt;/p&gt;"))</f>
        <v/>
      </c>
      <c r="I142" s="70" t="inlineStr">
        <is>
          <t>Cancelamento de Nota Fiscal</t>
        </is>
      </c>
      <c r="J142" s="72" t="n"/>
      <c r="K142" s="72" t="inlineStr">
        <is>
          <t>Financeiro</t>
        </is>
      </c>
      <c r="L142" s="70" t="inlineStr">
        <is>
          <t>FINALIZADO</t>
        </is>
      </c>
      <c r="M142" s="73" t="inlineStr">
        <is>
          <t>Médio</t>
        </is>
      </c>
      <c r="N142" s="71" t="inlineStr">
        <is>
          <t>1018 Financeiro | Desejo falar com o setor financeiro | VOLTATTO SUPRIMENTOS LTDA | ariane.pasilva@cielo.com.br</t>
        </is>
      </c>
      <c r="O142" s="74" t="n">
        <v>46206</v>
      </c>
      <c r="P142" s="123" t="n">
        <v>46209</v>
      </c>
      <c r="Q142" s="177">
        <f>TEXT(O142,"mmm/aaaa")</f>
        <v/>
      </c>
      <c r="R142" s="71" t="inlineStr">
        <is>
          <t>ECOMMERCE BP SUPORTE FINANCEIRO N2</t>
        </is>
      </c>
      <c r="S142" s="71" t="inlineStr">
        <is>
          <t>ariane.pasilva@cielo.com.br</t>
        </is>
      </c>
      <c r="T142" s="71" t="inlineStr"/>
      <c r="U142" s="71" t="inlineStr">
        <is>
          <t>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
117154	STELO - Velocity Check
117396	STELO - Pagador
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t>
        </is>
      </c>
      <c r="V142" s="71">
        <f>IFERROR(_xlfn.TEXTBEFORE(_xlfn.TEXTAFTER(U142,"Descrição do problema:&lt;/strong"),"&lt;/p&gt;"),_xlfn.TEXTAFTER(U142,"Descrição do problema:&lt;/strong"))</f>
        <v/>
      </c>
      <c r="W142" s="76">
        <f>_xlfn.CONCAT(D142:E142)</f>
        <v/>
      </c>
      <c r="X142" s="77" t="n">
        <v>46258</v>
      </c>
      <c r="Y142" s="78">
        <f>IF(X142="","Aberto","Encerrado")</f>
        <v/>
      </c>
      <c r="Z142" s="78">
        <f>IF(OR(L142="PENDENTE",L142="EM ANDAMENTO",L142="PENDENTE APROVAÇÃO CANCELAMENTO NF"),TODAY()-O142,X142-O142)</f>
        <v/>
      </c>
      <c r="AA142" s="78">
        <f>IF(Y142="Aberto",Z142+ROW()/100000,"")</f>
        <v/>
      </c>
      <c r="AB142" s="2">
        <f>IF(ISNUMBER(FIND("@cielo.com.br",S142)),"Interno","Externo")</f>
        <v/>
      </c>
      <c r="AC142" t="inlineStr">
        <is>
          <t>Cancelar, substituir ou reemitir nota fiscal.</t>
        </is>
      </c>
      <c r="AD142" t="inlineStr">
        <is>
          <t>ACAO:CANCELAR; OBJETO:CONTRATO; OBJETO:NOTA_FISCAL</t>
        </is>
      </c>
      <c r="AE142" t="inlineStr">
        <is>
          <t>Cancelamento de NF</t>
        </is>
      </c>
      <c r="AF142" t="inlineStr">
        <is>
          <t>Documento Fiscal</t>
        </is>
      </c>
      <c r="AG142" t="inlineStr">
        <is>
          <t>Cancelamento e Reemissão de Nota Fiscal</t>
        </is>
      </c>
      <c r="AI142" t="inlineStr">
        <is>
          <t>INT_NF_CANCEL_REEMISSAO</t>
        </is>
      </c>
      <c r="AJ142" t="inlineStr">
        <is>
          <t>Sugerida</t>
        </is>
      </c>
      <c r="AK142" t="b">
        <v>0</v>
      </c>
      <c r="AN142">
        <f>IF(OR(AG142="",AM142=""),"",IF(AG142=AM142,"SIM","NÃO"))</f>
        <v/>
      </c>
      <c r="AO142" t="inlineStr">
        <is>
          <t>CLASSIFIED_SIGNATURE</t>
        </is>
      </c>
    </row>
    <row r="143" ht="15.5" customFormat="1" customHeight="1" s="92">
      <c r="A143" s="1" t="n"/>
      <c r="B143" s="67" t="inlineStr">
        <is>
          <t>Stephany Lima</t>
        </is>
      </c>
      <c r="C143" s="122">
        <f>VLOOKUP(I:I,'Referencias '!H:I,2,0)</f>
        <v/>
      </c>
      <c r="D143" s="129" t="n">
        <v>24852096</v>
      </c>
      <c r="E143" s="129" t="n">
        <v>0</v>
      </c>
      <c r="F143" s="126" t="n">
        <v>2619810441333</v>
      </c>
      <c r="G143" s="126">
        <f>VLOOKUP(H:H,'Referencias '!B:C,2,0)</f>
        <v/>
      </c>
      <c r="H143" s="126">
        <f>TRIM(_xlfn.TEXTBEFORE(_xlfn.TEXTAFTER(U143,"CNPJ/CPF:&lt;/strong&gt;"),"&lt;/p&gt;"))</f>
        <v/>
      </c>
      <c r="I143" s="122" t="inlineStr">
        <is>
          <t>Contestação de cobrança</t>
        </is>
      </c>
      <c r="J143" s="126" t="n"/>
      <c r="K143" s="126" t="n"/>
      <c r="L143" s="70" t="inlineStr">
        <is>
          <t>FINALIZADO</t>
        </is>
      </c>
      <c r="M143" s="127" t="inlineStr">
        <is>
          <t>Médio</t>
        </is>
      </c>
      <c r="N143" s="129" t="inlineStr">
        <is>
          <t>1018 Financeiro | Desejo falar com o setor financeiro | Antonio Marcos | antonio.marcos@paraiba.email</t>
        </is>
      </c>
      <c r="O143" s="125" t="n">
        <v>46220</v>
      </c>
      <c r="P143" s="123" t="n">
        <v>46220</v>
      </c>
      <c r="Q143" s="178">
        <f>TEXT(O143,"mmm/aaaa")</f>
        <v/>
      </c>
      <c r="R143" s="129" t="inlineStr">
        <is>
          <t>ECOMMERCE BP SUPORTE FINANCEIRO N2</t>
        </is>
      </c>
      <c r="S143" s="129" t="inlineStr">
        <is>
          <t>antonio.marcos@paraiba.email</t>
        </is>
      </c>
      <c r="T143" s="129" t="inlineStr"/>
      <c r="U143" s="129" t="inlineStr">
        <is>
          <t>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
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t>
        </is>
      </c>
      <c r="V143" s="129">
        <f>IFERROR(_xlfn.TEXTBEFORE(_xlfn.TEXTAFTER(U143,"Descrição do problema:&lt;/strong"),"&lt;/p&gt;"),_xlfn.TEXTAFTER(U143,"Descrição do problema:&lt;/strong"))</f>
        <v/>
      </c>
      <c r="W143" s="130">
        <f>_xlfn.CONCAT(D143:E143)</f>
        <v/>
      </c>
      <c r="X143" s="121" t="n">
        <v>46244</v>
      </c>
      <c r="Y143" s="131">
        <f>IF(X143="","Aberto","Encerrado")</f>
        <v/>
      </c>
      <c r="Z143" s="131">
        <f>IF(OR(L143="PENDENTE",L143="EM ANDAMENTO",L143="PENDENTE APROVAÇÃO CANCELAMENTO NF"),TODAY()-O143,X143-O143)</f>
        <v/>
      </c>
      <c r="AA143" s="131">
        <f>IF(Y143="Aberto",Z143+ROW()/100000,"")</f>
        <v/>
      </c>
      <c r="AB143" s="2">
        <f>IF(ISNUMBER(FIND("@cielo.com.br",S143)),"Interno","Externo")</f>
        <v/>
      </c>
      <c r="AC143" t="inlineStr">
        <is>
          <t>Contestar divergência, valor ou critério de cobrança.</t>
        </is>
      </c>
      <c r="AD143" t="inlineStr">
        <is>
          <t>nota fiscal errada</t>
        </is>
      </c>
      <c r="AE143" t="inlineStr">
        <is>
          <t>Contestação de cobrança</t>
        </is>
      </c>
      <c r="AF143" t="inlineStr">
        <is>
          <t>Valor Cobrado</t>
        </is>
      </c>
      <c r="AG143" t="inlineStr">
        <is>
          <t>Cobrança e Contestação</t>
        </is>
      </c>
      <c r="AI143" t="inlineStr">
        <is>
          <t>INT_COB_CONTESTACAO</t>
        </is>
      </c>
      <c r="AJ143" t="inlineStr">
        <is>
          <t>Sugerida</t>
        </is>
      </c>
      <c r="AK143" t="b">
        <v>0</v>
      </c>
      <c r="AN143">
        <f>IF(OR(AG143="",AM143=""),"",IF(AG143=AM143,"SIM","NÃO"))</f>
        <v/>
      </c>
      <c r="AO143" t="inlineStr">
        <is>
          <t>CLASSIFIED_PATTERN</t>
        </is>
      </c>
    </row>
    <row r="144" ht="15.5" customHeight="1">
      <c r="A144" s="1" t="n"/>
      <c r="B144" s="67" t="inlineStr">
        <is>
          <t>Stephany Lima</t>
        </is>
      </c>
      <c r="C144" s="70">
        <f>VLOOKUP(I:I,'Referencias '!H:I,2,0)</f>
        <v/>
      </c>
      <c r="D144" s="71" t="n">
        <v>23195519</v>
      </c>
      <c r="E144" s="71" t="n">
        <v>0</v>
      </c>
      <c r="F144" s="72" t="n">
        <v>2615911366904</v>
      </c>
      <c r="G144" s="72">
        <f>VLOOKUP(H:H,'Referencias '!B:C,2,0)</f>
        <v/>
      </c>
      <c r="H144" s="72">
        <f>TRIM(_xlfn.TEXTBEFORE(_xlfn.TEXTAFTER(U144,"CNPJ/CPF:&lt;/strong&gt;"),"&lt;/p&gt;"))</f>
        <v/>
      </c>
      <c r="I144" s="70" t="inlineStr">
        <is>
          <t>Contestação de cobrança</t>
        </is>
      </c>
      <c r="J144" s="72" t="n"/>
      <c r="K144" s="72" t="n"/>
      <c r="L144" s="70" t="inlineStr">
        <is>
          <t>PENDENTE</t>
        </is>
      </c>
      <c r="M144" s="73" t="inlineStr">
        <is>
          <t>Médio</t>
        </is>
      </c>
      <c r="N144" s="71" t="inlineStr">
        <is>
          <t>1002 Portais E-commerce | Estou com um problema em produção e preciso de ajuda | Nathiele Freitas | nathalie@febrafar.com.br</t>
        </is>
      </c>
      <c r="O144" s="74" t="n">
        <v>46181</v>
      </c>
      <c r="P144" s="123" t="n">
        <v>46218</v>
      </c>
      <c r="Q144" s="177">
        <f>TEXT(O144,"mmm/aaaa")</f>
        <v/>
      </c>
      <c r="R144" s="71" t="inlineStr">
        <is>
          <t>ECOMMERCE BP SUPORTE FINANCEIRO N2</t>
        </is>
      </c>
      <c r="S144" s="71" t="inlineStr">
        <is>
          <t>nathalie@febrafar.com.br</t>
        </is>
      </c>
      <c r="T144" s="71" t="inlineStr">
        <is>
          <t>DROGARIA AGAPEAMA</t>
        </is>
      </c>
      <c r="U144" s="129" t="inlineStr">
        <is>
          <t>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
O cliente recebeu uma nota fiscal com 507 transações de Antifraude realizadas no período de 01/12/2025 à 31/12/2025, porém não conseguimos localizar essas transações no portal. Poderiam nos ajudar, por gentileza?
Recebemos essa informação ao solicitar o relatório:
Ao gerar o relatório de Antifraude, identificamos que n</t>
        </is>
      </c>
      <c r="V144" s="71">
        <f>IFERROR(_xlfn.TEXTBEFORE(_xlfn.TEXTAFTER(U144,"Descrição do problema:&lt;/strong"),"&lt;/p&gt;"),_xlfn.TEXTAFTER(U144,"Descrição do problema:&lt;/strong"))</f>
        <v/>
      </c>
      <c r="W144" s="76">
        <f>_xlfn.CONCAT(D144:E144)</f>
        <v/>
      </c>
      <c r="X144" s="77" t="n"/>
      <c r="Y144" s="78">
        <f>IF(X144="","Aberto","Encerrado")</f>
        <v/>
      </c>
      <c r="Z144" s="78">
        <f>IF(OR(L144="PENDENTE",L144="EM ANDAMENTO",L144="PENDENTE APROVAÇÃO CANCELAMENTO NF"),TODAY()-O144,X144-O144)</f>
        <v/>
      </c>
      <c r="AA144" s="78">
        <f>IF(Y144="Aberto",Z144+ROW()/100000,"")</f>
        <v/>
      </c>
      <c r="AB144" s="2">
        <f>IF(ISNUMBER(FIND("@cielo.com.br",S144)),"Interno","Externo")</f>
        <v/>
      </c>
      <c r="AC144" t="inlineStr">
        <is>
          <t>Contestar divergência, valor ou critério de cobrança.</t>
        </is>
      </c>
      <c r="AD144" t="inlineStr">
        <is>
          <t>não conseguimos localizar + transações</t>
        </is>
      </c>
      <c r="AE144" t="inlineStr">
        <is>
          <t>Contestação de cobrança</t>
        </is>
      </c>
      <c r="AF144" t="inlineStr">
        <is>
          <t>Valor Cobrado</t>
        </is>
      </c>
      <c r="AG144" t="inlineStr">
        <is>
          <t>Cobrança e Contestação</t>
        </is>
      </c>
      <c r="AI144" t="inlineStr">
        <is>
          <t>INT_COB_CONTESTACAO</t>
        </is>
      </c>
      <c r="AJ144" t="inlineStr">
        <is>
          <t>Sugerida</t>
        </is>
      </c>
      <c r="AK144" t="b">
        <v>0</v>
      </c>
      <c r="AN144">
        <f>IF(OR(AG144="",AM144=""),"",IF(AG144=AM144,"SIM","NÃO"))</f>
        <v/>
      </c>
      <c r="AO144" t="inlineStr">
        <is>
          <t>CLASSIFIED_PATTERN</t>
        </is>
      </c>
    </row>
    <row r="145" ht="15.5" customHeight="1">
      <c r="A145" s="1" t="n"/>
      <c r="B145" s="67" t="inlineStr">
        <is>
          <t>Fabiana Lisboa</t>
        </is>
      </c>
      <c r="C145" s="70">
        <f>VLOOKUP(I:I,'Referencias '!H:I,2,0)</f>
        <v/>
      </c>
      <c r="D145" s="71" t="n">
        <v>24793120</v>
      </c>
      <c r="E145" s="71" t="n">
        <v>0</v>
      </c>
      <c r="F145" s="72" t="n">
        <v>2619710403552</v>
      </c>
      <c r="G145" s="72">
        <f>VLOOKUP(H:H,'Referencias '!B:C,2,0)</f>
        <v/>
      </c>
      <c r="H145" s="72">
        <f>TRIM(_xlfn.TEXTBEFORE(_xlfn.TEXTAFTER(U145,"CNPJ/CPF:&lt;/strong&gt;"),"&lt;/p&gt;"))</f>
        <v/>
      </c>
      <c r="I145" s="70" t="inlineStr">
        <is>
          <t>Reenvio de boleto / NF</t>
        </is>
      </c>
      <c r="J145" s="72" t="n"/>
      <c r="K145" s="72" t="n"/>
      <c r="L145" s="70" t="inlineStr">
        <is>
          <t>FINALIZADO</t>
        </is>
      </c>
      <c r="M145" s="73" t="inlineStr">
        <is>
          <t>Médio</t>
        </is>
      </c>
      <c r="N145" s="71" t="inlineStr">
        <is>
          <t>1018 Financeiro | Desejo falar com o setor financeiro | Leonardo Gonçalves de Noronha | leonardo.noronha@inbrands.com.br</t>
        </is>
      </c>
      <c r="O145" s="74" t="n">
        <v>46219</v>
      </c>
      <c r="P145" s="123" t="n">
        <v>46219</v>
      </c>
      <c r="Q145" s="177">
        <f>TEXT(O145,"mmm/aaaa")</f>
        <v/>
      </c>
      <c r="R145" s="71" t="inlineStr">
        <is>
          <t>ECOMMERCE BP SUPORTE FINANCEIRO N2</t>
        </is>
      </c>
      <c r="S145" s="71" t="inlineStr">
        <is>
          <t>leonardo.noronha@inbrands.com.br</t>
        </is>
      </c>
      <c r="T145" s="71" t="inlineStr"/>
      <c r="U145" s="71" t="inlineStr">
        <is>
          <t>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
   Já estamos no dia 16/07 e ainda não recebemos a nota fiscal e boleto referente ao serviço mensal de Antifraude.
   Normalmente ela chega até o dia 15 de cada mês, e como ainda não recebemos nada referente em nosso e-mail financeiro, vim relatar o mesmo. 
   Aguardo retorno e envio dos mesmos.&lt;/p&gt;&lt;p&gt;&lt;strong&gt;Como podemos te ajudar?:&lt;/strong&gt; Desejo falar com o setor financeiro&lt;/p&gt;&lt;p&gt;&lt;strong&gt;GA Client</t>
        </is>
      </c>
      <c r="V145" s="71">
        <f>IFERROR(_xlfn.TEXTBEFORE(_xlfn.TEXTAFTER(U145,"Descrição do problema:&lt;/strong"),"&lt;/p&gt;"),_xlfn.TEXTAFTER(U145,"Descrição do problema:&lt;/strong"))</f>
        <v/>
      </c>
      <c r="W145" s="76">
        <f>_xlfn.CONCAT(D145:E145)</f>
        <v/>
      </c>
      <c r="X145" s="77" t="n">
        <v>46232</v>
      </c>
      <c r="Y145" s="78">
        <f>IF(X145="","Aberto","Encerrado")</f>
        <v/>
      </c>
      <c r="Z145" s="78">
        <f>IF(OR(L145="PENDENTE",L145="EM ANDAMENTO",L145="PENDENTE APROVAÇÃO CANCELAMENTO NF"),TODAY()-O145,X145-O145)</f>
        <v/>
      </c>
      <c r="AA145" s="78">
        <f>IF(Y145="Aberto",Z145+ROW()/100000,"")</f>
        <v/>
      </c>
      <c r="AB145" s="2">
        <f>IF(ISNUMBER(FIND("@cielo.com.br",S145)),"Interno","Externo")</f>
        <v/>
      </c>
      <c r="AC145" t="inlineStr">
        <is>
          <t>Reenviar nota fiscal não recebida.</t>
        </is>
      </c>
      <c r="AD145" t="inlineStr">
        <is>
          <t>não recebemos a nf; não recebemos + nf</t>
        </is>
      </c>
      <c r="AE145" t="inlineStr">
        <is>
          <t>Reenvio de NF</t>
        </is>
      </c>
      <c r="AF145" t="inlineStr">
        <is>
          <t>Parâmetro de Faturamento</t>
        </is>
      </c>
      <c r="AG145" t="inlineStr">
        <is>
          <t>Faturamento e Obrigações Fiscais</t>
        </is>
      </c>
      <c r="AI145" t="inlineStr">
        <is>
          <t>INT_FAT_REENVIO_NF</t>
        </is>
      </c>
      <c r="AJ145" t="inlineStr">
        <is>
          <t>Sugerida</t>
        </is>
      </c>
      <c r="AK145" t="b">
        <v>0</v>
      </c>
      <c r="AN145">
        <f>IF(OR(AG145="",AM145=""),"",IF(AG145=AM145,"SIM","NÃO"))</f>
        <v/>
      </c>
      <c r="AO145" t="inlineStr">
        <is>
          <t>CLASSIFIED_PATTERN</t>
        </is>
      </c>
    </row>
    <row r="146" ht="15.5" customHeight="1">
      <c r="A146" s="1" t="n"/>
      <c r="B146" s="67" t="inlineStr">
        <is>
          <t>Fabiana Lisboa</t>
        </is>
      </c>
      <c r="C146" s="70">
        <f>VLOOKUP(I:I,'Referencias '!H:I,2,0)</f>
        <v/>
      </c>
      <c r="D146" s="71" t="n">
        <v>24753144</v>
      </c>
      <c r="E146" s="71" t="n">
        <v>0</v>
      </c>
      <c r="F146" s="72" t="n">
        <v>2619614377755</v>
      </c>
      <c r="G146" s="72">
        <f>T146</f>
        <v/>
      </c>
      <c r="H146" s="72">
        <f>TRIM(_xlfn.TEXTBEFORE(_xlfn.TEXTAFTER(U146,"CNPJ/CPF:&lt;/strong&gt;"),"&lt;/p&gt;"))</f>
        <v/>
      </c>
      <c r="I146" s="70" t="inlineStr">
        <is>
          <t>Alteração de vencimento / prorrogação</t>
        </is>
      </c>
      <c r="J146" s="72" t="n"/>
      <c r="K146" s="72" t="n"/>
      <c r="L146" s="70" t="inlineStr">
        <is>
          <t>FINALIZADO</t>
        </is>
      </c>
      <c r="M146" s="73" t="inlineStr">
        <is>
          <t>Médio</t>
        </is>
      </c>
      <c r="N146" s="71" t="inlineStr">
        <is>
          <t>1018 Financeiro | Desejo falar com o setor financeiro | Sayra | sayra.martins@odontoprev.com.br</t>
        </is>
      </c>
      <c r="O146" s="74" t="n">
        <v>46218</v>
      </c>
      <c r="P146" s="123" t="n">
        <v>46219</v>
      </c>
      <c r="Q146" s="177">
        <f>TEXT(O146,"mmm/aaaa")</f>
        <v/>
      </c>
      <c r="R146" s="71" t="inlineStr">
        <is>
          <t>ECOMMERCE BP SUPORTE FINANCEIRO N2</t>
        </is>
      </c>
      <c r="S146" s="71" t="inlineStr">
        <is>
          <t>sayra.martins@odontoprev.com.br</t>
        </is>
      </c>
      <c r="T146" s="71" t="inlineStr"/>
      <c r="U146" s="71" t="inlineStr">
        <is>
          <t xml:space="preserve">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t>
        </is>
      </c>
      <c r="V146" s="71">
        <f>IFERROR(_xlfn.TEXTBEFORE(_xlfn.TEXTAFTER(U146,"Descrição do problema:&lt;/strong"),"&lt;/p&gt;"),_xlfn.TEXTAFTER(U146,"Descrição do problema:&lt;/strong"))</f>
        <v/>
      </c>
      <c r="W146" s="76">
        <f>_xlfn.CONCAT(D146:E146)</f>
        <v/>
      </c>
      <c r="X146" s="77" t="n">
        <v>46233</v>
      </c>
      <c r="Y146" s="78">
        <f>IF(X146="","Aberto","Encerrado")</f>
        <v/>
      </c>
      <c r="Z146" s="78">
        <f>IF(OR(L146="PENDENTE",L146="EM ANDAMENTO",L146="PENDENTE APROVAÇÃO CANCELAMENTO NF"),TODAY()-O146,X146-O146)</f>
        <v/>
      </c>
      <c r="AA146" s="78">
        <f>IF(Y146="Aberto",Z146+ROW()/100000,"")</f>
        <v/>
      </c>
      <c r="AB146" s="2">
        <f>IF(ISNUMBER(FIND("@cielo.com.br",S146)),"Interno","Externo")</f>
        <v/>
      </c>
      <c r="AC146" t="inlineStr">
        <is>
          <t>Alterar ou prorrogar vencimento ou prazo de pagamento.</t>
        </is>
      </c>
      <c r="AD146" t="inlineStr">
        <is>
          <t>vencimento prorrogado; vencimento atualizado para; sem multas ou juros</t>
        </is>
      </c>
      <c r="AE146" t="inlineStr">
        <is>
          <t>Alteração de vencimento</t>
        </is>
      </c>
      <c r="AF146" t="inlineStr">
        <is>
          <t>Título Financeiro</t>
        </is>
      </c>
      <c r="AG146" t="inlineStr">
        <is>
          <t>Pagamentos, Boletos e Recebimentos</t>
        </is>
      </c>
      <c r="AI146" t="inlineStr">
        <is>
          <t>INT_PAG_VENCIMENTO</t>
        </is>
      </c>
      <c r="AJ146" t="inlineStr">
        <is>
          <t>Sugerida</t>
        </is>
      </c>
      <c r="AK146" t="b">
        <v>0</v>
      </c>
      <c r="AN146">
        <f>IF(OR(AG146="",AM146=""),"",IF(AG146=AM146,"SIM","NÃO"))</f>
        <v/>
      </c>
      <c r="AO146" t="inlineStr">
        <is>
          <t>CLASSIFIED_PATTERN</t>
        </is>
      </c>
    </row>
    <row r="147" ht="15.5" customHeight="1">
      <c r="A147" s="1" t="n"/>
      <c r="B147" s="67" t="inlineStr">
        <is>
          <t>Stephany Lima</t>
        </is>
      </c>
      <c r="C147" s="70">
        <f>VLOOKUP(I:I,'Referencias '!H:I,2,0)</f>
        <v/>
      </c>
      <c r="D147" s="71" t="n">
        <v>23399799</v>
      </c>
      <c r="E147" s="71" t="n">
        <v>0</v>
      </c>
      <c r="F147" s="72" t="n">
        <v>2616215501375</v>
      </c>
      <c r="G147" s="72">
        <f>T147</f>
        <v/>
      </c>
      <c r="H147" s="72" t="n"/>
      <c r="I147" s="70" t="inlineStr">
        <is>
          <t>Contestação de cobrança</t>
        </is>
      </c>
      <c r="J147" s="72" t="n"/>
      <c r="K147" s="72" t="n"/>
      <c r="L147" s="70" t="inlineStr">
        <is>
          <t>PENDENTE</t>
        </is>
      </c>
      <c r="M147" s="73" t="inlineStr">
        <is>
          <t>Médio</t>
        </is>
      </c>
      <c r="N147" s="71" t="inlineStr">
        <is>
          <t>1018 Financeiro | Desejo falar com o setor financeiro | Nathalie Freitas | nathalie@febrafar.com.br</t>
        </is>
      </c>
      <c r="O147" s="74" t="n">
        <v>46184</v>
      </c>
      <c r="P147" s="123" t="n">
        <v>46218</v>
      </c>
      <c r="Q147" s="177">
        <f>TEXT(O147,"mmm/aaaa")</f>
        <v/>
      </c>
      <c r="R147" s="71" t="inlineStr">
        <is>
          <t>ECOMMERCE BP SUPORTE FINANCEIRO N2</t>
        </is>
      </c>
      <c r="S147" s="71" t="inlineStr">
        <is>
          <t>nathalie@febrafar.com.br</t>
        </is>
      </c>
      <c r="T147" s="71" t="inlineStr"/>
      <c r="U147" s="129" t="inlineStr">
        <is>
          <t>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
O caso já foi analisado pela Cielo/Braspag, que informou não localizar transações ou registros de antifraude que justifiquem as cobranças. Diante disso, a própria Cielo orientou o direcionamento da investigação par</t>
        </is>
      </c>
      <c r="V147" s="71">
        <f>IFERROR(_xlfn.TEXTBEFORE(_xlfn.TEXTAFTER(U147,"Descrição do problema:&lt;/strong"),"&lt;/p&gt;"),_xlfn.TEXTAFTER(U147,"Descrição do problema:&lt;/strong"))</f>
        <v/>
      </c>
      <c r="W147" s="76">
        <f>_xlfn.CONCAT(D147:E147)</f>
        <v/>
      </c>
      <c r="X147" s="77" t="n"/>
      <c r="Y147" s="78">
        <f>IF(X147="","Aberto","Encerrado")</f>
        <v/>
      </c>
      <c r="Z147" s="78">
        <f>IF(OR(L147="PENDENTE",L147="EM ANDAMENTO",L147="PENDENTE APROVAÇÃO CANCELAMENTO NF"),TODAY()-O147,X147-O147)</f>
        <v/>
      </c>
      <c r="AA147" s="78">
        <f>IF(Y147="Aberto",Z147+ROW()/100000,"")</f>
        <v/>
      </c>
      <c r="AB147" s="2">
        <f>IF(ISNUMBER(FIND("@cielo.com.br",S147)),"Interno","Externo")</f>
        <v/>
      </c>
      <c r="AC147" t="inlineStr">
        <is>
          <t>Contestar divergência, valor ou critério de cobrança.</t>
        </is>
      </c>
      <c r="AD147" t="inlineStr">
        <is>
          <t>OBJETO:COBRANCA; OBJETO:NOTA_FISCAL; CONTEXTO:DIVERGENCIA</t>
        </is>
      </c>
      <c r="AE147" t="inlineStr">
        <is>
          <t>Contestação de cobrança</t>
        </is>
      </c>
      <c r="AF147" t="inlineStr">
        <is>
          <t>Valor Cobrado</t>
        </is>
      </c>
      <c r="AG147" t="inlineStr">
        <is>
          <t>Cobrança e Contestação</t>
        </is>
      </c>
      <c r="AI147" t="inlineStr">
        <is>
          <t>INT_COB_CONTESTACAO</t>
        </is>
      </c>
      <c r="AJ147" t="inlineStr">
        <is>
          <t>Sugerida</t>
        </is>
      </c>
      <c r="AK147" t="b">
        <v>0</v>
      </c>
      <c r="AN147">
        <f>IF(OR(AG147="",AM147=""),"",IF(AG147=AM147,"SIM","NÃO"))</f>
        <v/>
      </c>
      <c r="AO147" t="inlineStr">
        <is>
          <t>CLASSIFIED_SIGNATURE</t>
        </is>
      </c>
    </row>
    <row r="148" ht="15.5" customHeight="1">
      <c r="A148" s="1" t="n"/>
      <c r="B148" s="67" t="inlineStr">
        <is>
          <t>Emilly Maria</t>
        </is>
      </c>
      <c r="C148" s="70">
        <f>VLOOKUP(I:I,'Referencias '!H:I,2,0)</f>
        <v/>
      </c>
      <c r="D148" s="71" t="n">
        <v>24744414</v>
      </c>
      <c r="E148" s="71" t="n">
        <v>23784562</v>
      </c>
      <c r="F148" s="72" t="n">
        <v>2619612371975</v>
      </c>
      <c r="G148" s="72">
        <f>T148</f>
        <v/>
      </c>
      <c r="H148" s="72" t="n"/>
      <c r="I148" s="70" t="inlineStr">
        <is>
          <t>Atualização cadastral</t>
        </is>
      </c>
      <c r="J148" s="72" t="n"/>
      <c r="K148" s="72" t="n"/>
      <c r="L148" s="70" t="inlineStr">
        <is>
          <t>FINALIZADO</t>
        </is>
      </c>
      <c r="M148" s="73" t="inlineStr">
        <is>
          <t>Médio</t>
        </is>
      </c>
      <c r="N148" s="71" t="inlineStr">
        <is>
          <t>Alteração de e-mail</t>
        </is>
      </c>
      <c r="O148" s="74" t="n">
        <v>46218</v>
      </c>
      <c r="P148" s="123" t="n">
        <v>46218</v>
      </c>
      <c r="Q148" s="177">
        <f>TEXT(O148,"mmm/aaaa")</f>
        <v/>
      </c>
      <c r="R148" s="71" t="inlineStr">
        <is>
          <t>ECOMMERCE BP SUPORTE FINANCEIRO N2</t>
        </is>
      </c>
      <c r="S148" s="71" t="inlineStr"/>
      <c r="T148" s="71" t="inlineStr"/>
      <c r="U148" s="71" t="inlineStr">
        <is>
          <t>Alteração de e-mail</t>
        </is>
      </c>
      <c r="V148" s="71">
        <f>U148</f>
        <v/>
      </c>
      <c r="W148" s="76">
        <f>_xlfn.CONCAT(D148:E148)</f>
        <v/>
      </c>
      <c r="X148" s="77" t="n">
        <v>46240</v>
      </c>
      <c r="Y148" s="78">
        <f>IF(X148="","Aberto","Encerrado")</f>
        <v/>
      </c>
      <c r="Z148" s="78">
        <f>IF(OR(L148="PENDENTE",L148="EM ANDAMENTO",L148="PENDENTE APROVAÇÃO CANCELAMENTO NF"),TODAY()-O148,X148-O148)</f>
        <v/>
      </c>
      <c r="AA148" s="78">
        <f>IF(Y148="Aberto",Z148+ROW()/100000,"")</f>
        <v/>
      </c>
      <c r="AB148" s="2">
        <f>IF(ISNUMBER(FIND("@cielo.com.br",S148)),"Interno","Externo")</f>
        <v/>
      </c>
      <c r="AD148" t="inlineStr"/>
      <c r="AJ148" t="inlineStr">
        <is>
          <t>Sem correspondência</t>
        </is>
      </c>
      <c r="AK148" t="b">
        <v>0</v>
      </c>
      <c r="AN148">
        <f>IF(OR(AG148="",AM148=""),"",IF(AG148=AM148,"SIM","NÃO"))</f>
        <v/>
      </c>
      <c r="AO148" t="inlineStr">
        <is>
          <t>NO_PATTERN</t>
        </is>
      </c>
    </row>
    <row r="149" ht="15.5" customHeight="1">
      <c r="A149" s="1" t="n"/>
      <c r="B149" s="67" t="inlineStr">
        <is>
          <t>Pamela de Sá</t>
        </is>
      </c>
      <c r="C149" s="70">
        <f>VLOOKUP(I:I,'Referencias '!H:I,2,0)</f>
        <v/>
      </c>
      <c r="D149" s="71" t="n">
        <v>24738030</v>
      </c>
      <c r="E149" s="71" t="n">
        <v>0</v>
      </c>
      <c r="F149" s="72" t="n">
        <v>2619611368041</v>
      </c>
      <c r="G149" s="72">
        <f>T149</f>
        <v/>
      </c>
      <c r="H149" s="72">
        <f>TRIM(_xlfn.TEXTBEFORE(_xlfn.TEXTAFTER(U149,"CNPJ/CPF:&lt;/strong&gt;"),"&lt;/p&gt;"))</f>
        <v/>
      </c>
      <c r="I149" s="70" t="inlineStr">
        <is>
          <t>Renegociação comercial</t>
        </is>
      </c>
      <c r="J149" s="72" t="n"/>
      <c r="K149" s="72" t="inlineStr">
        <is>
          <t>Cliente</t>
        </is>
      </c>
      <c r="L149" s="70" t="inlineStr">
        <is>
          <t>PENDENTE</t>
        </is>
      </c>
      <c r="M149" s="73" t="inlineStr">
        <is>
          <t>Médio</t>
        </is>
      </c>
      <c r="N149" s="71" t="inlineStr">
        <is>
          <t>1018 Financeiro | Desejo falar com o setor financeiro | Caio Cesar Santos Pereira | grancicloap.vendas@gmail.com</t>
        </is>
      </c>
      <c r="O149" s="74" t="n">
        <v>46218</v>
      </c>
      <c r="P149" s="123" t="n">
        <v>46219</v>
      </c>
      <c r="Q149" s="177">
        <f>TEXT(O149,"mmm/aaaa")</f>
        <v/>
      </c>
      <c r="R149" s="71" t="inlineStr">
        <is>
          <t>ECOMMERCE BP SUPORTE FINANCEIRO N2</t>
        </is>
      </c>
      <c r="S149" s="71" t="inlineStr">
        <is>
          <t>grancicloap.vendas@gmail.com</t>
        </is>
      </c>
      <c r="T149" s="71" t="inlineStr">
        <is>
          <t>GRAN CICLO EMPREENDIMENTOS</t>
        </is>
      </c>
      <c r="U149" s="71" t="inlineStr">
        <is>
          <t>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t>
        </is>
      </c>
      <c r="V149" s="71">
        <f>IFERROR(_xlfn.TEXTBEFORE(_xlfn.TEXTAFTER(U149,"Descrição do problema:&lt;/strong"),"&lt;/p&gt;"),_xlfn.TEXTAFTER(U149,"Descrição do problema:&lt;/strong"))</f>
        <v/>
      </c>
      <c r="W149" s="76">
        <f>_xlfn.CONCAT(D149:E149)</f>
        <v/>
      </c>
      <c r="X149" s="77" t="n"/>
      <c r="Y149" s="78">
        <f>IF(X149="","Aberto","Encerrado")</f>
        <v/>
      </c>
      <c r="Z149" s="78">
        <f>IF(OR(L149="PENDENTE",L149="EM ANDAMENTO",L149="PENDENTE APROVAÇÃO CANCELAMENTO NF"),TODAY()-O149,X149-O149)</f>
        <v/>
      </c>
      <c r="AA149" s="78">
        <f>IF(Y149="Aberto",Z149+ROW()/100000,"")</f>
        <v/>
      </c>
      <c r="AB149" s="2">
        <f>IF(ISNUMBER(FIND("@cielo.com.br",S149)),"Interno","Externo")</f>
        <v/>
      </c>
      <c r="AC149" t="inlineStr">
        <is>
          <t>Alterar, renegociar ou atualizar condições comerciais ou contratuais.</t>
        </is>
      </c>
      <c r="AD149" t="inlineStr">
        <is>
          <t>redução + taxa</t>
        </is>
      </c>
      <c r="AE149" t="inlineStr">
        <is>
          <t>Pendente retorno comercial</t>
        </is>
      </c>
      <c r="AF149" t="inlineStr">
        <is>
          <t>Contrato/Cadastro</t>
        </is>
      </c>
      <c r="AG149" t="inlineStr">
        <is>
          <t>Contratos, Comercial e Cadastro</t>
        </is>
      </c>
      <c r="AI149" t="inlineStr">
        <is>
          <t>INT_CON_CONDICOES</t>
        </is>
      </c>
      <c r="AJ149" t="inlineStr">
        <is>
          <t>Sugerida</t>
        </is>
      </c>
      <c r="AK149" t="b">
        <v>0</v>
      </c>
      <c r="AN149">
        <f>IF(OR(AG149="",AM149=""),"",IF(AG149=AM149,"SIM","NÃO"))</f>
        <v/>
      </c>
      <c r="AO149" t="inlineStr">
        <is>
          <t>CLASSIFIED_PATTERN</t>
        </is>
      </c>
    </row>
    <row r="150" ht="15.5" customHeight="1">
      <c r="A150" s="1" t="n"/>
      <c r="B150" s="67" t="inlineStr">
        <is>
          <t>Stephany Lima</t>
        </is>
      </c>
      <c r="C150" s="70">
        <f>VLOOKUP(I:I,'Referencias '!H:I,2,0)</f>
        <v/>
      </c>
      <c r="D150" s="71" t="n">
        <v>23388127</v>
      </c>
      <c r="E150" s="71" t="n">
        <v>0</v>
      </c>
      <c r="F150" s="72" t="n">
        <v>2616213493833</v>
      </c>
      <c r="G150" s="72">
        <f>T150</f>
        <v/>
      </c>
      <c r="H150" s="72">
        <f>TRIM(_xlfn.TEXTBEFORE(_xlfn.TEXTAFTER(U150,"CNPJ/CPF:&lt;/strong&gt;"),"&lt;/p&gt;"))</f>
        <v/>
      </c>
      <c r="I150" s="70" t="inlineStr">
        <is>
          <t>Duplicidade De Cobrança</t>
        </is>
      </c>
      <c r="J150" s="72" t="n"/>
      <c r="K150" s="72" t="n"/>
      <c r="L150" s="70" t="inlineStr">
        <is>
          <t>PENDENTE</t>
        </is>
      </c>
      <c r="M150" s="73" t="inlineStr">
        <is>
          <t>Médio</t>
        </is>
      </c>
      <c r="N150" s="71" t="inlineStr">
        <is>
          <t>1018 Financeiro | Desejo falar com o setor financeiro | Jéssica | jessica.abreu@bateriasmoura.com</t>
        </is>
      </c>
      <c r="O150" s="74" t="n">
        <v>46184</v>
      </c>
      <c r="P150" s="123" t="n">
        <v>46218</v>
      </c>
      <c r="Q150" s="177">
        <f>TEXT(O150,"mmm/aaaa")</f>
        <v/>
      </c>
      <c r="R150" s="71" t="inlineStr">
        <is>
          <t>ECOMMERCE BP SUPORTE FINANCEIRO N2</t>
        </is>
      </c>
      <c r="S150" s="71" t="inlineStr">
        <is>
          <t>jessica.abreu@bateriasmoura.com</t>
        </is>
      </c>
      <c r="T150" s="71" t="inlineStr"/>
      <c r="U150" s="129" t="inlineStr">
        <is>
          <t>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
O subordinado MICASSIA GOMES TEIXEIRA (merchan id: 245777F3-0BE1-4DD2-A9E2-30F21AE3E3CE) informou que foi cobrado em duplicidade pelo aluguel do terminal. 
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t>
        </is>
      </c>
      <c r="V150" s="71">
        <f>IFERROR(_xlfn.TEXTBEFORE(_xlfn.TEXTAFTER(U150,"Descrição do problema:&lt;/strong"),"&lt;/p&gt;"),_xlfn.TEXTAFTER(U150,"Descrição do problema:&lt;/strong"))</f>
        <v/>
      </c>
      <c r="W150" s="76">
        <f>_xlfn.CONCAT(D150:E150)</f>
        <v/>
      </c>
      <c r="X150" s="77" t="n"/>
      <c r="Y150" s="78">
        <f>IF(X150="","Aberto","Encerrado")</f>
        <v/>
      </c>
      <c r="Z150" s="78">
        <f>IF(OR(L150="PENDENTE",L150="EM ANDAMENTO",L150="PENDENTE APROVAÇÃO CANCELAMENTO NF"),TODAY()-O150,X150-O150)</f>
        <v/>
      </c>
      <c r="AA150" s="78">
        <f>IF(Y150="Aberto",Z150+ROW()/100000,"")</f>
        <v/>
      </c>
      <c r="AB150" s="2">
        <f>IF(ISNUMBER(FIND("@cielo.com.br",S150)),"Interno","Externo")</f>
        <v/>
      </c>
      <c r="AC150" t="inlineStr">
        <is>
          <t>Corrigir cobrança ou pagamento em duplicidade.</t>
        </is>
      </c>
      <c r="AD150" t="inlineStr">
        <is>
          <t>ACAO:CONSULTAR; OBJETO:COBRANCA; CONTEXTO:DUPLICIDADE</t>
        </is>
      </c>
      <c r="AE150" t="inlineStr">
        <is>
          <t>Duplicidade de cobrança</t>
        </is>
      </c>
      <c r="AF150" t="inlineStr">
        <is>
          <t>Valor Cobrado</t>
        </is>
      </c>
      <c r="AG150" t="inlineStr">
        <is>
          <t>Cobrança e Contestação</t>
        </is>
      </c>
      <c r="AI150" t="inlineStr">
        <is>
          <t>INT_COB_DUPLICIDADE</t>
        </is>
      </c>
      <c r="AJ150" t="inlineStr">
        <is>
          <t>Sugerida</t>
        </is>
      </c>
      <c r="AK150" t="b">
        <v>0</v>
      </c>
      <c r="AN150">
        <f>IF(OR(AG150="",AM150=""),"",IF(AG150=AM150,"SIM","NÃO"))</f>
        <v/>
      </c>
      <c r="AO150" t="inlineStr">
        <is>
          <t>CLASSIFIED_SIGNATURE</t>
        </is>
      </c>
    </row>
    <row r="151" ht="15.5" customHeight="1">
      <c r="A151" s="1" t="n"/>
      <c r="B151" s="67" t="inlineStr">
        <is>
          <t>Emilly Maria</t>
        </is>
      </c>
      <c r="C151" s="70">
        <f>VLOOKUP(I:I,'Referencias '!H:I,2,0)</f>
        <v/>
      </c>
      <c r="D151" s="71" t="n">
        <v>24733530</v>
      </c>
      <c r="E151" s="71" t="n">
        <v>0</v>
      </c>
      <c r="F151" s="126" t="n">
        <v>2619610365169</v>
      </c>
      <c r="G151" s="72">
        <f>VLOOKUP(H:H,'Referencias '!B:C,2,0)</f>
        <v/>
      </c>
      <c r="H151" s="72">
        <f>TRIM(_xlfn.TEXTBEFORE(_xlfn.TEXTAFTER(U151,"CNPJ/CPF:&lt;/strong&gt;"),"&lt;/p&gt;"))</f>
        <v/>
      </c>
      <c r="I151" s="70" t="inlineStr">
        <is>
          <t>Estorno / Devolução financeira</t>
        </is>
      </c>
      <c r="J151" s="72" t="n"/>
      <c r="K151" s="72" t="inlineStr">
        <is>
          <t>Risco / Compliance (ou Interno Cielo) / Comercial</t>
        </is>
      </c>
      <c r="L151" s="70" t="inlineStr">
        <is>
          <t>FINALIZADO</t>
        </is>
      </c>
      <c r="M151" s="73" t="inlineStr">
        <is>
          <t>Médio</t>
        </is>
      </c>
      <c r="N151" s="71" t="inlineStr">
        <is>
          <t>1018 Financeiro | Desejo falar com o setor financeiro | Raphael Felipe Palmeira | raphael.palmeira@cielo.com.br</t>
        </is>
      </c>
      <c r="O151" s="74" t="n">
        <v>46218</v>
      </c>
      <c r="P151" s="123" t="n">
        <v>46219</v>
      </c>
      <c r="Q151" s="177">
        <f>TEXT(O151,"mmm/aaaa")</f>
        <v/>
      </c>
      <c r="R151" s="71" t="inlineStr">
        <is>
          <t>ECOMMERCE BP SUPORTE FINANCEIRO N2</t>
        </is>
      </c>
      <c r="S151" s="71" t="inlineStr">
        <is>
          <t>raphael.palmeira@cielo.com.br</t>
        </is>
      </c>
      <c r="T151" s="71" t="inlineStr"/>
      <c r="U151" s="71" t="inlineStr">
        <is>
          <t>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
Após análise do time de Risco, o estabelecimento comercial não foi aprovado. Dessa forma, por decisão da Cielo, não daremos continuidade à implantação do cliente.
O pagamento foi efetuado em 13/01/2026, referente à NF nº 0099462.
Em e-mail, já tenho o de acordo da nacional Eliandra Araújo.&lt;/p&gt;&lt;p&gt;&lt;strong&gt;ID da transação:&lt;/strong&gt; &lt;/p&gt;&lt;p&gt;</t>
        </is>
      </c>
      <c r="V151" s="71">
        <f>IFERROR(_xlfn.TEXTBEFORE(_xlfn.TEXTAFTER(U151,"Descrição do problema:&lt;/strong"),"&lt;/p&gt;"),_xlfn.TEXTAFTER(U151,"Descrição do problema:&lt;/strong"))</f>
        <v/>
      </c>
      <c r="W151" s="76">
        <f>_xlfn.CONCAT(D151:E151)</f>
        <v/>
      </c>
      <c r="X151" s="77" t="n">
        <v>46268</v>
      </c>
      <c r="Y151" s="78">
        <f>IF(X151="","Aberto","Encerrado")</f>
        <v/>
      </c>
      <c r="Z151" s="78">
        <f>IF(OR(L151="PENDENTE",L151="EM ANDAMENTO",L151="PENDENTE APROVAÇÃO CANCELAMENTO NF"),TODAY()-O151,X151-O151)</f>
        <v/>
      </c>
      <c r="AA151" s="78">
        <f>IF(Y151="Aberto",Z151+ROW()/100000,"")</f>
        <v/>
      </c>
      <c r="AB151" s="2">
        <f>IF(ISNUMBER(FIND("@cielo.com.br",S151)),"Interno","Externo")</f>
        <v/>
      </c>
      <c r="AC151" t="inlineStr">
        <is>
          <t>Questionar ou corrigir cobrança de setup, taxa ou chave de loja.</t>
        </is>
      </c>
      <c r="AD151" t="inlineStr">
        <is>
          <t>taxa de setup; taxa + setup</t>
        </is>
      </c>
      <c r="AE151" t="inlineStr">
        <is>
          <t>Cobrança de setup</t>
        </is>
      </c>
      <c r="AF151" t="inlineStr">
        <is>
          <t>Valor Cobrado</t>
        </is>
      </c>
      <c r="AG151" t="inlineStr">
        <is>
          <t>Cobrança e Contestação</t>
        </is>
      </c>
      <c r="AI151" t="inlineStr">
        <is>
          <t>INT_COB_SETUP</t>
        </is>
      </c>
      <c r="AJ151" t="inlineStr">
        <is>
          <t>Sugerida</t>
        </is>
      </c>
      <c r="AK151" t="b">
        <v>0</v>
      </c>
      <c r="AN151">
        <f>IF(OR(AG151="",AM151=""),"",IF(AG151=AM151,"SIM","NÃO"))</f>
        <v/>
      </c>
      <c r="AO151" t="inlineStr">
        <is>
          <t>CLASSIFIED_PATTERN</t>
        </is>
      </c>
    </row>
    <row r="152" ht="15.5" customHeight="1">
      <c r="A152" s="1" t="n"/>
      <c r="B152" s="67" t="inlineStr">
        <is>
          <t>Stephany Lima</t>
        </is>
      </c>
      <c r="C152" s="70">
        <f>VLOOKUP(I:I,'Referencias '!H:I,2,0)</f>
        <v/>
      </c>
      <c r="D152" s="129" t="n">
        <v>24725908</v>
      </c>
      <c r="E152" s="71" t="n">
        <v>0</v>
      </c>
      <c r="F152" s="72" t="n">
        <v>2619609360212</v>
      </c>
      <c r="G152" s="72">
        <f>VLOOKUP(H:H,'Referencias '!B:C,2,0)</f>
        <v/>
      </c>
      <c r="H152" s="72">
        <f>TRIM(_xlfn.TEXTBEFORE(_xlfn.TEXTAFTER(U152,"CNPJ/CPF:&lt;/strong&gt;"),"&lt;/p&gt;"))</f>
        <v/>
      </c>
      <c r="I152" s="70" t="inlineStr">
        <is>
          <t>Consulta de débitos</t>
        </is>
      </c>
      <c r="J152" s="72" t="n"/>
      <c r="K152" s="72" t="inlineStr">
        <is>
          <t>Cliente</t>
        </is>
      </c>
      <c r="L152" s="70" t="inlineStr">
        <is>
          <t>FINALIZADO</t>
        </is>
      </c>
      <c r="M152" s="73" t="inlineStr">
        <is>
          <t>Médio</t>
        </is>
      </c>
      <c r="N152" s="71" t="inlineStr">
        <is>
          <t>1018 Financeiro | Desejo falar com o setor financeiro | Yasmin Xavier Senhuk | yasmin.senhuk@pirelli.com</t>
        </is>
      </c>
      <c r="O152" s="74" t="n">
        <v>46218</v>
      </c>
      <c r="P152" s="123" t="n">
        <v>46219</v>
      </c>
      <c r="Q152" s="177">
        <f>TEXT(O152,"mmm/aaaa")</f>
        <v/>
      </c>
      <c r="R152" s="71" t="inlineStr">
        <is>
          <t>ECOMMERCE BP SUPORTE FINANCEIRO N2</t>
        </is>
      </c>
      <c r="S152" s="71" t="inlineStr">
        <is>
          <t>yasmin.senhuk@pirelli.com</t>
        </is>
      </c>
      <c r="T152" s="71" t="inlineStr">
        <is>
          <t>PNEUAC</t>
        </is>
      </c>
      <c r="U152" s="71" t="inlineStr">
        <is>
          <t>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t>
        </is>
      </c>
      <c r="V152" s="71">
        <f>IFERROR(_xlfn.TEXTBEFORE(_xlfn.TEXTAFTER(U152,"Descrição do problema:&lt;/strong"),"&lt;/p&gt;"),_xlfn.TEXTAFTER(U152,"Descrição do problema:&lt;/strong"))</f>
        <v/>
      </c>
      <c r="W152" s="76">
        <f>_xlfn.CONCAT(D152:E152)</f>
        <v/>
      </c>
      <c r="X152" s="77" t="n">
        <v>46268</v>
      </c>
      <c r="Y152" s="78">
        <f>IF(X152="","Aberto","Encerrado")</f>
        <v/>
      </c>
      <c r="Z152" s="78">
        <f>IF(OR(L152="PENDENTE",L152="EM ANDAMENTO",L152="PENDENTE APROVAÇÃO CANCELAMENTO NF"),TODAY()-O152,X152-O152)</f>
        <v/>
      </c>
      <c r="AA152" s="78">
        <f>IF(Y152="Aberto",Z152+ROW()/100000,"")</f>
        <v/>
      </c>
      <c r="AB152" s="2">
        <f>IF(ISNUMBER(FIND("@cielo.com.br",S152)),"Interno","Externo")</f>
        <v/>
      </c>
      <c r="AC152" t="inlineStr">
        <is>
          <t>Consultar pagamentos, débitos, pendências ou recebíveis.</t>
        </is>
      </c>
      <c r="AD152" t="inlineStr">
        <is>
          <t>débitos pendentes; pendências financeiras; todas as pendências financeiras</t>
        </is>
      </c>
      <c r="AE152" t="inlineStr">
        <is>
          <t>Consulta financeira</t>
        </is>
      </c>
      <c r="AF152" t="inlineStr">
        <is>
          <t>Título Financeiro</t>
        </is>
      </c>
      <c r="AG152" t="inlineStr">
        <is>
          <t>Pagamentos, Boletos e Recebimentos</t>
        </is>
      </c>
      <c r="AI152" t="inlineStr">
        <is>
          <t>INT_PAG_FINANCEIRO</t>
        </is>
      </c>
      <c r="AJ152" t="inlineStr">
        <is>
          <t>Sugerida</t>
        </is>
      </c>
      <c r="AK152" t="b">
        <v>0</v>
      </c>
      <c r="AN152">
        <f>IF(OR(AG152="",AM152=""),"",IF(AG152=AM152,"SIM","NÃO"))</f>
        <v/>
      </c>
      <c r="AO152" t="inlineStr">
        <is>
          <t>CLASSIFIED_PATTERN</t>
        </is>
      </c>
    </row>
    <row r="153" ht="15.5" customHeight="1">
      <c r="A153" s="1" t="n"/>
      <c r="B153" s="67" t="inlineStr">
        <is>
          <t>Pamela de Sá</t>
        </is>
      </c>
      <c r="C153" s="70">
        <f>VLOOKUP(I:I,'Referencias '!H:I,2,0)</f>
        <v/>
      </c>
      <c r="D153" s="71" t="n">
        <v>24716711</v>
      </c>
      <c r="E153" s="71" t="n">
        <v>23595875</v>
      </c>
      <c r="F153" s="72" t="n">
        <v>2619518353748</v>
      </c>
      <c r="G153" s="72">
        <f>T153</f>
        <v/>
      </c>
      <c r="H153" s="72" t="inlineStr">
        <is>
          <t>07.141.168/0001-66</t>
        </is>
      </c>
      <c r="I153" s="70" t="inlineStr">
        <is>
          <t>Cancelamento de Nota Fiscal</t>
        </is>
      </c>
      <c r="J153" s="72" t="n"/>
      <c r="K153" s="72" t="inlineStr">
        <is>
          <t>Financeiro</t>
        </is>
      </c>
      <c r="L153" s="70" t="inlineStr">
        <is>
          <t>FINALIZADO</t>
        </is>
      </c>
      <c r="M153" s="73" t="inlineStr">
        <is>
          <t>Médio</t>
        </is>
      </c>
      <c r="N153" s="71" t="inlineStr">
        <is>
          <t>RES: Recebemos sua solicitação "1018 Financeiro | Desejo falar com o setor financeiro | ALFA AGENCIA DE VIAGENS LTDA | ariane.pasilva@cielo.com.br"</t>
        </is>
      </c>
      <c r="O153" s="74" t="n">
        <v>46217</v>
      </c>
      <c r="P153" s="123" t="n">
        <v>46217</v>
      </c>
      <c r="Q153" s="177">
        <f>TEXT(O153,"mmm/aaaa")</f>
        <v/>
      </c>
      <c r="R153" s="71" t="inlineStr">
        <is>
          <t>ECOMMERCE BP SUPORTE FINANCEIRO N2</t>
        </is>
      </c>
      <c r="S153" s="71" t="inlineStr">
        <is>
          <t>ariane.pasilva@cielo.com.br</t>
        </is>
      </c>
      <c r="T153" s="71" t="inlineStr">
        <is>
          <t>ALFA OPERADORA</t>
        </is>
      </c>
      <c r="U153" s="71" t="inlineStr">
        <is>
          <t>Outros</t>
        </is>
      </c>
      <c r="V153" s="71">
        <f>U153</f>
        <v/>
      </c>
      <c r="W153" s="76">
        <f>_xlfn.CONCAT(D153:E153)</f>
        <v/>
      </c>
      <c r="X153" s="77" t="n">
        <v>46280</v>
      </c>
      <c r="Y153" s="78">
        <f>IF(X153="","Aberto","Encerrado")</f>
        <v/>
      </c>
      <c r="Z153" s="78">
        <f>IF(OR(L153="PENDENTE",L153="EM ANDAMENTO",L153="PENDENTE APROVAÇÃO CANCELAMENTO NF"),TODAY()-O153,X153-O153)</f>
        <v/>
      </c>
      <c r="AA153" s="78">
        <f>IF(Y153="Aberto",Z153+ROW()/100000,"")</f>
        <v/>
      </c>
      <c r="AB153" s="2">
        <f>IF(ISNUMBER(FIND("@cielo.com.br",S153)),"Interno","Externo")</f>
        <v/>
      </c>
      <c r="AD153" t="inlineStr"/>
      <c r="AJ153" t="inlineStr">
        <is>
          <t>Sem correspondência</t>
        </is>
      </c>
      <c r="AK153" t="b">
        <v>0</v>
      </c>
      <c r="AN153">
        <f>IF(OR(AG153="",AM153=""),"",IF(AG153=AM153,"SIM","NÃO"))</f>
        <v/>
      </c>
      <c r="AO153" t="inlineStr">
        <is>
          <t>NO_PATTERN</t>
        </is>
      </c>
    </row>
    <row r="154" ht="15.5" customHeight="1">
      <c r="A154" s="1" t="n"/>
      <c r="B154" s="67" t="inlineStr">
        <is>
          <t>Pamela de Sá</t>
        </is>
      </c>
      <c r="C154" s="70">
        <f>VLOOKUP(I:I,'Referencias '!H:I,2,0)</f>
        <v/>
      </c>
      <c r="D154" s="71" t="n">
        <v>24716261</v>
      </c>
      <c r="E154" s="71" t="n">
        <v>23632412</v>
      </c>
      <c r="F154" s="72" t="n">
        <v>2619518353404</v>
      </c>
      <c r="G154" s="72">
        <f>T154</f>
        <v/>
      </c>
      <c r="H154" s="72" t="n"/>
      <c r="I154" s="70" t="inlineStr">
        <is>
          <t>Alteração cadastral</t>
        </is>
      </c>
      <c r="J154" s="72" t="n"/>
      <c r="K154" s="72" t="inlineStr">
        <is>
          <t>Cliente</t>
        </is>
      </c>
      <c r="L154" s="70" t="inlineStr">
        <is>
          <t>EM ANDAMENTO</t>
        </is>
      </c>
      <c r="M154" s="73" t="inlineStr">
        <is>
          <t>Médio</t>
        </is>
      </c>
      <c r="N154" s="71" t="inlineStr">
        <is>
          <t>RES: Recebemos sua solicitação "1018 Financeiro | Desejo falar com o setor financeiro | Fernanda Labes | fernanda.labes@mbrf.com"</t>
        </is>
      </c>
      <c r="O154" s="74" t="n">
        <v>46217</v>
      </c>
      <c r="P154" s="123" t="n">
        <v>46217</v>
      </c>
      <c r="Q154" s="177">
        <f>TEXT(O154,"mmm/aaaa")</f>
        <v/>
      </c>
      <c r="R154" s="71" t="inlineStr">
        <is>
          <t>ECOMMERCE BP SUPORTE FINANCEIRO N2</t>
        </is>
      </c>
      <c r="S154" s="71" t="inlineStr">
        <is>
          <t>fernanda.labes@mbrf.com</t>
        </is>
      </c>
      <c r="T154" s="71" t="inlineStr"/>
      <c r="U154" s="71" t="inlineStr">
        <is>
          <t>Outros</t>
        </is>
      </c>
      <c r="V154" s="71">
        <f>U154</f>
        <v/>
      </c>
      <c r="W154" s="76">
        <f>_xlfn.CONCAT(D154:E154)</f>
        <v/>
      </c>
      <c r="X154" s="77" t="n"/>
      <c r="Y154" s="78">
        <f>IF(X154="","Aberto","Encerrado")</f>
        <v/>
      </c>
      <c r="Z154" s="78">
        <f>IF(OR(L154="PENDENTE",L154="EM ANDAMENTO",L154="PENDENTE APROVAÇÃO CANCELAMENTO NF"),TODAY()-O154,X154-O154)</f>
        <v/>
      </c>
      <c r="AA154" s="78">
        <f>IF(Y154="Aberto",Z154+ROW()/100000,"")</f>
        <v/>
      </c>
      <c r="AB154" s="2">
        <f>IF(ISNUMBER(FIND("@cielo.com.br",S154)),"Interno","Externo")</f>
        <v/>
      </c>
      <c r="AD154" t="inlineStr"/>
      <c r="AJ154" t="inlineStr">
        <is>
          <t>Sem correspondência</t>
        </is>
      </c>
      <c r="AK154" t="b">
        <v>0</v>
      </c>
      <c r="AN154">
        <f>IF(OR(AG154="",AM154=""),"",IF(AG154=AM154,"SIM","NÃO"))</f>
        <v/>
      </c>
      <c r="AO154" t="inlineStr">
        <is>
          <t>NO_PATTERN</t>
        </is>
      </c>
    </row>
    <row r="155" ht="15.5" customHeight="1">
      <c r="A155" s="1" t="n"/>
      <c r="B155" s="67" t="inlineStr">
        <is>
          <t>Pamela de Sá</t>
        </is>
      </c>
      <c r="C155" s="70">
        <f>VLOOKUP(I:I,'Referencias '!H:I,2,0)</f>
        <v/>
      </c>
      <c r="D155" s="71" t="n">
        <v>24715652</v>
      </c>
      <c r="E155" s="71" t="n">
        <v>23642685</v>
      </c>
      <c r="F155" s="72" t="n">
        <v>2619517353058</v>
      </c>
      <c r="G155" s="72">
        <f>T155</f>
        <v/>
      </c>
      <c r="H155" s="72" t="n"/>
      <c r="I155" s="70" t="inlineStr">
        <is>
          <t>Cobrança de Setup</t>
        </is>
      </c>
      <c r="J155" s="72" t="n"/>
      <c r="K155" s="72" t="inlineStr">
        <is>
          <t>Comercial</t>
        </is>
      </c>
      <c r="L155" s="70" t="inlineStr">
        <is>
          <t>PENDENTE</t>
        </is>
      </c>
      <c r="M155" s="73" t="inlineStr">
        <is>
          <t>Médio</t>
        </is>
      </c>
      <c r="N155" s="71" t="inlineStr">
        <is>
          <t>RES: Recebemos sua solicitação "1018 Financeiro | Desejo falar com o setor financeiro | Júlia Angelozzi | julia.djesus@cielo.com.br"</t>
        </is>
      </c>
      <c r="O155" s="74" t="n">
        <v>46217</v>
      </c>
      <c r="P155" s="123" t="n">
        <v>46217</v>
      </c>
      <c r="Q155" s="177">
        <f>TEXT(O155,"mmm/aaaa")</f>
        <v/>
      </c>
      <c r="R155" s="71" t="inlineStr">
        <is>
          <t>ECOMMERCE BP SUPORTE FINANCEIRO N2</t>
        </is>
      </c>
      <c r="S155" s="71" t="inlineStr">
        <is>
          <t>julia.djesus@cielo.com.br</t>
        </is>
      </c>
      <c r="T155" s="71" t="inlineStr">
        <is>
          <t>OSTENSA</t>
        </is>
      </c>
      <c r="U155" s="71" t="inlineStr">
        <is>
          <t>Outros</t>
        </is>
      </c>
      <c r="V155" s="71">
        <f>U155</f>
        <v/>
      </c>
      <c r="W155" s="76">
        <f>_xlfn.CONCAT(D155:E155)</f>
        <v/>
      </c>
      <c r="X155" s="77" t="n"/>
      <c r="Y155" s="78">
        <f>IF(X155="","Aberto","Encerrado")</f>
        <v/>
      </c>
      <c r="Z155" s="78">
        <f>IF(OR(L155="PENDENTE",L155="EM ANDAMENTO",L155="PENDENTE APROVAÇÃO CANCELAMENTO NF"),TODAY()-O155,X155-O155)</f>
        <v/>
      </c>
      <c r="AA155" s="78">
        <f>IF(Y155="Aberto",Z155+ROW()/100000,"")</f>
        <v/>
      </c>
      <c r="AB155" s="2">
        <f>IF(ISNUMBER(FIND("@cielo.com.br",S155)),"Interno","Externo")</f>
        <v/>
      </c>
      <c r="AD155" t="inlineStr"/>
      <c r="AJ155" t="inlineStr">
        <is>
          <t>Sem correspondência</t>
        </is>
      </c>
      <c r="AK155" t="b">
        <v>0</v>
      </c>
      <c r="AN155">
        <f>IF(OR(AG155="",AM155=""),"",IF(AG155=AM155,"SIM","NÃO"))</f>
        <v/>
      </c>
      <c r="AO155" t="inlineStr">
        <is>
          <t>NO_PATTERN</t>
        </is>
      </c>
    </row>
    <row r="156" ht="15.5" customHeight="1">
      <c r="A156" s="1" t="n"/>
      <c r="B156" s="67" t="inlineStr">
        <is>
          <t>Pamela de Sá</t>
        </is>
      </c>
      <c r="C156" s="70">
        <f>VLOOKUP(I:I,'Referencias '!H:I,2,0)</f>
        <v/>
      </c>
      <c r="D156" s="129" t="n">
        <v>24713901</v>
      </c>
      <c r="E156" s="71" t="n">
        <v>23663062</v>
      </c>
      <c r="F156" s="72" t="n">
        <v>2619517351980</v>
      </c>
      <c r="G156" s="72">
        <f>T156</f>
        <v/>
      </c>
      <c r="H156" s="72" t="n"/>
      <c r="I156" s="70" t="inlineStr">
        <is>
          <t>Congelamento de contrato</t>
        </is>
      </c>
      <c r="J156" s="72" t="n"/>
      <c r="K156" s="72" t="inlineStr">
        <is>
          <t>Cliente</t>
        </is>
      </c>
      <c r="L156" s="70" t="inlineStr">
        <is>
          <t>FINALIZADO</t>
        </is>
      </c>
      <c r="M156" s="73" t="inlineStr">
        <is>
          <t>Médio</t>
        </is>
      </c>
      <c r="N156" s="71" t="inlineStr">
        <is>
          <t>Congelamento de contrato</t>
        </is>
      </c>
      <c r="O156" s="74" t="n">
        <v>46217</v>
      </c>
      <c r="P156" s="123" t="n">
        <v>46217</v>
      </c>
      <c r="Q156" s="177">
        <f>TEXT(O156,"mmm/aaaa")</f>
        <v/>
      </c>
      <c r="R156" s="71" t="inlineStr">
        <is>
          <t>ECOMMERCE BP SUPORTE FINANCEIRO N2</t>
        </is>
      </c>
      <c r="S156" s="71" t="inlineStr">
        <is>
          <t>patricia.dlima@cielo.com.br</t>
        </is>
      </c>
      <c r="T156" s="71" t="inlineStr">
        <is>
          <t>EGR COMERCIO DE PRODUTOS DIVERSOS LTDA</t>
        </is>
      </c>
      <c r="U156" s="71" t="inlineStr">
        <is>
          <t>Congelamento de contrato</t>
        </is>
      </c>
      <c r="V156" s="71">
        <f>U156</f>
        <v/>
      </c>
      <c r="W156" s="76">
        <f>_xlfn.CONCAT(D156:E156)</f>
        <v/>
      </c>
      <c r="X156" s="77" t="n">
        <v>46280</v>
      </c>
      <c r="Y156" s="78">
        <f>IF(X156="","Aberto","Encerrado")</f>
        <v/>
      </c>
      <c r="Z156" s="78">
        <f>IF(OR(L156="PENDENTE",L156="EM ANDAMENTO",L156="PENDENTE APROVAÇÃO CANCELAMENTO NF"),TODAY()-O156,X156-O156)</f>
        <v/>
      </c>
      <c r="AA156" s="78">
        <f>IF(Y156="Aberto",Z156+ROW()/100000,"")</f>
        <v/>
      </c>
      <c r="AB156" s="2">
        <f>IF(ISNUMBER(FIND("@cielo.com.br",S156)),"Interno","Externo")</f>
        <v/>
      </c>
      <c r="AC156" t="inlineStr">
        <is>
          <t>Congelar ou suspender temporariamente contrato ou serviço.</t>
        </is>
      </c>
      <c r="AD156" t="inlineStr">
        <is>
          <t>ACAO:SUSPENDER; OBJETO:CONTRATO; OBJETO:SUSPENDER</t>
        </is>
      </c>
      <c r="AE156" t="inlineStr">
        <is>
          <t>Congelamento de contrato</t>
        </is>
      </c>
      <c r="AF156" t="inlineStr">
        <is>
          <t>Contrato/Cadastro</t>
        </is>
      </c>
      <c r="AG156" t="inlineStr">
        <is>
          <t>Contratos, Comercial e Cadastro</t>
        </is>
      </c>
      <c r="AI156" t="inlineStr">
        <is>
          <t>INT_CON_CONGELAMENTO</t>
        </is>
      </c>
      <c r="AJ156" t="inlineStr">
        <is>
          <t>Sugerida</t>
        </is>
      </c>
      <c r="AK156" t="b">
        <v>0</v>
      </c>
      <c r="AN156">
        <f>IF(OR(AG156="",AM156=""),"",IF(AG156=AM156,"SIM","NÃO"))</f>
        <v/>
      </c>
      <c r="AO156" t="inlineStr">
        <is>
          <t>CLASSIFIED_SIGNATURE</t>
        </is>
      </c>
    </row>
    <row r="157" ht="15.5" customHeight="1">
      <c r="A157" s="1" t="n"/>
      <c r="B157" s="67" t="inlineStr">
        <is>
          <t>Pamela de Sá</t>
        </is>
      </c>
      <c r="C157" s="70">
        <f>VLOOKUP(I:I,'Referencias '!H:I,2,0)</f>
        <v/>
      </c>
      <c r="D157" s="129" t="n">
        <v>24713448</v>
      </c>
      <c r="E157" s="71" t="n">
        <v>23739607</v>
      </c>
      <c r="F157" s="72" t="n">
        <v>2619517351689</v>
      </c>
      <c r="G157" s="72">
        <f>T157</f>
        <v/>
      </c>
      <c r="H157" s="72" t="n"/>
      <c r="I157" s="70" t="inlineStr">
        <is>
          <t>Alteração de dados fiscais</t>
        </is>
      </c>
      <c r="J157" s="72" t="n"/>
      <c r="K157" s="72" t="inlineStr">
        <is>
          <t>Cliente</t>
        </is>
      </c>
      <c r="L157" s="70" t="inlineStr">
        <is>
          <t>PENDENTE</t>
        </is>
      </c>
      <c r="M157" s="73" t="inlineStr">
        <is>
          <t>Médio</t>
        </is>
      </c>
      <c r="N157" s="71" t="inlineStr">
        <is>
          <t>Notas com NBS</t>
        </is>
      </c>
      <c r="O157" s="74" t="n">
        <v>46217</v>
      </c>
      <c r="P157" s="123" t="n">
        <v>46217</v>
      </c>
      <c r="Q157" s="177">
        <f>TEXT(O157,"mmm/aaaa")</f>
        <v/>
      </c>
      <c r="R157" s="71" t="inlineStr">
        <is>
          <t>ECOMMERCE BP SUPORTE FINANCEIRO N2</t>
        </is>
      </c>
      <c r="S157" s="71" t="inlineStr"/>
      <c r="T157" s="71" t="inlineStr">
        <is>
          <t>FORMULA</t>
        </is>
      </c>
      <c r="U157" s="71" t="inlineStr">
        <is>
          <t>Notas com NBS</t>
        </is>
      </c>
      <c r="V157" s="71">
        <f>U157</f>
        <v/>
      </c>
      <c r="W157" s="76">
        <f>_xlfn.CONCAT(D157:E157)</f>
        <v/>
      </c>
      <c r="X157" s="77" t="n"/>
      <c r="Y157" s="78">
        <f>IF(X157="","Aberto","Encerrado")</f>
        <v/>
      </c>
      <c r="Z157" s="78">
        <f>IF(OR(L157="PENDENTE",L157="EM ANDAMENTO",L157="PENDENTE APROVAÇÃO CANCELAMENTO NF"),TODAY()-O157,X157-O157)</f>
        <v/>
      </c>
      <c r="AA157" s="78">
        <f>IF(Y157="Aberto",Z157+ROW()/100000,"")</f>
        <v/>
      </c>
      <c r="AB157" s="2">
        <f>IF(ISNUMBER(FIND("@cielo.com.br",S157)),"Interno","Externo")</f>
        <v/>
      </c>
      <c r="AD157" t="inlineStr"/>
      <c r="AJ157" t="inlineStr">
        <is>
          <t>Sem correspondência</t>
        </is>
      </c>
      <c r="AK157" t="b">
        <v>0</v>
      </c>
      <c r="AN157">
        <f>IF(OR(AG157="",AM157=""),"",IF(AG157=AM157,"SIM","NÃO"))</f>
        <v/>
      </c>
      <c r="AO157" t="inlineStr">
        <is>
          <t>NO_PATTERN</t>
        </is>
      </c>
    </row>
    <row r="158" ht="15.5" customHeight="1">
      <c r="A158" s="1" t="n"/>
      <c r="B158" s="67" t="inlineStr">
        <is>
          <t>Stephany Lima</t>
        </is>
      </c>
      <c r="C158" s="70">
        <f>VLOOKUP(I:I,'Referencias '!H:I,2,0)</f>
        <v/>
      </c>
      <c r="D158" s="71" t="n">
        <v>23451522</v>
      </c>
      <c r="E158" s="71" t="n">
        <v>0</v>
      </c>
      <c r="F158" s="72" t="n">
        <v>2616315534591</v>
      </c>
      <c r="G158" s="72">
        <f>VLOOKUP(H:H,'Referencias '!B:C,2,0)</f>
        <v/>
      </c>
      <c r="H158" s="72">
        <f>TRIM(_xlfn.TEXTBEFORE(_xlfn.TEXTAFTER(U158,"CNPJ/CPF:&lt;/strong&gt;"),"&lt;/p&gt;"))</f>
        <v/>
      </c>
      <c r="I158" s="70" t="inlineStr">
        <is>
          <t>Alteração de vencimento / Prorrogação / Reenvio de boleto</t>
        </is>
      </c>
      <c r="J158" s="72" t="n"/>
      <c r="K158" s="72" t="n"/>
      <c r="L158" s="70" t="inlineStr">
        <is>
          <t>PENDENTE</t>
        </is>
      </c>
      <c r="M158" s="73" t="inlineStr">
        <is>
          <t>Médio</t>
        </is>
      </c>
      <c r="N158" s="71" t="inlineStr">
        <is>
          <t>1018 Financeiro | Desejo falar com o setor financeiro | Daniela Sato | daniela.sato@taniabulhoes.com.br</t>
        </is>
      </c>
      <c r="O158" s="74" t="n">
        <v>46185</v>
      </c>
      <c r="P158" s="123" t="n">
        <v>46218</v>
      </c>
      <c r="Q158" s="177">
        <f>TEXT(O158,"mmm/aaaa")</f>
        <v/>
      </c>
      <c r="R158" s="71" t="inlineStr">
        <is>
          <t>ECOMMERCE BP SUPORTE FINANCEIRO N2</t>
        </is>
      </c>
      <c r="S158" s="71" t="inlineStr">
        <is>
          <t>daniela.sato@taniabulhoes.com.br</t>
        </is>
      </c>
      <c r="T158" s="71" t="inlineStr"/>
      <c r="U158" s="129" t="inlineStr">
        <is>
          <t>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
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t>
        </is>
      </c>
      <c r="V158" s="71">
        <f>IFERROR(_xlfn.TEXTBEFORE(_xlfn.TEXTAFTER(U158,"Descrição do problema:&lt;/strong"),"&lt;/p&gt;"),_xlfn.TEXTAFTER(U158,"Descrição do problema:&lt;/strong"))</f>
        <v/>
      </c>
      <c r="W158" s="76">
        <f>_xlfn.CONCAT(D158:E158)</f>
        <v/>
      </c>
      <c r="X158" s="77" t="n"/>
      <c r="Y158" s="78">
        <f>IF(X158="","Aberto","Encerrado")</f>
        <v/>
      </c>
      <c r="Z158" s="78">
        <f>IF(OR(L158="PENDENTE",L158="EM ANDAMENTO",L158="PENDENTE APROVAÇÃO CANCELAMENTO NF"),TODAY()-O158,X158-O158)</f>
        <v/>
      </c>
      <c r="AA158" s="78">
        <f>IF(Y158="Aberto",Z158+ROW()/100000,"")</f>
        <v/>
      </c>
      <c r="AB158" s="2">
        <f>IF(ISNUMBER(FIND("@cielo.com.br",S158)),"Interno","Externo")</f>
        <v/>
      </c>
      <c r="AC158" t="inlineStr">
        <is>
          <t>Alterar ou prorrogar vencimento ou prazo de pagamento.</t>
        </is>
      </c>
      <c r="AD158" t="inlineStr">
        <is>
          <t>data de vencimento atualizada; boleto com data de vencimento atualizada</t>
        </is>
      </c>
      <c r="AE158" t="inlineStr">
        <is>
          <t>Alteração de vencimento</t>
        </is>
      </c>
      <c r="AF158" t="inlineStr">
        <is>
          <t>Título Financeiro</t>
        </is>
      </c>
      <c r="AG158" t="inlineStr">
        <is>
          <t>Pagamentos, Boletos e Recebimentos</t>
        </is>
      </c>
      <c r="AI158" t="inlineStr">
        <is>
          <t>INT_PAG_VENCIMENTO</t>
        </is>
      </c>
      <c r="AJ158" t="inlineStr">
        <is>
          <t>Sugerida</t>
        </is>
      </c>
      <c r="AK158" t="b">
        <v>0</v>
      </c>
      <c r="AN158">
        <f>IF(OR(AG158="",AM158=""),"",IF(AG158=AM158,"SIM","NÃO"))</f>
        <v/>
      </c>
      <c r="AO158" t="inlineStr">
        <is>
          <t>CLASSIFIED_PATTERN</t>
        </is>
      </c>
    </row>
    <row r="159" ht="15.5" customHeight="1">
      <c r="A159" s="1" t="n"/>
      <c r="B159" s="67" t="inlineStr">
        <is>
          <t>Fabiana Lisboa</t>
        </is>
      </c>
      <c r="C159" s="70">
        <f>VLOOKUP(I:I,'Referencias '!H:I,2,0)</f>
        <v/>
      </c>
      <c r="D159" s="71" t="n">
        <v>24703893</v>
      </c>
      <c r="E159" s="71" t="n">
        <v>23863833</v>
      </c>
      <c r="F159" s="72" t="n">
        <v>2619515345563</v>
      </c>
      <c r="G159" s="72">
        <f>T159</f>
        <v/>
      </c>
      <c r="H159" s="72" t="n"/>
      <c r="I159" s="70" t="inlineStr">
        <is>
          <t>Reemissão de boleto</t>
        </is>
      </c>
      <c r="J159" s="72" t="n"/>
      <c r="K159" s="72" t="n"/>
      <c r="L159" s="70" t="inlineStr">
        <is>
          <t>FINALIZADO</t>
        </is>
      </c>
      <c r="M159" s="73" t="inlineStr">
        <is>
          <t>Médio</t>
        </is>
      </c>
      <c r="N159" s="71" t="inlineStr">
        <is>
          <t>Reemissão de boleto</t>
        </is>
      </c>
      <c r="O159" s="74" t="n">
        <v>46217</v>
      </c>
      <c r="P159" s="123" t="n">
        <v>46217</v>
      </c>
      <c r="Q159" s="177">
        <f>TEXT(O159,"mmm/aaaa")</f>
        <v/>
      </c>
      <c r="R159" s="71" t="inlineStr">
        <is>
          <t>ECOMMERCE BP SUPORTE FINANCEIRO N2</t>
        </is>
      </c>
      <c r="S159" s="71" t="inlineStr"/>
      <c r="T159" s="71" t="inlineStr"/>
      <c r="U159" s="71" t="inlineStr">
        <is>
          <t>Reemissão de boleto</t>
        </is>
      </c>
      <c r="V159" s="71">
        <f>U159</f>
        <v/>
      </c>
      <c r="W159" s="76">
        <f>_xlfn.CONCAT(D159:E159)</f>
        <v/>
      </c>
      <c r="X159" s="77" t="n">
        <v>46233</v>
      </c>
      <c r="Y159" s="78">
        <f>IF(X159="","Aberto","Encerrado")</f>
        <v/>
      </c>
      <c r="Z159" s="78">
        <f>IF(OR(L159="PENDENTE",L159="EM ANDAMENTO",L159="PENDENTE APROVAÇÃO CANCELAMENTO NF"),TODAY()-O159,X159-O159)</f>
        <v/>
      </c>
      <c r="AA159" s="78">
        <f>IF(Y159="Aberto",Z159+ROW()/100000,"")</f>
        <v/>
      </c>
      <c r="AB159" s="2">
        <f>IF(ISNUMBER(FIND("@cielo.com.br",S159)),"Interno","Externo")</f>
        <v/>
      </c>
      <c r="AC159" t="inlineStr">
        <is>
          <t>Solicitar segunda via, reenvio ou reemissão de boleto.</t>
        </is>
      </c>
      <c r="AD159" t="inlineStr">
        <is>
          <t>reemissão de boleto; reemissão + boleto</t>
        </is>
      </c>
      <c r="AE159" t="inlineStr">
        <is>
          <t>Reenvio de boleto</t>
        </is>
      </c>
      <c r="AF159" t="inlineStr">
        <is>
          <t>Título Financeiro</t>
        </is>
      </c>
      <c r="AG159" t="inlineStr">
        <is>
          <t>Pagamentos, Boletos e Recebimentos</t>
        </is>
      </c>
      <c r="AI159" t="inlineStr">
        <is>
          <t>INT_PAG_BOLETO_REENVIO</t>
        </is>
      </c>
      <c r="AJ159" t="inlineStr">
        <is>
          <t>Sugerida</t>
        </is>
      </c>
      <c r="AK159" t="b">
        <v>0</v>
      </c>
      <c r="AN159">
        <f>IF(OR(AG159="",AM159=""),"",IF(AG159=AM159,"SIM","NÃO"))</f>
        <v/>
      </c>
      <c r="AO159" t="inlineStr">
        <is>
          <t>CLASSIFIED_PATTERN</t>
        </is>
      </c>
    </row>
    <row r="160" ht="15.5" customHeight="1">
      <c r="A160" s="1" t="n"/>
      <c r="B160" s="67" t="inlineStr">
        <is>
          <t>Pamela de Sá</t>
        </is>
      </c>
      <c r="C160" s="70">
        <f>VLOOKUP(I:I,'Referencias '!H:I,2,0)</f>
        <v/>
      </c>
      <c r="D160" s="71" t="n">
        <v>24702890</v>
      </c>
      <c r="E160" s="71" t="n">
        <v>23937053</v>
      </c>
      <c r="F160" s="72" t="n">
        <v>2619515344942</v>
      </c>
      <c r="G160" s="72">
        <f>T160</f>
        <v/>
      </c>
      <c r="H160" s="72" t="n"/>
      <c r="I160" s="70" t="inlineStr">
        <is>
          <t>Estorno de cobrança</t>
        </is>
      </c>
      <c r="J160" s="72" t="n"/>
      <c r="K160" s="72" t="inlineStr">
        <is>
          <t>Billing / Financeiro (a confirmar)</t>
        </is>
      </c>
      <c r="L160" s="70" t="inlineStr">
        <is>
          <t>PENDENTE</t>
        </is>
      </c>
      <c r="M160" s="73" t="inlineStr">
        <is>
          <t>Médio</t>
        </is>
      </c>
      <c r="N160" s="71" t="inlineStr">
        <is>
          <t>RES: Recebemos sua solicitação "1018 Financeiro | Desejo falar com o setor financeiro | Rodrigo Alves Costa | rodrigo@pousadaportomare.com.br"</t>
        </is>
      </c>
      <c r="O160" s="74" t="n">
        <v>46217</v>
      </c>
      <c r="P160" s="123" t="n">
        <v>46217</v>
      </c>
      <c r="Q160" s="177">
        <f>TEXT(O160,"mmm/aaaa")</f>
        <v/>
      </c>
      <c r="R160" s="71" t="inlineStr">
        <is>
          <t>ECOMMERCE BP SUPORTE FINANCEIRO N2</t>
        </is>
      </c>
      <c r="S160" s="71" t="inlineStr">
        <is>
          <t>rodrigo@pousadaportomare.com.br</t>
        </is>
      </c>
      <c r="T160" s="71" t="inlineStr"/>
      <c r="U160" s="71" t="inlineStr">
        <is>
          <t>Outros</t>
        </is>
      </c>
      <c r="V160" s="71">
        <f>U160</f>
        <v/>
      </c>
      <c r="W160" s="76">
        <f>_xlfn.CONCAT(D160:E160)</f>
        <v/>
      </c>
      <c r="X160" s="77" t="n"/>
      <c r="Y160" s="78">
        <f>IF(X160="","Aberto","Encerrado")</f>
        <v/>
      </c>
      <c r="Z160" s="78">
        <f>IF(OR(L160="PENDENTE",L160="EM ANDAMENTO",L160="PENDENTE APROVAÇÃO CANCELAMENTO NF"),TODAY()-O160,X160-O160)</f>
        <v/>
      </c>
      <c r="AA160" s="78">
        <f>IF(Y160="Aberto",Z160+ROW()/100000,"")</f>
        <v/>
      </c>
      <c r="AB160" s="2">
        <f>IF(ISNUMBER(FIND("@cielo.com.br",S160)),"Interno","Externo")</f>
        <v/>
      </c>
      <c r="AD160" t="inlineStr"/>
      <c r="AJ160" t="inlineStr">
        <is>
          <t>Sem correspondência</t>
        </is>
      </c>
      <c r="AK160" t="b">
        <v>0</v>
      </c>
      <c r="AN160">
        <f>IF(OR(AG160="",AM160=""),"",IF(AG160=AM160,"SIM","NÃO"))</f>
        <v/>
      </c>
      <c r="AO160" t="inlineStr">
        <is>
          <t>NO_PATTERN</t>
        </is>
      </c>
    </row>
    <row r="161" ht="15.5" customHeight="1">
      <c r="A161" s="1" t="n"/>
      <c r="B161" s="67" t="inlineStr">
        <is>
          <t>Amanda Silva</t>
        </is>
      </c>
      <c r="C161" s="70">
        <f>VLOOKUP(I:I,'Referencias '!H:I,2,0)</f>
        <v/>
      </c>
      <c r="D161" s="129" t="n">
        <v>24701700</v>
      </c>
      <c r="E161" s="71" t="n">
        <v>23981755</v>
      </c>
      <c r="F161" s="72" t="n">
        <v>2619515344194</v>
      </c>
      <c r="G161" s="72">
        <f>T161</f>
        <v/>
      </c>
      <c r="H161" s="72" t="n"/>
      <c r="I161" s="70" t="inlineStr">
        <is>
          <t>Carta de quitação</t>
        </is>
      </c>
      <c r="J161" s="72" t="n"/>
      <c r="K161" s="72" t="inlineStr">
        <is>
          <t>Cliente</t>
        </is>
      </c>
      <c r="L161" s="70" t="inlineStr">
        <is>
          <t>PENDENTE</t>
        </is>
      </c>
      <c r="M161" s="73" t="inlineStr">
        <is>
          <t>Médio</t>
        </is>
      </c>
      <c r="N161" s="71" t="inlineStr">
        <is>
          <t>Carta de quitação</t>
        </is>
      </c>
      <c r="O161" s="74" t="n">
        <v>46217</v>
      </c>
      <c r="P161" s="123" t="n">
        <v>46217</v>
      </c>
      <c r="Q161" s="177">
        <f>TEXT(O161,"mmm/aaaa")</f>
        <v/>
      </c>
      <c r="R161" s="71" t="inlineStr">
        <is>
          <t>ECOMMERCE BP SUPORTE FINANCEIRO N2</t>
        </is>
      </c>
      <c r="S161" s="71" t="inlineStr"/>
      <c r="T161" s="71" t="inlineStr">
        <is>
          <t>SERASA SA</t>
        </is>
      </c>
      <c r="U161" s="71" t="inlineStr">
        <is>
          <t>Carta de quitação</t>
        </is>
      </c>
      <c r="V161" s="71">
        <f>U161</f>
        <v/>
      </c>
      <c r="W161" s="76">
        <f>_xlfn.CONCAT(D161:E161)</f>
        <v/>
      </c>
      <c r="X161" s="77" t="n"/>
      <c r="Y161" s="78">
        <f>IF(X161="","Aberto","Encerrado")</f>
        <v/>
      </c>
      <c r="Z161" s="78">
        <f>IF(OR(L161="PENDENTE",L161="EM ANDAMENTO",L161="PENDENTE APROVAÇÃO CANCELAMENTO NF"),TODAY()-O161,X161-O161)</f>
        <v/>
      </c>
      <c r="AA161" s="78">
        <f>IF(Y161="Aberto",Z161+ROW()/100000,"")</f>
        <v/>
      </c>
      <c r="AB161" s="2">
        <f>IF(ISNUMBER(FIND("@cielo.com.br",S161)),"Interno","Externo")</f>
        <v/>
      </c>
      <c r="AC161" t="inlineStr">
        <is>
          <t>Solicitar documento administrativo.</t>
        </is>
      </c>
      <c r="AD161" t="inlineStr">
        <is>
          <t>carta de quitação</t>
        </is>
      </c>
      <c r="AE161" t="inlineStr">
        <is>
          <t>Reenvio de informação</t>
        </is>
      </c>
      <c r="AF161" t="inlineStr">
        <is>
          <t>Informação/Atendimento</t>
        </is>
      </c>
      <c r="AG161" t="inlineStr">
        <is>
          <t>Atendimento Administrativo e Suporte</t>
        </is>
      </c>
      <c r="AI161" t="inlineStr">
        <is>
          <t>INT_ADM_DOCUMENTOS</t>
        </is>
      </c>
      <c r="AJ161" t="inlineStr">
        <is>
          <t>Sugerida</t>
        </is>
      </c>
      <c r="AK161" t="b">
        <v>0</v>
      </c>
      <c r="AN161">
        <f>IF(OR(AG161="",AM161=""),"",IF(AG161=AM161,"SIM","NÃO"))</f>
        <v/>
      </c>
      <c r="AO161" t="inlineStr">
        <is>
          <t>CLASSIFIED_PATTERN</t>
        </is>
      </c>
    </row>
    <row r="162" ht="15.5" customHeight="1">
      <c r="A162" s="1" t="n"/>
      <c r="B162" s="67" t="inlineStr">
        <is>
          <t>Pamela de Sá</t>
        </is>
      </c>
      <c r="C162" s="70">
        <f>VLOOKUP(I:I,'Referencias '!H:I,2,0)</f>
        <v/>
      </c>
      <c r="D162" s="71" t="n">
        <v>24700529</v>
      </c>
      <c r="E162" s="71" t="n">
        <v>23981968</v>
      </c>
      <c r="F162" s="72" t="n">
        <v>2619515343454</v>
      </c>
      <c r="G162" s="72">
        <f>T162</f>
        <v/>
      </c>
      <c r="H162" s="72" t="n"/>
      <c r="I162" s="70" t="inlineStr">
        <is>
          <t>Alteração de vencimento</t>
        </is>
      </c>
      <c r="J162" s="72" t="n"/>
      <c r="K162" s="72" t="inlineStr">
        <is>
          <t>Cliente</t>
        </is>
      </c>
      <c r="L162" s="70" t="inlineStr">
        <is>
          <t>PENDENTE</t>
        </is>
      </c>
      <c r="M162" s="73" t="inlineStr">
        <is>
          <t>Médio</t>
        </is>
      </c>
      <c r="N162" s="71" t="inlineStr">
        <is>
          <t>RES: Recebemos sua solicitação "1018 Financeiro | Desejo falar com o setor financeiro | Francieli B. de Souza | francieli.souza@vulcabras.com"</t>
        </is>
      </c>
      <c r="O162" s="74" t="n">
        <v>46217</v>
      </c>
      <c r="P162" s="123" t="n">
        <v>46217</v>
      </c>
      <c r="Q162" s="177">
        <f>TEXT(O162,"mmm/aaaa")</f>
        <v/>
      </c>
      <c r="R162" s="71" t="inlineStr">
        <is>
          <t>ECOMMERCE BP SUPORTE FINANCEIRO N2</t>
        </is>
      </c>
      <c r="S162" s="71" t="inlineStr">
        <is>
          <t>francieli.souza@vulcabras.com</t>
        </is>
      </c>
      <c r="T162" s="71" t="inlineStr"/>
      <c r="U162" s="71" t="inlineStr">
        <is>
          <t>Outros</t>
        </is>
      </c>
      <c r="V162" s="71">
        <f>U162</f>
        <v/>
      </c>
      <c r="W162" s="76">
        <f>_xlfn.CONCAT(D162:E162)</f>
        <v/>
      </c>
      <c r="X162" s="77" t="n"/>
      <c r="Y162" s="78">
        <f>IF(X162="","Aberto","Encerrado")</f>
        <v/>
      </c>
      <c r="Z162" s="78">
        <f>IF(OR(L162="PENDENTE",L162="EM ANDAMENTO",L162="PENDENTE APROVAÇÃO CANCELAMENTO NF"),TODAY()-O162,X162-O162)</f>
        <v/>
      </c>
      <c r="AA162" s="78">
        <f>IF(Y162="Aberto",Z162+ROW()/100000,"")</f>
        <v/>
      </c>
      <c r="AB162" s="2">
        <f>IF(ISNUMBER(FIND("@cielo.com.br",S162)),"Interno","Externo")</f>
        <v/>
      </c>
      <c r="AD162" t="inlineStr"/>
      <c r="AJ162" t="inlineStr">
        <is>
          <t>Sem correspondência</t>
        </is>
      </c>
      <c r="AK162" t="b">
        <v>0</v>
      </c>
      <c r="AN162">
        <f>IF(OR(AG162="",AM162=""),"",IF(AG162=AM162,"SIM","NÃO"))</f>
        <v/>
      </c>
      <c r="AO162" t="inlineStr">
        <is>
          <t>NO_PATTERN</t>
        </is>
      </c>
    </row>
    <row r="163" ht="15.5" customHeight="1">
      <c r="A163" s="1" t="n"/>
      <c r="B163" s="67" t="inlineStr">
        <is>
          <t>Fabiana Lisboa</t>
        </is>
      </c>
      <c r="C163" s="70">
        <f>VLOOKUP(I:I,'Referencias '!H:I,2,0)</f>
        <v/>
      </c>
      <c r="D163" s="71" t="n">
        <v>24699726</v>
      </c>
      <c r="E163" s="71" t="n">
        <v>23982723</v>
      </c>
      <c r="F163" s="72" t="n">
        <v>2619515342914</v>
      </c>
      <c r="G163" s="72">
        <f>T163</f>
        <v/>
      </c>
      <c r="H163" s="72" t="n"/>
      <c r="I163" s="70" t="inlineStr">
        <is>
          <t>Reemissão de boleto</t>
        </is>
      </c>
      <c r="J163" s="72" t="n"/>
      <c r="K163" s="72" t="n"/>
      <c r="L163" s="70" t="inlineStr">
        <is>
          <t>FINALIZADO</t>
        </is>
      </c>
      <c r="M163" s="73" t="inlineStr">
        <is>
          <t>Médio</t>
        </is>
      </c>
      <c r="N163" s="71" t="inlineStr">
        <is>
          <t>Reemissão de boleto</t>
        </is>
      </c>
      <c r="O163" s="74" t="n">
        <v>46217</v>
      </c>
      <c r="P163" s="123" t="n">
        <v>46217</v>
      </c>
      <c r="Q163" s="177">
        <f>TEXT(O163,"mmm/aaaa")</f>
        <v/>
      </c>
      <c r="R163" s="71" t="inlineStr">
        <is>
          <t>ECOMMERCE BP SUPORTE FINANCEIRO N2</t>
        </is>
      </c>
      <c r="S163" s="71" t="inlineStr"/>
      <c r="T163" s="71" t="inlineStr">
        <is>
          <t>EUROP ASSISTANCE</t>
        </is>
      </c>
      <c r="U163" s="71" t="inlineStr">
        <is>
          <t>Reemissão de boleto</t>
        </is>
      </c>
      <c r="V163" s="71">
        <f>U163</f>
        <v/>
      </c>
      <c r="W163" s="76">
        <f>_xlfn.CONCAT(D163:E163)</f>
        <v/>
      </c>
      <c r="X163" s="77" t="n">
        <v>46233</v>
      </c>
      <c r="Y163" s="78">
        <f>IF(X163="","Aberto","Encerrado")</f>
        <v/>
      </c>
      <c r="Z163" s="78">
        <f>IF(OR(L163="PENDENTE",L163="EM ANDAMENTO",L163="PENDENTE APROVAÇÃO CANCELAMENTO NF"),TODAY()-O163,X163-O163)</f>
        <v/>
      </c>
      <c r="AA163" s="78">
        <f>IF(Y163="Aberto",Z163+ROW()/100000,"")</f>
        <v/>
      </c>
      <c r="AB163" s="2">
        <f>IF(ISNUMBER(FIND("@cielo.com.br",S163)),"Interno","Externo")</f>
        <v/>
      </c>
      <c r="AC163" t="inlineStr">
        <is>
          <t>Solicitar segunda via, reenvio ou reemissão de boleto.</t>
        </is>
      </c>
      <c r="AD163" t="inlineStr">
        <is>
          <t>reemissão de boleto; reemissão + boleto</t>
        </is>
      </c>
      <c r="AE163" t="inlineStr">
        <is>
          <t>Reenvio de boleto</t>
        </is>
      </c>
      <c r="AF163" t="inlineStr">
        <is>
          <t>Título Financeiro</t>
        </is>
      </c>
      <c r="AG163" t="inlineStr">
        <is>
          <t>Pagamentos, Boletos e Recebimentos</t>
        </is>
      </c>
      <c r="AI163" t="inlineStr">
        <is>
          <t>INT_PAG_BOLETO_REENVIO</t>
        </is>
      </c>
      <c r="AJ163" t="inlineStr">
        <is>
          <t>Sugerida</t>
        </is>
      </c>
      <c r="AK163" t="b">
        <v>0</v>
      </c>
      <c r="AN163">
        <f>IF(OR(AG163="",AM163=""),"",IF(AG163=AM163,"SIM","NÃO"))</f>
        <v/>
      </c>
      <c r="AO163" t="inlineStr">
        <is>
          <t>CLASSIFIED_PATTERN</t>
        </is>
      </c>
    </row>
    <row r="164" ht="15.5" customHeight="1">
      <c r="A164" s="1" t="n"/>
      <c r="B164" s="67" t="inlineStr">
        <is>
          <t>Emilly Maria</t>
        </is>
      </c>
      <c r="C164" s="70">
        <f>VLOOKUP(I:I,'Referencias '!H:I,2,0)</f>
        <v/>
      </c>
      <c r="D164" s="71" t="n">
        <v>24685955</v>
      </c>
      <c r="E164" s="71" t="n">
        <v>24094797</v>
      </c>
      <c r="F164" s="72" t="n">
        <v>2619512334010</v>
      </c>
      <c r="G164" s="72">
        <f>T164</f>
        <v/>
      </c>
      <c r="H164" s="72" t="n"/>
      <c r="I164" s="70" t="inlineStr">
        <is>
          <t>Consulta financeira</t>
        </is>
      </c>
      <c r="J164" s="72" t="n"/>
      <c r="K164" s="72" t="inlineStr">
        <is>
          <t>Cliente</t>
        </is>
      </c>
      <c r="L164" s="70" t="inlineStr">
        <is>
          <t>FINALIZADO</t>
        </is>
      </c>
      <c r="M164" s="73" t="inlineStr">
        <is>
          <t>Médio</t>
        </is>
      </c>
      <c r="N164" s="71" t="inlineStr">
        <is>
          <t>NF pendentes e boletos emitidos</t>
        </is>
      </c>
      <c r="O164" s="74" t="n">
        <v>46217</v>
      </c>
      <c r="P164" s="123" t="n">
        <v>46217</v>
      </c>
      <c r="Q164" s="177">
        <f>TEXT(O164,"mmm/aaaa")</f>
        <v/>
      </c>
      <c r="R164" s="71" t="inlineStr">
        <is>
          <t>ECOMMERCE BP SUPORTE FINANCEIRO N2</t>
        </is>
      </c>
      <c r="S164" s="71" t="inlineStr"/>
      <c r="T164" s="71" t="inlineStr">
        <is>
          <t>CASAS PEDRO</t>
        </is>
      </c>
      <c r="U164" s="71" t="inlineStr">
        <is>
          <t>NF pendentes e boletos emitidos</t>
        </is>
      </c>
      <c r="V164" s="71">
        <f>U164</f>
        <v/>
      </c>
      <c r="W164" s="76">
        <f>_xlfn.CONCAT(D164:E164)</f>
        <v/>
      </c>
      <c r="X164" s="77" t="n">
        <v>46276</v>
      </c>
      <c r="Y164" s="78">
        <f>IF(X164="","Aberto","Encerrado")</f>
        <v/>
      </c>
      <c r="Z164" s="78">
        <f>IF(OR(L164="PENDENTE",L164="EM ANDAMENTO",L164="PENDENTE APROVAÇÃO CANCELAMENTO NF"),TODAY()-O164,X164-O164)</f>
        <v/>
      </c>
      <c r="AA164" s="78">
        <f>IF(Y164="Aberto",Z164+ROW()/100000,"")</f>
        <v/>
      </c>
      <c r="AB164" s="2">
        <f>IF(ISNUMBER(FIND("@cielo.com.br",S164)),"Interno","Externo")</f>
        <v/>
      </c>
      <c r="AD164" t="inlineStr"/>
      <c r="AJ164" t="inlineStr">
        <is>
          <t>Sem correspondência</t>
        </is>
      </c>
      <c r="AK164" t="b">
        <v>0</v>
      </c>
      <c r="AN164">
        <f>IF(OR(AG164="",AM164=""),"",IF(AG164=AM164,"SIM","NÃO"))</f>
        <v/>
      </c>
      <c r="AO164" t="inlineStr">
        <is>
          <t>NO_PATTERN</t>
        </is>
      </c>
    </row>
    <row r="165" ht="15.5" customHeight="1">
      <c r="A165" s="1" t="n"/>
      <c r="B165" s="67" t="inlineStr">
        <is>
          <t>Stephany Lima</t>
        </is>
      </c>
      <c r="C165" s="70">
        <f>VLOOKUP(I:I,'Referencias '!H:I,2,0)</f>
        <v/>
      </c>
      <c r="D165" s="71" t="n">
        <v>24684359</v>
      </c>
      <c r="E165" s="71" t="n">
        <v>24102558</v>
      </c>
      <c r="F165" s="72" t="n">
        <v>2619512332994</v>
      </c>
      <c r="G165" s="72">
        <f>T165</f>
        <v/>
      </c>
      <c r="H165" s="72" t="n"/>
      <c r="I165" s="70" t="inlineStr">
        <is>
          <t>Cancelamento de boletos</t>
        </is>
      </c>
      <c r="J165" s="72" t="n"/>
      <c r="K165" s="72" t="n"/>
      <c r="L165" s="70" t="inlineStr">
        <is>
          <t>FINALIZADO</t>
        </is>
      </c>
      <c r="M165" s="73" t="inlineStr">
        <is>
          <t>Médio</t>
        </is>
      </c>
      <c r="N165" s="71" t="inlineStr">
        <is>
          <t>Cancelamento de boleto</t>
        </is>
      </c>
      <c r="O165" s="74" t="n">
        <v>46217</v>
      </c>
      <c r="P165" s="123" t="n">
        <v>46217</v>
      </c>
      <c r="Q165" s="177">
        <f>TEXT(O165,"mmm/aaaa")</f>
        <v/>
      </c>
      <c r="R165" s="71" t="inlineStr">
        <is>
          <t>ECOMMERCE BP SUPORTE FINANCEIRO N2</t>
        </is>
      </c>
      <c r="S165" s="71" t="inlineStr"/>
      <c r="T165" s="71" t="inlineStr"/>
      <c r="U165" s="71" t="inlineStr">
        <is>
          <t>Cancelamento de boleto</t>
        </is>
      </c>
      <c r="V165" s="71">
        <f>U165</f>
        <v/>
      </c>
      <c r="W165" s="76">
        <f>_xlfn.CONCAT(D165:E165)</f>
        <v/>
      </c>
      <c r="X165" s="77" t="n">
        <v>46233</v>
      </c>
      <c r="Y165" s="78">
        <f>IF(X165="","Aberto","Encerrado")</f>
        <v/>
      </c>
      <c r="Z165" s="78">
        <f>IF(OR(L165="PENDENTE",L165="EM ANDAMENTO",L165="PENDENTE APROVAÇÃO CANCELAMENTO NF"),TODAY()-O165,X165-O165)</f>
        <v/>
      </c>
      <c r="AA165" s="78">
        <f>IF(Y165="Aberto",Z165+ROW()/100000,"")</f>
        <v/>
      </c>
      <c r="AB165" s="2">
        <f>IF(ISNUMBER(FIND("@cielo.com.br",S165)),"Interno","Externo")</f>
        <v/>
      </c>
      <c r="AC165" t="inlineStr">
        <is>
          <t>Cancelar boleto ou interromper cobranças futuras ligadas a boleto.</t>
        </is>
      </c>
      <c r="AD165" t="inlineStr">
        <is>
          <t>ACAO:CANCELAR; OBJETO:BOLETO</t>
        </is>
      </c>
      <c r="AE165" t="inlineStr">
        <is>
          <t>Cancelamento de boleto</t>
        </is>
      </c>
      <c r="AF165" t="inlineStr">
        <is>
          <t>Título Financeiro</t>
        </is>
      </c>
      <c r="AG165" t="inlineStr">
        <is>
          <t>Pagamentos, Boletos e Recebimentos</t>
        </is>
      </c>
      <c r="AI165" t="inlineStr">
        <is>
          <t>INT_PAG_BOLETO_CANCELAMENTO</t>
        </is>
      </c>
      <c r="AJ165" t="inlineStr">
        <is>
          <t>Sugerida</t>
        </is>
      </c>
      <c r="AK165" t="b">
        <v>0</v>
      </c>
      <c r="AN165">
        <f>IF(OR(AG165="",AM165=""),"",IF(AG165=AM165,"SIM","NÃO"))</f>
        <v/>
      </c>
      <c r="AO165" t="inlineStr">
        <is>
          <t>CLASSIFIED_SIGNATURE</t>
        </is>
      </c>
    </row>
    <row r="166" ht="15.5" customHeight="1">
      <c r="A166" s="1" t="n"/>
      <c r="B166" s="67" t="inlineStr">
        <is>
          <t>Stephany Lima</t>
        </is>
      </c>
      <c r="C166" s="70">
        <f>VLOOKUP(I:I,'Referencias '!H:I,2,0)</f>
        <v/>
      </c>
      <c r="D166" s="71" t="n">
        <v>24669412</v>
      </c>
      <c r="E166" s="71" t="n">
        <v>23046096</v>
      </c>
      <c r="F166" s="72" t="n">
        <v>2619510323604</v>
      </c>
      <c r="G166" s="72">
        <f>T166</f>
        <v/>
      </c>
      <c r="H166" s="72" t="n"/>
      <c r="I166" s="70" t="inlineStr">
        <is>
          <t>Cancelamento de boletos</t>
        </is>
      </c>
      <c r="J166" s="72" t="n"/>
      <c r="K166" s="72" t="n"/>
      <c r="L166" s="70" t="inlineStr">
        <is>
          <t>FINALIZADO</t>
        </is>
      </c>
      <c r="M166" s="73" t="inlineStr">
        <is>
          <t>Médio</t>
        </is>
      </c>
      <c r="N166" s="71" t="inlineStr">
        <is>
          <t>Cancelamento de boletos</t>
        </is>
      </c>
      <c r="O166" s="74" t="n">
        <v>46217</v>
      </c>
      <c r="P166" s="123" t="n">
        <v>46217</v>
      </c>
      <c r="Q166" s="177">
        <f>TEXT(O166,"mmm/aaaa")</f>
        <v/>
      </c>
      <c r="R166" s="71" t="inlineStr">
        <is>
          <t>ECOMMERCE BP SUPORTE FINANCEIRO N2</t>
        </is>
      </c>
      <c r="S166" s="71" t="inlineStr"/>
      <c r="T166" s="71" t="inlineStr">
        <is>
          <t>INTER JAPAN VEICULOS</t>
        </is>
      </c>
      <c r="U166" s="71" t="inlineStr">
        <is>
          <t>Cancelamento de boletos</t>
        </is>
      </c>
      <c r="V166" s="71">
        <f>U166</f>
        <v/>
      </c>
      <c r="W166" s="76">
        <f>_xlfn.CONCAT(D166:E166)</f>
        <v/>
      </c>
      <c r="X166" s="77" t="n">
        <v>46238</v>
      </c>
      <c r="Y166" s="78">
        <f>IF(X166="","Aberto","Encerrado")</f>
        <v/>
      </c>
      <c r="Z166" s="78">
        <f>IF(OR(L166="PENDENTE",L166="EM ANDAMENTO",L166="PENDENTE APROVAÇÃO CANCELAMENTO NF"),TODAY()-O166,X166-O166)</f>
        <v/>
      </c>
      <c r="AA166" s="78">
        <f>IF(Y166="Aberto",Z166+ROW()/100000,"")</f>
        <v/>
      </c>
      <c r="AB166" s="2">
        <f>IF(ISNUMBER(FIND("@cielo.com.br",S166)),"Interno","Externo")</f>
        <v/>
      </c>
      <c r="AC166" t="inlineStr">
        <is>
          <t>Cancelar boleto ou interromper cobranças futuras ligadas a boleto.</t>
        </is>
      </c>
      <c r="AD166" t="inlineStr">
        <is>
          <t>ACAO:CANCELAR; OBJETO:BOLETO</t>
        </is>
      </c>
      <c r="AE166" t="inlineStr">
        <is>
          <t>Cancelamento de boleto</t>
        </is>
      </c>
      <c r="AF166" t="inlineStr">
        <is>
          <t>Título Financeiro</t>
        </is>
      </c>
      <c r="AG166" t="inlineStr">
        <is>
          <t>Pagamentos, Boletos e Recebimentos</t>
        </is>
      </c>
      <c r="AI166" t="inlineStr">
        <is>
          <t>INT_PAG_BOLETO_CANCELAMENTO</t>
        </is>
      </c>
      <c r="AJ166" t="inlineStr">
        <is>
          <t>Sugerida</t>
        </is>
      </c>
      <c r="AK166" t="b">
        <v>0</v>
      </c>
      <c r="AN166">
        <f>IF(OR(AG166="",AM166=""),"",IF(AG166=AM166,"SIM","NÃO"))</f>
        <v/>
      </c>
      <c r="AO166" t="inlineStr">
        <is>
          <t>CLASSIFIED_SIGNATURE</t>
        </is>
      </c>
    </row>
    <row r="167" ht="15.5" customHeight="1">
      <c r="A167" s="1" t="n"/>
      <c r="B167" s="67" t="inlineStr">
        <is>
          <t>Stephany Lima</t>
        </is>
      </c>
      <c r="C167" s="70">
        <f>VLOOKUP(I:I,'Referencias '!H:I,2,0)</f>
        <v/>
      </c>
      <c r="D167" s="71" t="n">
        <v>23763272</v>
      </c>
      <c r="E167" s="71" t="n">
        <v>0</v>
      </c>
      <c r="F167" s="72" t="n">
        <v>2617308741539</v>
      </c>
      <c r="G167" s="72">
        <f>T167</f>
        <v/>
      </c>
      <c r="H167" s="72">
        <f>TRIM(_xlfn.TEXTBEFORE(_xlfn.TEXTAFTER(U167,"CNPJ/CPF:&lt;/strong&gt;"),"&lt;/p&gt;"))</f>
        <v/>
      </c>
      <c r="I167" s="70" t="inlineStr">
        <is>
          <t>Conciliação / divergência simples</t>
        </is>
      </c>
      <c r="J167" s="72" t="n"/>
      <c r="K167" s="72" t="n"/>
      <c r="L167" s="70" t="inlineStr">
        <is>
          <t>PENDENTE</t>
        </is>
      </c>
      <c r="M167" s="73" t="inlineStr">
        <is>
          <t>Médio</t>
        </is>
      </c>
      <c r="N167" s="71" t="inlineStr">
        <is>
          <t>1018 Financeiro | Desejo falar com o setor financeiro | Giovana Gonçalves Bello | giovana.gbello@marisa.com.br</t>
        </is>
      </c>
      <c r="O167" s="74" t="n">
        <v>46195</v>
      </c>
      <c r="P167" s="123" t="n">
        <v>46219</v>
      </c>
      <c r="Q167" s="177">
        <f>TEXT(O167,"mmm/aaaa")</f>
        <v/>
      </c>
      <c r="R167" s="71" t="inlineStr">
        <is>
          <t>ECOMMERCE BP SUPORTE FINANCEIRO N2</t>
        </is>
      </c>
      <c r="S167" s="71" t="inlineStr">
        <is>
          <t>giovana.gbello@marisa.com.br</t>
        </is>
      </c>
      <c r="T167" s="71" t="inlineStr">
        <is>
          <t>MARISA COM BR</t>
        </is>
      </c>
      <c r="U167" s="129" t="inlineStr">
        <is>
          <t>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
Por favor, o setor de contabilidade Marisa nos repassou o conciliador no qual contêm ajustes realizados no valor original do pedido, porém não foi possível localizar o motivo desses ajustes nos pedidos. 
Não localizamos estornos ou chargebacks, por favor, conseguem nos informar o motivo dos ajustes?
Enviarei a planilha via email do chamado.
Obrigada.&lt;/p&gt;&lt;p&gt;&lt;strong&gt;G</t>
        </is>
      </c>
      <c r="V167" s="71">
        <f>IFERROR(_xlfn.TEXTBEFORE(_xlfn.TEXTAFTER(U167,"Descrição do problema:&lt;/strong"),"&lt;/p&gt;"),_xlfn.TEXTAFTER(U167,"Descrição do problema:&lt;/strong"))</f>
        <v/>
      </c>
      <c r="W167" s="76">
        <f>_xlfn.CONCAT(D167:E167)</f>
        <v/>
      </c>
      <c r="X167" s="77" t="n"/>
      <c r="Y167" s="78">
        <f>IF(X167="","Aberto","Encerrado")</f>
        <v/>
      </c>
      <c r="Z167" s="78">
        <f>IF(OR(L167="PENDENTE",L167="EM ANDAMENTO",L167="PENDENTE APROVAÇÃO CANCELAMENTO NF"),TODAY()-O167,X167-O167)</f>
        <v/>
      </c>
      <c r="AA167" s="78">
        <f>IF(Y167="Aberto",Z167+ROW()/100000,"")</f>
        <v/>
      </c>
      <c r="AB167" s="2">
        <f>IF(ISNUMBER(FIND("@cielo.com.br",S167)),"Interno","Externo")</f>
        <v/>
      </c>
      <c r="AC167" t="inlineStr">
        <is>
          <t>Reenviar nota fiscal não recebida.</t>
        </is>
      </c>
      <c r="AD167" t="inlineStr">
        <is>
          <t>enviar + nf</t>
        </is>
      </c>
      <c r="AE167" t="inlineStr">
        <is>
          <t>Reenvio de NF</t>
        </is>
      </c>
      <c r="AF167" t="inlineStr">
        <is>
          <t>Parâmetro de Faturamento</t>
        </is>
      </c>
      <c r="AG167" t="inlineStr">
        <is>
          <t>Faturamento e Obrigações Fiscais</t>
        </is>
      </c>
      <c r="AI167" t="inlineStr">
        <is>
          <t>INT_FAT_REENVIO_NF</t>
        </is>
      </c>
      <c r="AJ167" t="inlineStr">
        <is>
          <t>Sugerida</t>
        </is>
      </c>
      <c r="AK167" t="b">
        <v>0</v>
      </c>
      <c r="AN167">
        <f>IF(OR(AG167="",AM167=""),"",IF(AG167=AM167,"SIM","NÃO"))</f>
        <v/>
      </c>
      <c r="AO167" t="inlineStr">
        <is>
          <t>CLASSIFIED_PATTERN</t>
        </is>
      </c>
    </row>
    <row r="168" ht="15.5" customHeight="1">
      <c r="A168" s="1" t="n"/>
      <c r="B168" s="67" t="inlineStr">
        <is>
          <t>Stephany Lima</t>
        </is>
      </c>
      <c r="C168" s="70">
        <f>VLOOKUP(I:I,'Referencias '!H:I,2,0)</f>
        <v/>
      </c>
      <c r="D168" s="71" t="n">
        <v>23831268</v>
      </c>
      <c r="E168" s="71" t="n">
        <v>0</v>
      </c>
      <c r="F168" s="72" t="n">
        <v>2617410785778</v>
      </c>
      <c r="G168" s="72">
        <f>VLOOKUP(H:H,'Referencias '!B:C,2,0)</f>
        <v/>
      </c>
      <c r="H168" s="72">
        <f>TRIM(_xlfn.TEXTBEFORE(_xlfn.TEXTAFTER(U168,"CNPJ/CPF:&lt;/strong&gt;"),"&lt;/p&gt;"))</f>
        <v/>
      </c>
      <c r="I168" s="70" t="inlineStr">
        <is>
          <t>Cancelamento de NF</t>
        </is>
      </c>
      <c r="J168" s="72" t="n"/>
      <c r="K168" s="72" t="n"/>
      <c r="L168" s="70" t="inlineStr">
        <is>
          <t>PENDENTE</t>
        </is>
      </c>
      <c r="M168" s="73" t="inlineStr">
        <is>
          <t>Médio</t>
        </is>
      </c>
      <c r="N168" s="71" t="inlineStr">
        <is>
          <t>1018 Financeiro | Desejo falar com o setor financeiro | Júlia Angelozzi | julia.djesus@cielo.com.br</t>
        </is>
      </c>
      <c r="O168" s="74" t="n">
        <v>46196</v>
      </c>
      <c r="P168" s="123" t="n">
        <v>46218</v>
      </c>
      <c r="Q168" s="177">
        <f>TEXT(O168,"mmm/aaaa")</f>
        <v/>
      </c>
      <c r="R168" s="71" t="inlineStr">
        <is>
          <t>ECOMMERCE BP SUPORTE FINANCEIRO N2</t>
        </is>
      </c>
      <c r="S168" s="71" t="inlineStr">
        <is>
          <t>julia.djesus@cielo.com.br</t>
        </is>
      </c>
      <c r="T168" s="71" t="inlineStr"/>
      <c r="U168" s="129" t="inlineStr">
        <is>
          <t>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t>
        </is>
      </c>
      <c r="V168" s="71">
        <f>IFERROR(_xlfn.TEXTBEFORE(_xlfn.TEXTAFTER(U168,"Descrição do problema:&lt;/strong"),"&lt;/p&gt;"),_xlfn.TEXTAFTER(U168,"Descrição do problema:&lt;/strong"))</f>
        <v/>
      </c>
      <c r="W168" s="76">
        <f>_xlfn.CONCAT(D168:E168)</f>
        <v/>
      </c>
      <c r="X168" s="77" t="n"/>
      <c r="Y168" s="78">
        <f>IF(X168="","Aberto","Encerrado")</f>
        <v/>
      </c>
      <c r="Z168" s="78">
        <f>IF(OR(L168="PENDENTE",L168="EM ANDAMENTO",L168="PENDENTE APROVAÇÃO CANCELAMENTO NF"),TODAY()-O168,X168-O168)</f>
        <v/>
      </c>
      <c r="AA168" s="78">
        <f>IF(Y168="Aberto",Z168+ROW()/100000,"")</f>
        <v/>
      </c>
      <c r="AB168" s="2">
        <f>IF(ISNUMBER(FIND("@cielo.com.br",S168)),"Interno","Externo")</f>
        <v/>
      </c>
      <c r="AC168" t="inlineStr">
        <is>
          <t>Questionar ou corrigir cobrança de setup, taxa ou chave de loja.</t>
        </is>
      </c>
      <c r="AD168" t="inlineStr">
        <is>
          <t>cobrança de setup; cobrança + setup</t>
        </is>
      </c>
      <c r="AE168" t="inlineStr">
        <is>
          <t>Cobrança de setup</t>
        </is>
      </c>
      <c r="AF168" t="inlineStr">
        <is>
          <t>Valor Cobrado</t>
        </is>
      </c>
      <c r="AG168" t="inlineStr">
        <is>
          <t>Cobrança e Contestação</t>
        </is>
      </c>
      <c r="AI168" t="inlineStr">
        <is>
          <t>INT_COB_SETUP</t>
        </is>
      </c>
      <c r="AJ168" t="inlineStr">
        <is>
          <t>Sugerida</t>
        </is>
      </c>
      <c r="AK168" t="b">
        <v>0</v>
      </c>
      <c r="AN168">
        <f>IF(OR(AG168="",AM168=""),"",IF(AG168=AM168,"SIM","NÃO"))</f>
        <v/>
      </c>
      <c r="AO168" t="inlineStr">
        <is>
          <t>CLASSIFIED_PATTERN</t>
        </is>
      </c>
    </row>
    <row r="169" ht="15.5" customHeight="1">
      <c r="A169" s="1" t="n"/>
      <c r="B169" s="67" t="inlineStr">
        <is>
          <t>Stephany Lima</t>
        </is>
      </c>
      <c r="C169" s="70">
        <f>VLOOKUP(I:I,'Referencias '!H:I,2,0)</f>
        <v/>
      </c>
      <c r="D169" s="71" t="n">
        <v>24650614</v>
      </c>
      <c r="E169" s="71" t="n">
        <v>24163051</v>
      </c>
      <c r="F169" s="72" t="n">
        <v>2619417311581</v>
      </c>
      <c r="G169" s="72">
        <f>T169</f>
        <v/>
      </c>
      <c r="H169" s="72" t="n"/>
      <c r="I169" s="70" t="inlineStr">
        <is>
          <t>Cancelamento de Nota Fiscal</t>
        </is>
      </c>
      <c r="J169" s="72" t="n"/>
      <c r="K169" s="72" t="inlineStr">
        <is>
          <t>Financeiro</t>
        </is>
      </c>
      <c r="L169" s="70" t="inlineStr">
        <is>
          <t>FINALIZADO</t>
        </is>
      </c>
      <c r="M169" s="73" t="inlineStr">
        <is>
          <t>Alta</t>
        </is>
      </c>
      <c r="N169" s="71" t="inlineStr">
        <is>
          <t>Cancelamento de NF de 2024</t>
        </is>
      </c>
      <c r="O169" s="74" t="n">
        <v>46216</v>
      </c>
      <c r="P169" s="123" t="n">
        <v>46216</v>
      </c>
      <c r="Q169" s="177">
        <f>TEXT(O169,"mmm/aaaa")</f>
        <v/>
      </c>
      <c r="R169" s="71" t="inlineStr">
        <is>
          <t>ECOMMERCE BP SUPORTE FINANCEIRO N2</t>
        </is>
      </c>
      <c r="S169" s="71" t="inlineStr">
        <is>
          <t>ariane.pasilva@cielo.com.br</t>
        </is>
      </c>
      <c r="T169" s="71" t="inlineStr"/>
      <c r="U169" s="71" t="inlineStr">
        <is>
          <t>Cancelamento de NF de 2024</t>
        </is>
      </c>
      <c r="V169" s="71">
        <f>U169</f>
        <v/>
      </c>
      <c r="W169" s="76">
        <f>_xlfn.CONCAT(D169:E169)</f>
        <v/>
      </c>
      <c r="X169" s="77" t="n">
        <v>46287</v>
      </c>
      <c r="Y169" s="78">
        <f>IF(X169="","Aberto","Encerrado")</f>
        <v/>
      </c>
      <c r="Z169" s="78">
        <f>IF(OR(L169="PENDENTE",L169="EM ANDAMENTO",L169="PENDENTE APROVAÇÃO CANCELAMENTO NF"),TODAY()-O169,X169-O169)</f>
        <v/>
      </c>
      <c r="AA169" s="78">
        <f>IF(Y169="Aberto",Z169+ROW()/100000,"")</f>
        <v/>
      </c>
      <c r="AB169" s="2">
        <f>IF(ISNUMBER(FIND("@cielo.com.br",S169)),"Interno","Externo")</f>
        <v/>
      </c>
      <c r="AC169" t="inlineStr">
        <is>
          <t>Cancelar, substituir ou reemitir nota fiscal.</t>
        </is>
      </c>
      <c r="AD169" t="inlineStr">
        <is>
          <t>ACAO:CANCELAR; OBJETO:NOTA_FISCAL</t>
        </is>
      </c>
      <c r="AE169" t="inlineStr">
        <is>
          <t>Cancelamento de NF</t>
        </is>
      </c>
      <c r="AF169" t="inlineStr">
        <is>
          <t>Documento Fiscal</t>
        </is>
      </c>
      <c r="AG169" t="inlineStr">
        <is>
          <t>Cancelamento e Reemissão de Nota Fiscal</t>
        </is>
      </c>
      <c r="AI169" t="inlineStr">
        <is>
          <t>INT_NF_CANCEL_REEMISSAO</t>
        </is>
      </c>
      <c r="AJ169" t="inlineStr">
        <is>
          <t>Sugerida</t>
        </is>
      </c>
      <c r="AK169" t="b">
        <v>0</v>
      </c>
      <c r="AN169">
        <f>IF(OR(AG169="",AM169=""),"",IF(AG169=AM169,"SIM","NÃO"))</f>
        <v/>
      </c>
      <c r="AO169" t="inlineStr">
        <is>
          <t>CLASSIFIED_SIGNATURE</t>
        </is>
      </c>
    </row>
    <row r="170" ht="15.5" customHeight="1">
      <c r="A170" s="1" t="n"/>
      <c r="B170" s="67" t="inlineStr">
        <is>
          <t>Stephany Lima</t>
        </is>
      </c>
      <c r="C170" s="70">
        <f>VLOOKUP(I:I,'Referencias '!H:I,2,0)</f>
        <v/>
      </c>
      <c r="D170" s="129" t="n">
        <v>24041087</v>
      </c>
      <c r="E170" s="71" t="n">
        <v>0</v>
      </c>
      <c r="F170" s="72" t="n">
        <v>2618008919419</v>
      </c>
      <c r="G170" s="72">
        <f>VLOOKUP(H:H,'Referencias '!B:C,2,0)</f>
        <v/>
      </c>
      <c r="H170" s="72">
        <f>TRIM(_xlfn.TEXTBEFORE(_xlfn.TEXTAFTER(U170,"CNPJ/CPF:&lt;/strong&gt;"),"&lt;/p&gt;"))</f>
        <v/>
      </c>
      <c r="I170" s="70" t="inlineStr">
        <is>
          <t>Reemissão de NF (incluir PO)</t>
        </is>
      </c>
      <c r="J170" s="72" t="n"/>
      <c r="K170" s="72" t="n"/>
      <c r="L170" s="70" t="inlineStr">
        <is>
          <t>FINALIZADO</t>
        </is>
      </c>
      <c r="M170" s="73" t="inlineStr">
        <is>
          <t>Médio</t>
        </is>
      </c>
      <c r="N170" s="71" t="inlineStr">
        <is>
          <t>1018 Financeiro | Desejo falar com o setor financeiro | FISIA COMERCIO DE PRODUTOS ESPORTIV | bruno.bbarbosa@gruposbf.com.br</t>
        </is>
      </c>
      <c r="O170" s="74" t="n">
        <v>46202</v>
      </c>
      <c r="P170" s="123" t="n">
        <v>46218</v>
      </c>
      <c r="Q170" s="177">
        <f>TEXT(O170,"mmm/aaaa")</f>
        <v/>
      </c>
      <c r="R170" s="71" t="inlineStr">
        <is>
          <t>ECOMMERCE BP SUPORTE FINANCEIRO N2</t>
        </is>
      </c>
      <c r="S170" s="71" t="inlineStr">
        <is>
          <t>bruno.bbarbosa@gruposbf.com.br</t>
        </is>
      </c>
      <c r="T170" s="71" t="inlineStr"/>
      <c r="U170" s="129" t="inlineStr">
        <is>
          <t>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
Solicito que as próximas notas fiscais do CNPJ 59546515000134, conste o número da po NO corpo da nota.
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t>
        </is>
      </c>
      <c r="V170" s="71">
        <f>IFERROR(_xlfn.TEXTBEFORE(_xlfn.TEXTAFTER(U170,"Descrição do problema:&lt;/strong"),"&lt;/p&gt;"),_xlfn.TEXTAFTER(U170,"Descrição do problema:&lt;/strong"))</f>
        <v/>
      </c>
      <c r="W170" s="76">
        <f>_xlfn.CONCAT(D170:E170)</f>
        <v/>
      </c>
      <c r="X170" s="77">
        <f>P170</f>
        <v/>
      </c>
      <c r="Y170" s="78">
        <f>IF(X170="","Aberto","Encerrado")</f>
        <v/>
      </c>
      <c r="Z170" s="78">
        <f>IF(OR(L170="PENDENTE",L170="EM ANDAMENTO",L170="PENDENTE APROVAÇÃO CANCELAMENTO NF"),TODAY()-O170,X170-O170)</f>
        <v/>
      </c>
      <c r="AA170" s="78">
        <f>IF(Y170="Aberto",Z170+ROW()/100000,"")</f>
        <v/>
      </c>
      <c r="AB170" s="2">
        <f>IF(ISNUMBER(FIND("@cielo.com.br",S170)),"Interno","Externo")</f>
        <v/>
      </c>
      <c r="AC170" t="inlineStr">
        <is>
          <t>Substituir ou reemitir NF com PO.</t>
        </is>
      </c>
      <c r="AD170" t="inlineStr">
        <is>
          <t>po no corpo da nota</t>
        </is>
      </c>
      <c r="AE170" t="inlineStr">
        <is>
          <t>Reemissão de NF com PO</t>
        </is>
      </c>
      <c r="AF170" t="inlineStr">
        <is>
          <t>Documento Fiscal</t>
        </is>
      </c>
      <c r="AG170" t="inlineStr">
        <is>
          <t>Cancelamento e Reemissão de Nota Fiscal</t>
        </is>
      </c>
      <c r="AI170" t="inlineStr">
        <is>
          <t>INT_NF_REEMISSAO_PO</t>
        </is>
      </c>
      <c r="AJ170" t="inlineStr">
        <is>
          <t>Sugerida</t>
        </is>
      </c>
      <c r="AK170" t="b">
        <v>0</v>
      </c>
      <c r="AN170">
        <f>IF(OR(AG170="",AM170=""),"",IF(AG170=AM170,"SIM","NÃO"))</f>
        <v/>
      </c>
      <c r="AO170" t="inlineStr">
        <is>
          <t>CLASSIFIED_PATTERN</t>
        </is>
      </c>
    </row>
    <row r="171" ht="15.5" customHeight="1">
      <c r="A171" s="1" t="n"/>
      <c r="B171" s="67" t="inlineStr">
        <is>
          <t>Stephany Lima</t>
        </is>
      </c>
      <c r="C171" s="70">
        <f>VLOOKUP(I:I,'Referencias '!H:I,2,0)</f>
        <v/>
      </c>
      <c r="D171" s="129" t="n">
        <v>24041048</v>
      </c>
      <c r="E171" s="71" t="n">
        <v>0</v>
      </c>
      <c r="F171" s="72" t="n">
        <v>2618007919377</v>
      </c>
      <c r="G171" s="72">
        <f>VLOOKUP(H:H,'Referencias '!B:C,2,0)</f>
        <v/>
      </c>
      <c r="H171" s="72">
        <f>TRIM(_xlfn.TEXTBEFORE(_xlfn.TEXTAFTER(U171,"CNPJ/CPF:&lt;/strong&gt;"),"&lt;/p&gt;"))</f>
        <v/>
      </c>
      <c r="I171" s="70" t="inlineStr">
        <is>
          <t>Reemissão de NF (incluir PO)</t>
        </is>
      </c>
      <c r="J171" s="72" t="n"/>
      <c r="K171" s="72" t="n"/>
      <c r="L171" s="70" t="inlineStr">
        <is>
          <t>FINALIZADO</t>
        </is>
      </c>
      <c r="M171" s="73" t="inlineStr">
        <is>
          <t>Médio</t>
        </is>
      </c>
      <c r="N171" s="71" t="inlineStr">
        <is>
          <t>1018 Financeiro | Desejo falar com o setor financeiro | SBF COMERCIO DE PRODUTOS ESPORTIVOS | bruno.bbarbosa@gruposbf.com.br</t>
        </is>
      </c>
      <c r="O171" s="74" t="n">
        <v>46202</v>
      </c>
      <c r="P171" s="123" t="n">
        <v>46218</v>
      </c>
      <c r="Q171" s="177">
        <f>TEXT(O171,"mmm/aaaa")</f>
        <v/>
      </c>
      <c r="R171" s="71" t="inlineStr">
        <is>
          <t>ECOMMERCE BP SUPORTE FINANCEIRO N2</t>
        </is>
      </c>
      <c r="S171" s="71" t="inlineStr">
        <is>
          <t>bruno.bbarbosa@gruposbf.com.br</t>
        </is>
      </c>
      <c r="T171" s="71" t="inlineStr">
        <is>
          <t>CENTAURO ESPORTES 25</t>
        </is>
      </c>
      <c r="U171" s="129" t="inlineStr">
        <is>
          <t>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
Preciso que as próximas notas fiscais emitidas para o CNPJ 06347409000165, constem o número da po NO CORPO DA NOTA FISCAL:
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t>
        </is>
      </c>
      <c r="V171" s="71">
        <f>IFERROR(_xlfn.TEXTBEFORE(_xlfn.TEXTAFTER(U171,"Descrição do problema:&lt;/strong"),"&lt;/p&gt;"),_xlfn.TEXTAFTER(U171,"Descrição do problema:&lt;/strong"))</f>
        <v/>
      </c>
      <c r="W171" s="76">
        <f>_xlfn.CONCAT(D171:E171)</f>
        <v/>
      </c>
      <c r="X171" s="77">
        <f>P171</f>
        <v/>
      </c>
      <c r="Y171" s="78">
        <f>IF(X171="","Aberto","Encerrado")</f>
        <v/>
      </c>
      <c r="Z171" s="78">
        <f>IF(OR(L171="PENDENTE",L171="EM ANDAMENTO",L171="PENDENTE APROVAÇÃO CANCELAMENTO NF"),TODAY()-O171,X171-O171)</f>
        <v/>
      </c>
      <c r="AA171" s="78">
        <f>IF(Y171="Aberto",Z171+ROW()/100000,"")</f>
        <v/>
      </c>
      <c r="AB171" s="2">
        <f>IF(ISNUMBER(FIND("@cielo.com.br",S171)),"Interno","Externo")</f>
        <v/>
      </c>
      <c r="AC171" t="inlineStr">
        <is>
          <t>Corrigir dados fiscais ou incluir PO por carta de correção.</t>
        </is>
      </c>
      <c r="AD171" t="inlineStr">
        <is>
          <t>próximas notas fiscais + po</t>
        </is>
      </c>
      <c r="AE171" t="inlineStr">
        <is>
          <t>Inclusão de PO em NF</t>
        </is>
      </c>
      <c r="AF171" t="inlineStr">
        <is>
          <t>Parâmetro de Faturamento</t>
        </is>
      </c>
      <c r="AG171" t="inlineStr">
        <is>
          <t>Faturamento e Obrigações Fiscais</t>
        </is>
      </c>
      <c r="AI171" t="inlineStr">
        <is>
          <t>INT_FAT_CORRECAO_PO</t>
        </is>
      </c>
      <c r="AJ171" t="inlineStr">
        <is>
          <t>Sugerida</t>
        </is>
      </c>
      <c r="AK171" t="b">
        <v>0</v>
      </c>
      <c r="AN171">
        <f>IF(OR(AG171="",AM171=""),"",IF(AG171=AM171,"SIM","NÃO"))</f>
        <v/>
      </c>
      <c r="AO171" t="inlineStr">
        <is>
          <t>CLASSIFIED_PATTERN</t>
        </is>
      </c>
    </row>
    <row r="172" ht="15.5" customHeight="1">
      <c r="A172" s="1" t="n"/>
      <c r="B172" s="67" t="inlineStr">
        <is>
          <t>Stephany Lima</t>
        </is>
      </c>
      <c r="C172" s="70">
        <f>VLOOKUP(I:I,'Referencias '!H:I,2,0)</f>
        <v/>
      </c>
      <c r="D172" s="71" t="n">
        <v>24649394</v>
      </c>
      <c r="E172" s="71" t="n">
        <v>24199383</v>
      </c>
      <c r="F172" s="72" t="n">
        <v>2619417310816</v>
      </c>
      <c r="G172" s="72">
        <f>T172</f>
        <v/>
      </c>
      <c r="H172" s="72" t="n"/>
      <c r="I172" s="70" t="inlineStr">
        <is>
          <t>Cancelamento de Nota Fiscal</t>
        </is>
      </c>
      <c r="J172" s="72" t="n"/>
      <c r="K172" s="72" t="inlineStr">
        <is>
          <t>Não identificado</t>
        </is>
      </c>
      <c r="L172" s="70" t="inlineStr">
        <is>
          <t>FINALIZADO</t>
        </is>
      </c>
      <c r="M172" s="73" t="inlineStr">
        <is>
          <t>Médio</t>
        </is>
      </c>
      <c r="N172" s="71" t="inlineStr">
        <is>
          <t>Cancelamento de notas</t>
        </is>
      </c>
      <c r="O172" s="74" t="n">
        <v>46216</v>
      </c>
      <c r="P172" s="123" t="n">
        <v>46216</v>
      </c>
      <c r="Q172" s="177">
        <f>TEXT(O172,"mmm/aaaa")</f>
        <v/>
      </c>
      <c r="R172" s="71" t="inlineStr">
        <is>
          <t>ECOMMERCE BP SUPORTE FINANCEIRO N2</t>
        </is>
      </c>
      <c r="S172" s="71" t="inlineStr"/>
      <c r="T172" s="71" t="inlineStr"/>
      <c r="U172" s="71" t="inlineStr">
        <is>
          <t>Cancelamento de notas</t>
        </is>
      </c>
      <c r="V172" s="71">
        <f>U172</f>
        <v/>
      </c>
      <c r="W172" s="76">
        <f>_xlfn.CONCAT(D172:E172)</f>
        <v/>
      </c>
      <c r="X172" s="77" t="n">
        <v>46268</v>
      </c>
      <c r="Y172" s="78">
        <f>IF(X172="","Aberto","Encerrado")</f>
        <v/>
      </c>
      <c r="Z172" s="78">
        <f>IF(OR(L172="PENDENTE",L172="EM ANDAMENTO",L172="PENDENTE APROVAÇÃO CANCELAMENTO NF"),TODAY()-O172,X172-O172)</f>
        <v/>
      </c>
      <c r="AA172" s="78">
        <f>IF(Y172="Aberto",Z172+ROW()/100000,"")</f>
        <v/>
      </c>
      <c r="AB172" s="2">
        <f>IF(ISNUMBER(FIND("@cielo.com.br",S172)),"Interno","Externo")</f>
        <v/>
      </c>
      <c r="AC172" t="inlineStr">
        <is>
          <t>Cancelar, substituir ou reemitir nota fiscal.</t>
        </is>
      </c>
      <c r="AD172" t="inlineStr">
        <is>
          <t>cancelamento de nota; cancelamento de notas</t>
        </is>
      </c>
      <c r="AE172" t="inlineStr">
        <is>
          <t>Cancelamento de NF</t>
        </is>
      </c>
      <c r="AF172" t="inlineStr">
        <is>
          <t>Documento Fiscal</t>
        </is>
      </c>
      <c r="AG172" t="inlineStr">
        <is>
          <t>Cancelamento e Reemissão de Nota Fiscal</t>
        </is>
      </c>
      <c r="AI172" t="inlineStr">
        <is>
          <t>INT_NF_CANCEL_REEMISSAO</t>
        </is>
      </c>
      <c r="AJ172" t="inlineStr">
        <is>
          <t>Sugerida</t>
        </is>
      </c>
      <c r="AK172" t="b">
        <v>0</v>
      </c>
      <c r="AN172">
        <f>IF(OR(AG172="",AM172=""),"",IF(AG172=AM172,"SIM","NÃO"))</f>
        <v/>
      </c>
      <c r="AO172" t="inlineStr">
        <is>
          <t>CLASSIFIED_PATTERN</t>
        </is>
      </c>
    </row>
    <row r="173" ht="15.5" customHeight="1">
      <c r="A173" s="1" t="n"/>
      <c r="B173" s="67" t="inlineStr">
        <is>
          <t>Pamela de Sá</t>
        </is>
      </c>
      <c r="C173" s="70">
        <f>VLOOKUP(I:I,'Referencias '!H:I,2,0)</f>
        <v/>
      </c>
      <c r="D173" s="71" t="n">
        <v>24648974</v>
      </c>
      <c r="E173" s="71" t="n">
        <v>23880445</v>
      </c>
      <c r="F173" s="72" t="n">
        <v>2619416310563</v>
      </c>
      <c r="G173" s="72" t="inlineStr">
        <is>
          <t>DSC PRODUCOES E EVENTOS LTDA</t>
        </is>
      </c>
      <c r="H173" s="72" t="inlineStr">
        <is>
          <t>34.546.535/0001-84</t>
        </is>
      </c>
      <c r="I173" s="70" t="inlineStr">
        <is>
          <t>Cancelamento de Nota Fiscal</t>
        </is>
      </c>
      <c r="J173" s="72" t="n"/>
      <c r="K173" s="72" t="inlineStr">
        <is>
          <t>Financeiro</t>
        </is>
      </c>
      <c r="L173" s="70" t="inlineStr">
        <is>
          <t>PENDENTE</t>
        </is>
      </c>
      <c r="M173" s="73" t="inlineStr">
        <is>
          <t>Médio</t>
        </is>
      </c>
      <c r="N173" s="71" t="inlineStr">
        <is>
          <t>RES: Recebemos sua solicitação "1018 Financeiro | Desejo falar com o setor financeiro | DSC PRODUCOES E EVENTOS LTDA | ariane.pasilva@cielo.com.br"</t>
        </is>
      </c>
      <c r="O173" s="74" t="n">
        <v>46216</v>
      </c>
      <c r="P173" s="123" t="n">
        <v>46216</v>
      </c>
      <c r="Q173" s="177">
        <f>TEXT(O173,"mmm/aaaa")</f>
        <v/>
      </c>
      <c r="R173" s="71" t="inlineStr">
        <is>
          <t>ECOMMERCE BP SUPORTE FINANCEIRO N2</t>
        </is>
      </c>
      <c r="S173" s="71" t="inlineStr">
        <is>
          <t>ariane.pasilva@cielo.com.br</t>
        </is>
      </c>
      <c r="T173" s="71" t="inlineStr">
        <is>
          <t>Bloco do Urso DSC</t>
        </is>
      </c>
      <c r="U173" s="129" t="inlineStr">
        <is>
          <t>Outros</t>
        </is>
      </c>
      <c r="V173" s="71">
        <f>U173</f>
        <v/>
      </c>
      <c r="W173" s="76">
        <f>_xlfn.CONCAT(D173:E173)</f>
        <v/>
      </c>
      <c r="X173" s="77" t="n"/>
      <c r="Y173" s="78">
        <f>IF(X173="","Aberto","Encerrado")</f>
        <v/>
      </c>
      <c r="Z173" s="78">
        <f>IF(OR(L173="PENDENTE",L173="EM ANDAMENTO",L173="PENDENTE APROVAÇÃO CANCELAMENTO NF"),TODAY()-O173,X173-O173)</f>
        <v/>
      </c>
      <c r="AA173" s="78">
        <f>IF(Y173="Aberto",Z173+ROW()/100000,"")</f>
        <v/>
      </c>
      <c r="AB173" s="2">
        <f>IF(ISNUMBER(FIND("@cielo.com.br",S173)),"Interno","Externo")</f>
        <v/>
      </c>
      <c r="AD173" t="inlineStr"/>
      <c r="AJ173" t="inlineStr">
        <is>
          <t>Sem correspondência</t>
        </is>
      </c>
      <c r="AK173" t="b">
        <v>0</v>
      </c>
      <c r="AN173">
        <f>IF(OR(AG173="",AM173=""),"",IF(AG173=AM173,"SIM","NÃO"))</f>
        <v/>
      </c>
      <c r="AO173" t="inlineStr">
        <is>
          <t>NO_PATTERN</t>
        </is>
      </c>
    </row>
    <row r="174" ht="15.5" customFormat="1" customHeight="1" s="115">
      <c r="A174" s="1" t="n"/>
      <c r="B174" s="132" t="inlineStr">
        <is>
          <t>Pamela de Sá</t>
        </is>
      </c>
      <c r="C174" s="122">
        <f>VLOOKUP(I:I,'Referencias '!H:I,2,0)</f>
        <v/>
      </c>
      <c r="D174" s="129" t="n">
        <v>24648419</v>
      </c>
      <c r="E174" s="129" t="n">
        <v>24202566</v>
      </c>
      <c r="F174" s="126" t="n">
        <v>2619416310186</v>
      </c>
      <c r="G174" s="126" t="inlineStr">
        <is>
          <t>DIAS FINANCE LTDA</t>
        </is>
      </c>
      <c r="H174" s="126" t="inlineStr">
        <is>
          <t>55.861.253/0001-41</t>
        </is>
      </c>
      <c r="I174" s="122" t="inlineStr">
        <is>
          <t>Cancelamento de Nota Fiscal</t>
        </is>
      </c>
      <c r="J174" s="126" t="n"/>
      <c r="K174" s="126" t="inlineStr">
        <is>
          <t>Comercial</t>
        </is>
      </c>
      <c r="L174" s="122" t="inlineStr">
        <is>
          <t>PENDENTE</t>
        </is>
      </c>
      <c r="M174" s="127" t="inlineStr">
        <is>
          <t>Alta</t>
        </is>
      </c>
      <c r="N174" s="129" t="inlineStr">
        <is>
          <t>RES: Recebemos sua solicitação "1018 Financeiro | Desejo falar com o setor financeiro | DIAS FINANCE LTDA | ariane.pasilva@cielo.com.br"</t>
        </is>
      </c>
      <c r="O174" s="125" t="n">
        <v>46216</v>
      </c>
      <c r="P174" s="123" t="n">
        <v>46216</v>
      </c>
      <c r="Q174" s="178">
        <f>TEXT(O174,"mmm/aaaa")</f>
        <v/>
      </c>
      <c r="R174" s="129" t="inlineStr">
        <is>
          <t>ECOMMERCE BP SUPORTE FINANCEIRO N2</t>
        </is>
      </c>
      <c r="S174" s="129" t="inlineStr">
        <is>
          <t>ariane.pasilva@cielo.com.br</t>
        </is>
      </c>
      <c r="T174" s="129" t="inlineStr"/>
      <c r="U174" s="129" t="inlineStr">
        <is>
          <t>Outros</t>
        </is>
      </c>
      <c r="V174" s="129">
        <f>U174</f>
        <v/>
      </c>
      <c r="W174" s="130">
        <f>_xlfn.CONCAT(D174:E174)</f>
        <v/>
      </c>
      <c r="X174" s="77" t="n"/>
      <c r="Y174" s="131">
        <f>IF(X174="","Aberto","Encerrado")</f>
        <v/>
      </c>
      <c r="Z174" s="131">
        <f>IF(OR(L174="PENDENTE",L174="EM ANDAMENTO",L174="PENDENTE APROVAÇÃO CANCELAMENTO NF"),TODAY()-O174,X174-O174)</f>
        <v/>
      </c>
      <c r="AA174" s="131">
        <f>IF(Y174="Aberto",Z174+ROW()/100000,"")</f>
        <v/>
      </c>
      <c r="AB174" s="2">
        <f>IF(ISNUMBER(FIND("@cielo.com.br",S174)),"Interno","Externo")</f>
        <v/>
      </c>
      <c r="AD174" t="inlineStr"/>
      <c r="AJ174" t="inlineStr">
        <is>
          <t>Sem correspondência</t>
        </is>
      </c>
      <c r="AK174" t="b">
        <v>0</v>
      </c>
      <c r="AN174">
        <f>IF(OR(AG174="",AM174=""),"",IF(AG174=AM174,"SIM","NÃO"))</f>
        <v/>
      </c>
      <c r="AO174" t="inlineStr">
        <is>
          <t>NO_PATTERN</t>
        </is>
      </c>
    </row>
    <row r="175" ht="15.5" customFormat="1" customHeight="1" s="115">
      <c r="A175" s="1" t="n"/>
      <c r="B175" s="67" t="inlineStr">
        <is>
          <t>Pamela de Sá</t>
        </is>
      </c>
      <c r="C175" s="70">
        <f>VLOOKUP(I:I,'Referencias '!H:I,2,0)</f>
        <v/>
      </c>
      <c r="D175" s="71" t="n">
        <v>24648100</v>
      </c>
      <c r="E175" s="71" t="n">
        <v>23958526</v>
      </c>
      <c r="F175" s="72" t="n">
        <v>2619416309981</v>
      </c>
      <c r="G175" s="72">
        <f>T175</f>
        <v/>
      </c>
      <c r="H175" s="72" t="inlineStr">
        <is>
          <t>37.333.375/0001-83</t>
        </is>
      </c>
      <c r="I175" s="70" t="inlineStr">
        <is>
          <t>Cancelamento de Nota Fiscal</t>
        </is>
      </c>
      <c r="J175" s="72" t="n"/>
      <c r="K175" s="72" t="inlineStr">
        <is>
          <t>Comercial</t>
        </is>
      </c>
      <c r="L175" s="70" t="inlineStr">
        <is>
          <t>PENDENTE</t>
        </is>
      </c>
      <c r="M175" s="73" t="inlineStr">
        <is>
          <t>Alta</t>
        </is>
      </c>
      <c r="N175" s="71" t="inlineStr">
        <is>
          <t>RES: Recebemos sua solicitação "1018 Financeiro | Desejo falar com o setor financeiro | TEM NA TRENA LTDA | ariane.pasilva@cielo.com.br"</t>
        </is>
      </c>
      <c r="O175" s="74" t="n">
        <v>46216</v>
      </c>
      <c r="P175" s="123" t="n">
        <v>46216</v>
      </c>
      <c r="Q175" s="177">
        <f>TEXT(O175,"mmm/aaaa")</f>
        <v/>
      </c>
      <c r="R175" s="71" t="inlineStr">
        <is>
          <t>ECOMMERCE BP SUPORTE FINANCEIRO N2</t>
        </is>
      </c>
      <c r="S175" s="71" t="inlineStr">
        <is>
          <t>ariane.pasilva@cielo.com.br</t>
        </is>
      </c>
      <c r="T175" s="71" t="inlineStr">
        <is>
          <t>TEM NA TRENA LTDA</t>
        </is>
      </c>
      <c r="U175" s="129" t="inlineStr">
        <is>
          <t>Outros</t>
        </is>
      </c>
      <c r="V175" s="71">
        <f>U175</f>
        <v/>
      </c>
      <c r="W175" s="76">
        <f>_xlfn.CONCAT(D175:E175)</f>
        <v/>
      </c>
      <c r="X175" s="77" t="n"/>
      <c r="Y175" s="78">
        <f>IF(X175="","Aberto","Encerrado")</f>
        <v/>
      </c>
      <c r="Z175" s="78">
        <f>IF(OR(L175="PENDENTE",L175="EM ANDAMENTO",L175="PENDENTE APROVAÇÃO CANCELAMENTO NF"),TODAY()-O175,X175-O175)</f>
        <v/>
      </c>
      <c r="AA175" s="78">
        <f>IF(Y175="Aberto",Z175+ROW()/100000,"")</f>
        <v/>
      </c>
      <c r="AB175" s="2">
        <f>IF(ISNUMBER(FIND("@cielo.com.br",S175)),"Interno","Externo")</f>
        <v/>
      </c>
      <c r="AD175" t="inlineStr"/>
      <c r="AJ175" t="inlineStr">
        <is>
          <t>Sem correspondência</t>
        </is>
      </c>
      <c r="AK175" t="b">
        <v>0</v>
      </c>
      <c r="AN175">
        <f>IF(OR(AG175="",AM175=""),"",IF(AG175=AM175,"SIM","NÃO"))</f>
        <v/>
      </c>
      <c r="AO175" t="inlineStr">
        <is>
          <t>NO_PATTERN</t>
        </is>
      </c>
    </row>
    <row r="176" ht="15.5" customHeight="1">
      <c r="A176" s="1" t="n"/>
      <c r="B176" s="67" t="inlineStr">
        <is>
          <t>Stephany Lima</t>
        </is>
      </c>
      <c r="C176" s="70">
        <f>VLOOKUP(I:I,'Referencias '!H:I,2,0)</f>
        <v/>
      </c>
      <c r="D176" s="71" t="n">
        <v>24100662</v>
      </c>
      <c r="E176" s="71" t="n">
        <v>0</v>
      </c>
      <c r="F176" s="72" t="n">
        <v>2618112956151</v>
      </c>
      <c r="G176" s="72">
        <f>VLOOKUP(H:H,'Referencias '!B:C,2,0)</f>
        <v/>
      </c>
      <c r="H176" s="72">
        <f>TRIM(_xlfn.TEXTBEFORE(_xlfn.TEXTAFTER(U176,"CNPJ/CPF:&lt;/strong&gt;"),"&lt;/p&gt;"))</f>
        <v/>
      </c>
      <c r="I176" s="70" t="inlineStr">
        <is>
          <t>Contestação de cobrança</t>
        </is>
      </c>
      <c r="J176" s="72" t="n"/>
      <c r="K176" s="72" t="n"/>
      <c r="L176" s="70" t="inlineStr">
        <is>
          <t>PENDENTE</t>
        </is>
      </c>
      <c r="M176" s="73" t="inlineStr">
        <is>
          <t>Médio</t>
        </is>
      </c>
      <c r="N176" s="71" t="inlineStr">
        <is>
          <t>1018 Financeiro | Desejo falar com o setor financeiro | HAYRA RAMOS | hayra.vieira@skazi.com.br</t>
        </is>
      </c>
      <c r="O176" s="74" t="n">
        <v>46203</v>
      </c>
      <c r="P176" s="123" t="n">
        <v>46219</v>
      </c>
      <c r="Q176" s="177">
        <f>TEXT(O176,"mmm/aaaa")</f>
        <v/>
      </c>
      <c r="R176" s="71" t="inlineStr">
        <is>
          <t>ECOMMERCE BP SUPORTE FINANCEIRO N2</t>
        </is>
      </c>
      <c r="S176" s="71" t="inlineStr">
        <is>
          <t>hayra.vieira@skazi.com.br</t>
        </is>
      </c>
      <c r="T176" s="71" t="inlineStr">
        <is>
          <t>T F L COMERCIO DE VESTUARIO LTDA</t>
        </is>
      </c>
      <c r="U176" s="129" t="inlineStr">
        <is>
          <t>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
Percebemos que o valor da cobrança veio acima do esperado. Alguns pedidos desse período foram identificados como fraude e acabamos cancelando.
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is>
      </c>
      <c r="V176" s="71">
        <f>IFERROR(_xlfn.TEXTBEFORE(_xlfn.TEXTAFTER(U176,"Descrição do problema:&lt;/strong"),"&lt;/p&gt;"),_xlfn.TEXTAFTER(U176,"Descrição do problema:&lt;/strong"))</f>
        <v/>
      </c>
      <c r="W176" s="76">
        <f>_xlfn.CONCAT(D176:E176)</f>
        <v/>
      </c>
      <c r="X176" s="77" t="n"/>
      <c r="Y176" s="78">
        <f>IF(X176="","Aberto","Encerrado")</f>
        <v/>
      </c>
      <c r="Z176" s="78">
        <f>IF(OR(L176="PENDENTE",L176="EM ANDAMENTO",L176="PENDENTE APROVAÇÃO CANCELAMENTO NF"),TODAY()-O176,X176-O176)</f>
        <v/>
      </c>
      <c r="AA176" s="78">
        <f>IF(Y176="Aberto",Z176+ROW()/100000,"")</f>
        <v/>
      </c>
      <c r="AB176" s="2">
        <f>IF(ISNUMBER(FIND("@cielo.com.br",S176)),"Interno","Externo")</f>
        <v/>
      </c>
      <c r="AC176" t="inlineStr">
        <is>
          <t>Contestar divergência, valor ou critério de cobrança.</t>
        </is>
      </c>
      <c r="AD176" t="inlineStr">
        <is>
          <t>ACAO:CONSULTAR; OBJETO:COBRANCA; CONTEXTO:DIVERGENCIA</t>
        </is>
      </c>
      <c r="AE176" t="inlineStr">
        <is>
          <t>Contestação de cobrança</t>
        </is>
      </c>
      <c r="AF176" t="inlineStr">
        <is>
          <t>Valor Cobrado</t>
        </is>
      </c>
      <c r="AG176" t="inlineStr">
        <is>
          <t>Cobrança e Contestação</t>
        </is>
      </c>
      <c r="AI176" t="inlineStr">
        <is>
          <t>INT_COB_CONTESTACAO</t>
        </is>
      </c>
      <c r="AJ176" t="inlineStr">
        <is>
          <t>Sugerida</t>
        </is>
      </c>
      <c r="AK176" t="b">
        <v>0</v>
      </c>
      <c r="AN176">
        <f>IF(OR(AG176="",AM176=""),"",IF(AG176=AM176,"SIM","NÃO"))</f>
        <v/>
      </c>
      <c r="AO176" t="inlineStr">
        <is>
          <t>CLASSIFIED_SIGNATURE</t>
        </is>
      </c>
    </row>
    <row r="177" ht="15.5" customHeight="1">
      <c r="A177" s="1" t="n"/>
      <c r="B177" s="67" t="inlineStr">
        <is>
          <t>Pamela de Sá</t>
        </is>
      </c>
      <c r="C177" s="70">
        <f>VLOOKUP(I:I,'Referencias '!H:I,2,0)</f>
        <v/>
      </c>
      <c r="D177" s="71" t="n">
        <v>24647455</v>
      </c>
      <c r="E177" s="71" t="n">
        <v>24320970</v>
      </c>
      <c r="F177" s="72" t="n">
        <v>2619416309583</v>
      </c>
      <c r="G177" s="72">
        <f>T177</f>
        <v/>
      </c>
      <c r="H177" s="72" t="n"/>
      <c r="I177" s="70" t="inlineStr">
        <is>
          <t>Cancelamento de Nota Fiscal</t>
        </is>
      </c>
      <c r="J177" s="72" t="n"/>
      <c r="K177" s="72" t="inlineStr">
        <is>
          <t>Comercial</t>
        </is>
      </c>
      <c r="L177" s="70" t="inlineStr">
        <is>
          <t>FINALIZADO</t>
        </is>
      </c>
      <c r="M177" s="73" t="inlineStr">
        <is>
          <t>Médio</t>
        </is>
      </c>
      <c r="N177" s="71" t="inlineStr">
        <is>
          <t>RES: Recebemos sua solicitação "1018 Financeiro | Desejo falar com o setor financeiro | A55 SOCIEDADE DE CREDITO DIRETO S.A | ariane.pasilva@cielo.com.br"</t>
        </is>
      </c>
      <c r="O177" s="74" t="n">
        <v>46216</v>
      </c>
      <c r="P177" s="123" t="n">
        <v>46216</v>
      </c>
      <c r="Q177" s="177">
        <f>TEXT(O177,"mmm/aaaa")</f>
        <v/>
      </c>
      <c r="R177" s="71" t="inlineStr">
        <is>
          <t>ECOMMERCE BP SUPORTE FINANCEIRO N2</t>
        </is>
      </c>
      <c r="S177" s="71" t="inlineStr">
        <is>
          <t>ariane.pasilva@cielo.com.br</t>
        </is>
      </c>
      <c r="T177" s="71" t="inlineStr"/>
      <c r="U177" s="129" t="inlineStr">
        <is>
          <t>Outros</t>
        </is>
      </c>
      <c r="V177" s="71">
        <f>U177</f>
        <v/>
      </c>
      <c r="W177" s="76">
        <f>_xlfn.CONCAT(D177:E177)</f>
        <v/>
      </c>
      <c r="X177" s="77" t="n">
        <v>46262</v>
      </c>
      <c r="Y177" s="78">
        <f>IF(X177="","Aberto","Encerrado")</f>
        <v/>
      </c>
      <c r="Z177" s="78">
        <f>IF(OR(L177="PENDENTE",L177="EM ANDAMENTO",L177="PENDENTE APROVAÇÃO CANCELAMENTO NF"),TODAY()-O177,X177-O177)</f>
        <v/>
      </c>
      <c r="AA177" s="78">
        <f>IF(Y177="Aberto",Z177+ROW()/100000,"")</f>
        <v/>
      </c>
      <c r="AB177" s="2">
        <f>IF(ISNUMBER(FIND("@cielo.com.br",S177)),"Interno","Externo")</f>
        <v/>
      </c>
      <c r="AD177" t="inlineStr"/>
      <c r="AJ177" t="inlineStr">
        <is>
          <t>Sem correspondência</t>
        </is>
      </c>
      <c r="AK177" t="b">
        <v>0</v>
      </c>
      <c r="AN177">
        <f>IF(OR(AG177="",AM177=""),"",IF(AG177=AM177,"SIM","NÃO"))</f>
        <v/>
      </c>
      <c r="AO177" t="inlineStr">
        <is>
          <t>NO_PATTERN</t>
        </is>
      </c>
    </row>
    <row r="178" ht="15.5" customHeight="1">
      <c r="A178" s="1" t="n"/>
      <c r="B178" s="67" t="inlineStr">
        <is>
          <t>Pamela de Sá</t>
        </is>
      </c>
      <c r="C178" s="70">
        <f>VLOOKUP(I:I,'Referencias '!H:I,2,0)</f>
        <v/>
      </c>
      <c r="D178" s="71" t="n">
        <v>24647219</v>
      </c>
      <c r="E178" s="71" t="n">
        <v>23958938</v>
      </c>
      <c r="F178" s="72" t="n">
        <v>2619416309423</v>
      </c>
      <c r="G178" s="72">
        <f>T178</f>
        <v/>
      </c>
      <c r="H178" s="72" t="inlineStr">
        <is>
          <t>20.736.476/0001-00</t>
        </is>
      </c>
      <c r="I178" s="70" t="inlineStr">
        <is>
          <t>Cancelamento de Nota Fiscal</t>
        </is>
      </c>
      <c r="J178" s="72" t="n"/>
      <c r="K178" s="72" t="inlineStr">
        <is>
          <t>Comercial</t>
        </is>
      </c>
      <c r="L178" s="70" t="inlineStr">
        <is>
          <t>PENDENTE</t>
        </is>
      </c>
      <c r="M178" s="73" t="inlineStr">
        <is>
          <t>Médio</t>
        </is>
      </c>
      <c r="N178" s="71" t="inlineStr">
        <is>
          <t>RES: Recebemos sua solicitação "1018 Financeiro | Desejo falar com o setor financeiro | PRO SECULO LTDA | ariane.pasilva@cielo.com.br"</t>
        </is>
      </c>
      <c r="O178" s="74" t="n">
        <v>46216</v>
      </c>
      <c r="P178" s="123" t="n">
        <v>46216</v>
      </c>
      <c r="Q178" s="177">
        <f>TEXT(O178,"mmm/aaaa")</f>
        <v/>
      </c>
      <c r="R178" s="71" t="inlineStr">
        <is>
          <t>ECOMMERCE BP SUPORTE FINANCEIRO N2</t>
        </is>
      </c>
      <c r="S178" s="71" t="inlineStr">
        <is>
          <t>ariane.pasilva@cielo.com.br</t>
        </is>
      </c>
      <c r="T178" s="71" t="inlineStr">
        <is>
          <t>PRO SECULO</t>
        </is>
      </c>
      <c r="U178" s="129" t="inlineStr">
        <is>
          <t>Outros</t>
        </is>
      </c>
      <c r="V178" s="71">
        <f>U178</f>
        <v/>
      </c>
      <c r="W178" s="76">
        <f>_xlfn.CONCAT(D178:E178)</f>
        <v/>
      </c>
      <c r="X178" s="77" t="n"/>
      <c r="Y178" s="78">
        <f>IF(X178="","Aberto","Encerrado")</f>
        <v/>
      </c>
      <c r="Z178" s="78">
        <f>IF(OR(L178="PENDENTE",L178="EM ANDAMENTO",L178="PENDENTE APROVAÇÃO CANCELAMENTO NF"),TODAY()-O178,X178-O178)</f>
        <v/>
      </c>
      <c r="AA178" s="78">
        <f>IF(Y178="Aberto",Z178+ROW()/100000,"")</f>
        <v/>
      </c>
      <c r="AB178" s="2">
        <f>IF(ISNUMBER(FIND("@cielo.com.br",S178)),"Interno","Externo")</f>
        <v/>
      </c>
      <c r="AD178" t="inlineStr"/>
      <c r="AJ178" t="inlineStr">
        <is>
          <t>Sem correspondência</t>
        </is>
      </c>
      <c r="AK178" t="b">
        <v>0</v>
      </c>
      <c r="AN178">
        <f>IF(OR(AG178="",AM178=""),"",IF(AG178=AM178,"SIM","NÃO"))</f>
        <v/>
      </c>
      <c r="AO178" t="inlineStr">
        <is>
          <t>NO_PATTERN</t>
        </is>
      </c>
    </row>
    <row r="179" ht="15.5" customHeight="1">
      <c r="A179" s="1" t="n"/>
      <c r="B179" s="67" t="inlineStr">
        <is>
          <t>Stephany Lima</t>
        </is>
      </c>
      <c r="C179" s="70">
        <f>VLOOKUP(I:I,'Referencias '!H:I,2,0)</f>
        <v/>
      </c>
      <c r="D179" s="71" t="n">
        <v>24491673</v>
      </c>
      <c r="E179" s="71" t="n">
        <v>0</v>
      </c>
      <c r="F179" s="72" t="n">
        <v>2618917207316</v>
      </c>
      <c r="G179" s="72">
        <f>VLOOKUP(H:H,'Referencias '!B:C,2,0)</f>
        <v/>
      </c>
      <c r="H179" s="72">
        <f>TRIM(_xlfn.TEXTBEFORE(_xlfn.TEXTAFTER(U179,"CNPJ/CPF:&lt;/strong&gt;"),"&lt;/p&gt;"))</f>
        <v/>
      </c>
      <c r="I179" s="70" t="inlineStr">
        <is>
          <t>Contestação de cobrança</t>
        </is>
      </c>
      <c r="J179" s="72" t="n"/>
      <c r="K179" s="72" t="n"/>
      <c r="L179" s="70" t="inlineStr">
        <is>
          <t>PENDENTE</t>
        </is>
      </c>
      <c r="M179" s="73" t="inlineStr">
        <is>
          <t>Médio</t>
        </is>
      </c>
      <c r="N179" s="71" t="inlineStr">
        <is>
          <t>1018 Financeiro | Desejo falar com o setor financeiro | Suely Farias | suely@brnc.com.br</t>
        </is>
      </c>
      <c r="O179" s="74" t="n">
        <v>46211</v>
      </c>
      <c r="P179" s="123" t="n">
        <v>46218</v>
      </c>
      <c r="Q179" s="177">
        <f>TEXT(O179,"mmm/aaaa")</f>
        <v/>
      </c>
      <c r="R179" s="71" t="inlineStr">
        <is>
          <t>ECOMMERCE BP SUPORTE FINANCEIRO N2</t>
        </is>
      </c>
      <c r="S179" s="71" t="inlineStr">
        <is>
          <t>suely@brnc.com.br</t>
        </is>
      </c>
      <c r="T179" s="71" t="inlineStr">
        <is>
          <t>BRNC ALFAIATARIA</t>
        </is>
      </c>
      <c r="U179" s="129" t="inlineStr">
        <is>
          <t>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
Boa tarde.
Meu nome é Suely e sou responsável pela Ecco Bari.
Em agosto de 2025, contratamos os serviços da Cielo para nosso e-commerce e, onforme a negociação realizada, ficou acordado que não haveria cobrança de mensalidade, sendo a remuneração da Cielo exclusivamente por meio de um percentual incidente sobre as vendas realizadas.
Entretanto, desde o início da contratação, recebemos mensalmente uma nota fiscal de serviços e um boleto bancário emitidos pela empresa Stelo.
Ao entrar em contato com a Cielo, fomos orientados a desconsiderar essa</t>
        </is>
      </c>
      <c r="V179" s="71">
        <f>IFERROR(_xlfn.TEXTBEFORE(_xlfn.TEXTAFTER(U179,"Descrição do problema:&lt;/strong"),"&lt;/p&gt;"),_xlfn.TEXTAFTER(U179,"Descrição do problema:&lt;/strong"))</f>
        <v/>
      </c>
      <c r="W179" s="76">
        <f>_xlfn.CONCAT(D179:E179)</f>
        <v/>
      </c>
      <c r="X179" s="77" t="n"/>
      <c r="Y179" s="78">
        <f>IF(X179="","Aberto","Encerrado")</f>
        <v/>
      </c>
      <c r="Z179" s="78">
        <f>IF(OR(L179="PENDENTE",L179="EM ANDAMENTO",L179="PENDENTE APROVAÇÃO CANCELAMENTO NF"),TODAY()-O179,X179-O179)</f>
        <v/>
      </c>
      <c r="AA179" s="78">
        <f>IF(Y179="Aberto",Z179+ROW()/100000,"")</f>
        <v/>
      </c>
      <c r="AB179" s="2">
        <f>IF(ISNUMBER(FIND("@cielo.com.br",S179)),"Interno","Externo")</f>
        <v/>
      </c>
      <c r="AC179" t="inlineStr">
        <is>
          <t>Contestar divergência, valor ou critério de cobrança.</t>
        </is>
      </c>
      <c r="AD179" t="inlineStr">
        <is>
          <t>OBJETO:BOLETO; OBJETO:COBRANCA; OBJETO:NOTA_FISCAL; CONTEXTO:DIVERGENCIA</t>
        </is>
      </c>
      <c r="AE179" t="inlineStr">
        <is>
          <t>Contestação de cobrança</t>
        </is>
      </c>
      <c r="AF179" t="inlineStr">
        <is>
          <t>Valor Cobrado</t>
        </is>
      </c>
      <c r="AG179" t="inlineStr">
        <is>
          <t>Cobrança e Contestação</t>
        </is>
      </c>
      <c r="AI179" t="inlineStr">
        <is>
          <t>INT_COB_CONTESTACAO</t>
        </is>
      </c>
      <c r="AJ179" t="inlineStr">
        <is>
          <t>Sugerida</t>
        </is>
      </c>
      <c r="AK179" t="b">
        <v>0</v>
      </c>
      <c r="AN179">
        <f>IF(OR(AG179="",AM179=""),"",IF(AG179=AM179,"SIM","NÃO"))</f>
        <v/>
      </c>
      <c r="AO179" t="inlineStr">
        <is>
          <t>CLASSIFIED_SIGNATURE</t>
        </is>
      </c>
    </row>
    <row r="180" ht="15.5" customHeight="1">
      <c r="A180" s="1" t="n"/>
      <c r="B180" s="67" t="inlineStr">
        <is>
          <t>Stephany Lima</t>
        </is>
      </c>
      <c r="C180" s="70">
        <f>VLOOKUP(I:I,'Referencias '!H:I,2,0)</f>
        <v/>
      </c>
      <c r="D180" s="71" t="n">
        <v>24645572</v>
      </c>
      <c r="E180" s="71" t="n">
        <v>23995421</v>
      </c>
      <c r="F180" s="72" t="n">
        <v>2619416308316</v>
      </c>
      <c r="G180" s="72">
        <f>T180</f>
        <v/>
      </c>
      <c r="H180" s="72" t="n"/>
      <c r="I180" s="70" t="inlineStr">
        <is>
          <t>Cancelamento de Nota Fiscal</t>
        </is>
      </c>
      <c r="J180" s="72" t="n"/>
      <c r="K180" s="72" t="inlineStr">
        <is>
          <t>Financeiro</t>
        </is>
      </c>
      <c r="L180" s="70" t="inlineStr">
        <is>
          <t>FINALIZADO</t>
        </is>
      </c>
      <c r="M180" s="73" t="inlineStr">
        <is>
          <t>Alta</t>
        </is>
      </c>
      <c r="N180" s="71" t="inlineStr">
        <is>
          <t>cancelamento de NT</t>
        </is>
      </c>
      <c r="O180" s="74" t="n">
        <v>46216</v>
      </c>
      <c r="P180" s="123" t="n">
        <v>46216</v>
      </c>
      <c r="Q180" s="177">
        <f>TEXT(O180,"mmm/aaaa")</f>
        <v/>
      </c>
      <c r="R180" s="71" t="inlineStr">
        <is>
          <t>ECOMMERCE BP SUPORTE FINANCEIRO N2</t>
        </is>
      </c>
      <c r="S180" s="71" t="inlineStr"/>
      <c r="T180" s="71" t="inlineStr">
        <is>
          <t>XP FRANQUIAS LTDA</t>
        </is>
      </c>
      <c r="U180" s="129" t="inlineStr">
        <is>
          <t>cancelamento de NT</t>
        </is>
      </c>
      <c r="V180" s="71">
        <f>U180</f>
        <v/>
      </c>
      <c r="W180" s="76">
        <f>_xlfn.CONCAT(D180:E180)</f>
        <v/>
      </c>
      <c r="X180" s="77" t="n">
        <v>46287</v>
      </c>
      <c r="Y180" s="78">
        <f>IF(X180="","Aberto","Encerrado")</f>
        <v/>
      </c>
      <c r="Z180" s="78">
        <f>IF(OR(L180="PENDENTE",L180="EM ANDAMENTO",L180="PENDENTE APROVAÇÃO CANCELAMENTO NF"),TODAY()-O180,X180-O180)</f>
        <v/>
      </c>
      <c r="AA180" s="78">
        <f>IF(Y180="Aberto",Z180+ROW()/100000,"")</f>
        <v/>
      </c>
      <c r="AB180" s="2">
        <f>IF(ISNUMBER(FIND("@cielo.com.br",S180)),"Interno","Externo")</f>
        <v/>
      </c>
      <c r="AD180" t="inlineStr"/>
      <c r="AJ180" t="inlineStr">
        <is>
          <t>Sem correspondência</t>
        </is>
      </c>
      <c r="AK180" t="b">
        <v>0</v>
      </c>
      <c r="AN180">
        <f>IF(OR(AG180="",AM180=""),"",IF(AG180=AM180,"SIM","NÃO"))</f>
        <v/>
      </c>
      <c r="AO180" t="inlineStr">
        <is>
          <t>NO_PATTERN</t>
        </is>
      </c>
    </row>
    <row r="181" ht="15.5" customHeight="1">
      <c r="A181" s="1" t="n"/>
      <c r="B181" s="67" t="inlineStr">
        <is>
          <t>Stephany Lima</t>
        </is>
      </c>
      <c r="C181" s="70">
        <f>VLOOKUP(I:I,'Referencias '!H:I,2,0)</f>
        <v/>
      </c>
      <c r="D181" s="71" t="n">
        <v>24477760</v>
      </c>
      <c r="E181" s="71" t="n">
        <v>0</v>
      </c>
      <c r="F181" s="72" t="n">
        <v>2618915198436</v>
      </c>
      <c r="G181" s="72">
        <f>VLOOKUP(H:H,'Referencias '!B:C,2,0)</f>
        <v/>
      </c>
      <c r="H181" s="72">
        <f>TRIM(_xlfn.TEXTBEFORE(_xlfn.TEXTAFTER(U181,"CNPJ/CPF:&lt;/strong&gt;"),"&lt;/p&gt;"))</f>
        <v/>
      </c>
      <c r="I181" s="70" t="inlineStr">
        <is>
          <t>Contestação de cobrança</t>
        </is>
      </c>
      <c r="J181" s="72" t="n"/>
      <c r="K181" s="72" t="n"/>
      <c r="L181" s="70" t="inlineStr">
        <is>
          <t>PENDENTE</t>
        </is>
      </c>
      <c r="M181" s="73" t="inlineStr">
        <is>
          <t>Médio</t>
        </is>
      </c>
      <c r="N181" s="71" t="inlineStr">
        <is>
          <t>1018 Financeiro | Desejo falar com o setor financeiro | Jessica | contastibrasil@assurant.com</t>
        </is>
      </c>
      <c r="O181" s="74" t="n">
        <v>46211</v>
      </c>
      <c r="P181" s="123" t="n">
        <v>46218</v>
      </c>
      <c r="Q181" s="177">
        <f>TEXT(O181,"mmm/aaaa")</f>
        <v/>
      </c>
      <c r="R181" s="71" t="inlineStr">
        <is>
          <t>ECOMMERCE BP SUPORTE FINANCEIRO N2</t>
        </is>
      </c>
      <c r="S181" s="71" t="inlineStr">
        <is>
          <t>contastibrasil@assurant.com</t>
        </is>
      </c>
      <c r="T181" s="71" t="inlineStr"/>
      <c r="U181" s="129" t="inlineStr">
        <is>
          <t>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Obrigada.&lt;/p&gt;&lt;p&gt;&lt;strong&gt;GA Client ID:&lt;/strong&gt; 2127394109.1752684423&lt;/p&gt;&lt;p&gt;&lt;strong&gt;Lead Hash ID:&lt;/strong&gt; 5a2993fc8b624ec607de1969ca7a3aa62b031356ad46785a5</t>
        </is>
      </c>
      <c r="V181" s="71">
        <f>IFERROR(_xlfn.TEXTBEFORE(_xlfn.TEXTAFTER(U181,"Descrição do problema:&lt;/strong"),"&lt;/p&gt;"),_xlfn.TEXTAFTER(U181,"Descrição do problema:&lt;/strong"))</f>
        <v/>
      </c>
      <c r="W181" s="76">
        <f>_xlfn.CONCAT(D181:E181)</f>
        <v/>
      </c>
      <c r="X181" s="77" t="n"/>
      <c r="Y181" s="78">
        <f>IF(X181="","Aberto","Encerrado")</f>
        <v/>
      </c>
      <c r="Z181" s="78">
        <f>IF(OR(L181="PENDENTE",L181="EM ANDAMENTO",L181="PENDENTE APROVAÇÃO CANCELAMENTO NF"),TODAY()-O181,X181-O181)</f>
        <v/>
      </c>
      <c r="AA181" s="78">
        <f>IF(Y181="Aberto",Z181+ROW()/100000,"")</f>
        <v/>
      </c>
      <c r="AB181" s="2">
        <f>IF(ISNUMBER(FIND("@cielo.com.br",S181)),"Interno","Externo")</f>
        <v/>
      </c>
      <c r="AC181" t="inlineStr">
        <is>
          <t>Solicitar estorno ou devolução de cobrança.</t>
        </is>
      </c>
      <c r="AD181" t="inlineStr">
        <is>
          <t>ACAO:CONSULTAR; ACAO:ESTORNAR; OBJETO:COBRANCA; OBJETO:NOTA_FISCAL</t>
        </is>
      </c>
      <c r="AE181" t="inlineStr">
        <is>
          <t>Estorno de cobrança</t>
        </is>
      </c>
      <c r="AF181" t="inlineStr">
        <is>
          <t>Valor Cobrado</t>
        </is>
      </c>
      <c r="AG181" t="inlineStr">
        <is>
          <t>Cobrança e Contestação</t>
        </is>
      </c>
      <c r="AI181" t="inlineStr">
        <is>
          <t>INT_COB_ESTORNO</t>
        </is>
      </c>
      <c r="AJ181" t="inlineStr">
        <is>
          <t>Sugerida</t>
        </is>
      </c>
      <c r="AK181" t="b">
        <v>0</v>
      </c>
      <c r="AN181">
        <f>IF(OR(AG181="",AM181=""),"",IF(AG181=AM181,"SIM","NÃO"))</f>
        <v/>
      </c>
      <c r="AO181" t="inlineStr">
        <is>
          <t>CLASSIFIED_SIGNATURE</t>
        </is>
      </c>
    </row>
    <row r="182" ht="15.5" customHeight="1">
      <c r="A182" s="1" t="n"/>
      <c r="B182" s="67" t="inlineStr">
        <is>
          <t>Stephany Lima</t>
        </is>
      </c>
      <c r="C182" s="70">
        <f>VLOOKUP(I:I,'Referencias '!H:I,2,0)</f>
        <v/>
      </c>
      <c r="D182" s="71" t="n">
        <v>24545440</v>
      </c>
      <c r="E182" s="71" t="n">
        <v>0</v>
      </c>
      <c r="F182" s="72" t="n">
        <v>2619110243508</v>
      </c>
      <c r="G182" s="72">
        <f>VLOOKUP(H:H,'Referencias '!B:C,2,0)</f>
        <v/>
      </c>
      <c r="H182" s="72">
        <f>TRIM(_xlfn.TEXTBEFORE(_xlfn.TEXTAFTER(U182,"CNPJ/CPF:&lt;/strong&gt;"),"&lt;/p&gt;"))</f>
        <v/>
      </c>
      <c r="I182" s="70" t="inlineStr">
        <is>
          <t>Cancelamento de Nota Fiscal</t>
        </is>
      </c>
      <c r="J182" s="72" t="n"/>
      <c r="K182" s="72" t="inlineStr">
        <is>
          <t>Comercial</t>
        </is>
      </c>
      <c r="L182" s="70" t="inlineStr">
        <is>
          <t>PENDENTE</t>
        </is>
      </c>
      <c r="M182" s="73" t="inlineStr">
        <is>
          <t>Médio</t>
        </is>
      </c>
      <c r="N182" s="71" t="inlineStr">
        <is>
          <t>1018 Financeiro | Desejo falar com o setor financeiro | DBDC - DISTRIBUIDORA BRASILEIRA DE | ariane.pasilva@cielo.com.br</t>
        </is>
      </c>
      <c r="O182" s="74" t="n">
        <v>46213</v>
      </c>
      <c r="P182" s="123" t="n">
        <v>46218</v>
      </c>
      <c r="Q182" s="177">
        <f>TEXT(O182,"mmm/aaaa")</f>
        <v/>
      </c>
      <c r="R182" s="71" t="inlineStr">
        <is>
          <t>ECOMMERCE BP SUPORTE FINANCEIRO N2</t>
        </is>
      </c>
      <c r="S182" s="71" t="inlineStr">
        <is>
          <t>ariane.pasilva@cielo.com.br</t>
        </is>
      </c>
      <c r="T182" s="71" t="inlineStr">
        <is>
          <t>DBDCDISTRIBUIDORA BRASILEIRA DE COSMETICOS E PARTICIPACOES LTDA</t>
        </is>
      </c>
      <c r="U182" s="129" t="inlineStr">
        <is>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
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t>
        </is>
      </c>
      <c r="V182" s="71">
        <f>IFERROR(_xlfn.TEXTBEFORE(_xlfn.TEXTAFTER(U182,"Descrição do problema:&lt;/strong"),"&lt;/p&gt;"),_xlfn.TEXTAFTER(U182,"Descrição do problema:&lt;/strong"))</f>
        <v/>
      </c>
      <c r="W182" s="76">
        <f>_xlfn.CONCAT(D182:E182)</f>
        <v/>
      </c>
      <c r="X182" s="77" t="n"/>
      <c r="Y182" s="78">
        <f>IF(X182="","Aberto","Encerrado")</f>
        <v/>
      </c>
      <c r="Z182" s="78">
        <f>IF(OR(L182="PENDENTE",L182="EM ANDAMENTO",L182="PENDENTE APROVAÇÃO CANCELAMENTO NF"),TODAY()-O182,X182-O182)</f>
        <v/>
      </c>
      <c r="AA182" s="78">
        <f>IF(Y182="Aberto",Z182+ROW()/100000,"")</f>
        <v/>
      </c>
      <c r="AB182" s="2">
        <f>IF(ISNUMBER(FIND("@cielo.com.br",S182)),"Interno","Externo")</f>
        <v/>
      </c>
      <c r="AC182" t="inlineStr">
        <is>
          <t>Cancelar, substituir ou reemitir nota fiscal.</t>
        </is>
      </c>
      <c r="AD182" t="inlineStr">
        <is>
          <t>ACAO:SUBSTITUIR; OBJETO:NOTA_FISCAL</t>
        </is>
      </c>
      <c r="AE182" t="inlineStr">
        <is>
          <t>Cancelamento de NF</t>
        </is>
      </c>
      <c r="AF182" t="inlineStr">
        <is>
          <t>Documento Fiscal</t>
        </is>
      </c>
      <c r="AG182" t="inlineStr">
        <is>
          <t>Cancelamento e Reemissão de Nota Fiscal</t>
        </is>
      </c>
      <c r="AI182" t="inlineStr">
        <is>
          <t>INT_NF_CANCEL_REEMISSAO</t>
        </is>
      </c>
      <c r="AJ182" t="inlineStr">
        <is>
          <t>Sugerida</t>
        </is>
      </c>
      <c r="AK182" t="b">
        <v>0</v>
      </c>
      <c r="AN182">
        <f>IF(OR(AG182="",AM182=""),"",IF(AG182=AM182,"SIM","NÃO"))</f>
        <v/>
      </c>
      <c r="AO182" t="inlineStr">
        <is>
          <t>CLASSIFIED_SIGNATURE</t>
        </is>
      </c>
    </row>
    <row r="183" ht="15.5" customHeight="1">
      <c r="A183" s="1" t="n"/>
      <c r="B183" s="67" t="inlineStr">
        <is>
          <t>Emilly Maria</t>
        </is>
      </c>
      <c r="C183" s="70">
        <f>VLOOKUP(I:I,'Referencias '!H:I,2,0)</f>
        <v/>
      </c>
      <c r="D183" s="71" t="n">
        <v>24641345</v>
      </c>
      <c r="E183" s="71" t="n">
        <v>24086122</v>
      </c>
      <c r="F183" s="72" t="n">
        <v>2619415305683</v>
      </c>
      <c r="G183" s="72">
        <f>T183</f>
        <v/>
      </c>
      <c r="H183" s="72" t="n"/>
      <c r="I183" s="70" t="inlineStr">
        <is>
          <t>Contestação de cobrança</t>
        </is>
      </c>
      <c r="J183" s="72" t="n"/>
      <c r="K183" s="72" t="n"/>
      <c r="L183" s="70" t="inlineStr">
        <is>
          <t>PENDENTE</t>
        </is>
      </c>
      <c r="M183" s="73" t="inlineStr">
        <is>
          <t>Médio</t>
        </is>
      </c>
      <c r="N183" s="71" t="inlineStr">
        <is>
          <t>Alteração de boleto errado</t>
        </is>
      </c>
      <c r="O183" s="74" t="n">
        <v>46216</v>
      </c>
      <c r="P183" s="123" t="n">
        <v>46216</v>
      </c>
      <c r="Q183" s="177">
        <f>TEXT(O183,"mmm/aaaa")</f>
        <v/>
      </c>
      <c r="R183" s="71" t="inlineStr">
        <is>
          <t>ECOMMERCE BP SUPORTE FINANCEIRO N2</t>
        </is>
      </c>
      <c r="S183" s="71" t="inlineStr"/>
      <c r="T183" s="71" t="inlineStr">
        <is>
          <t>DROGARIAS NISSEI</t>
        </is>
      </c>
      <c r="U183" s="129" t="inlineStr">
        <is>
          <t>Alteração de boleto errado</t>
        </is>
      </c>
      <c r="V183" s="71">
        <f>U183</f>
        <v/>
      </c>
      <c r="W183" s="76">
        <f>_xlfn.CONCAT(D183:E183)</f>
        <v/>
      </c>
      <c r="X183" s="77" t="n"/>
      <c r="Y183" s="78">
        <f>IF(X183="","Aberto","Encerrado")</f>
        <v/>
      </c>
      <c r="Z183" s="78">
        <f>IF(OR(L183="PENDENTE",L183="EM ANDAMENTO",L183="PENDENTE APROVAÇÃO CANCELAMENTO NF"),TODAY()-O183,X183-O183)</f>
        <v/>
      </c>
      <c r="AA183" s="78">
        <f>IF(Y183="Aberto",Z183+ROW()/100000,"")</f>
        <v/>
      </c>
      <c r="AB183" s="2">
        <f>IF(ISNUMBER(FIND("@cielo.com.br",S183)),"Interno","Externo")</f>
        <v/>
      </c>
      <c r="AD183" t="inlineStr"/>
      <c r="AJ183" t="inlineStr">
        <is>
          <t>Sem correspondência</t>
        </is>
      </c>
      <c r="AK183" t="b">
        <v>0</v>
      </c>
      <c r="AN183">
        <f>IF(OR(AG183="",AM183=""),"",IF(AG183=AM183,"SIM","NÃO"))</f>
        <v/>
      </c>
      <c r="AO183" t="inlineStr">
        <is>
          <t>NO_PATTERN</t>
        </is>
      </c>
    </row>
    <row r="184" ht="15.5" customHeight="1">
      <c r="A184" s="1" t="n"/>
      <c r="B184" s="67" t="inlineStr">
        <is>
          <t>Pamela de Sá</t>
        </is>
      </c>
      <c r="C184" s="70">
        <f>VLOOKUP(I:I,'Referencias '!H:I,2,0)</f>
        <v/>
      </c>
      <c r="D184" s="71" t="n">
        <v>24641238</v>
      </c>
      <c r="E184" s="71" t="n">
        <v>24477760</v>
      </c>
      <c r="F184" s="72" t="n">
        <v>2619415305611</v>
      </c>
      <c r="G184" s="72">
        <f>T184</f>
        <v/>
      </c>
      <c r="H184" s="72" t="n"/>
      <c r="I184" s="70" t="inlineStr">
        <is>
          <t>Contestação de cobrança</t>
        </is>
      </c>
      <c r="J184" s="72" t="n"/>
      <c r="K184" s="72" t="n"/>
      <c r="L184" s="70" t="inlineStr">
        <is>
          <t>PENDENTE</t>
        </is>
      </c>
      <c r="M184" s="73" t="inlineStr">
        <is>
          <t>Médio</t>
        </is>
      </c>
      <c r="N184" s="71" t="inlineStr">
        <is>
          <t>RE: Recebemos sua solicitação "1018 Financeiro | Desejo falar com o setor financeiro | Jessica | contastibrasil@assurant.com"</t>
        </is>
      </c>
      <c r="O184" s="74" t="n">
        <v>46216</v>
      </c>
      <c r="P184" s="123" t="n">
        <v>46216</v>
      </c>
      <c r="Q184" s="177">
        <f>TEXT(O184,"mmm/aaaa")</f>
        <v/>
      </c>
      <c r="R184" s="71" t="inlineStr">
        <is>
          <t>ECOMMERCE BP SUPORTE FINANCEIRO N2</t>
        </is>
      </c>
      <c r="S184" s="71" t="inlineStr">
        <is>
          <t>contastibrasil@assurant.com</t>
        </is>
      </c>
      <c r="T184" s="71" t="inlineStr"/>
      <c r="U184" s="129" t="inlineStr">
        <is>
          <t>RE: Recebemos sua solicitação "1018 Financeiro | Desejo falar com o setor financeiro | Jessica | contastibrasil@assurant.com"</t>
        </is>
      </c>
      <c r="V184" s="71" t="inlineStr">
        <is>
          <t>Outros</t>
        </is>
      </c>
      <c r="W184" s="76">
        <f>_xlfn.CONCAT(D184:E184)</f>
        <v/>
      </c>
      <c r="X184" s="77" t="n"/>
      <c r="Y184" s="78">
        <f>IF(X184="","Aberto","Encerrado")</f>
        <v/>
      </c>
      <c r="Z184" s="78">
        <f>IF(OR(L184="PENDENTE",L184="EM ANDAMENTO",L184="PENDENTE APROVAÇÃO CANCELAMENTO NF"),TODAY()-O184,X184-O184)</f>
        <v/>
      </c>
      <c r="AA184" s="78">
        <f>IF(Y184="Aberto",Z184+ROW()/100000,"")</f>
        <v/>
      </c>
      <c r="AB184" s="2">
        <f>IF(ISNUMBER(FIND("@cielo.com.br",S184)),"Interno","Externo")</f>
        <v/>
      </c>
      <c r="AD184" t="inlineStr"/>
      <c r="AJ184" t="inlineStr">
        <is>
          <t>Sem correspondência</t>
        </is>
      </c>
      <c r="AK184" t="b">
        <v>0</v>
      </c>
      <c r="AN184">
        <f>IF(OR(AG184="",AM184=""),"",IF(AG184=AM184,"SIM","NÃO"))</f>
        <v/>
      </c>
      <c r="AO184" t="inlineStr">
        <is>
          <t>NO_PATTERN</t>
        </is>
      </c>
    </row>
    <row r="185" ht="15.5" customHeight="1">
      <c r="A185" s="1" t="n"/>
      <c r="B185" s="67" t="inlineStr">
        <is>
          <t>Stephany Lima</t>
        </is>
      </c>
      <c r="C185" s="70">
        <f>VLOOKUP(I:I,'Referencias '!H:I,2,0)</f>
        <v/>
      </c>
      <c r="D185" s="71" t="n">
        <v>24656252</v>
      </c>
      <c r="E185" s="71" t="n">
        <v>0</v>
      </c>
      <c r="F185" s="72" t="n">
        <v>2619418314852</v>
      </c>
      <c r="G185" s="72">
        <f>T185</f>
        <v/>
      </c>
      <c r="H185" s="72" t="n"/>
      <c r="I185" s="70" t="inlineStr">
        <is>
          <t>Alteração de prazo de pagamento</t>
        </is>
      </c>
      <c r="J185" s="72" t="n"/>
      <c r="K185" s="72" t="inlineStr">
        <is>
          <t>Cliente</t>
        </is>
      </c>
      <c r="L185" s="70" t="inlineStr">
        <is>
          <t>PENDENTE</t>
        </is>
      </c>
      <c r="M185" s="73" t="inlineStr">
        <is>
          <t>Médio</t>
        </is>
      </c>
      <c r="N185" s="71" t="inlineStr">
        <is>
          <t>1018 Financeiro | Desejo falar com o setor financeiro | Daiani Sopran | daiani.sopran@herval.com.br</t>
        </is>
      </c>
      <c r="O185" s="74" t="n">
        <v>46216</v>
      </c>
      <c r="P185" s="123" t="n">
        <v>46218</v>
      </c>
      <c r="Q185" s="177">
        <f>TEXT(O185,"mmm/aaaa")</f>
        <v/>
      </c>
      <c r="R185" s="71" t="inlineStr">
        <is>
          <t>ECOMMERCE BP SUPORTE FINANCEIRO N2</t>
        </is>
      </c>
      <c r="S185" s="71" t="inlineStr">
        <is>
          <t>daiani.sopran@herval.com.br</t>
        </is>
      </c>
      <c r="T185" s="71" t="inlineStr"/>
      <c r="U185" s="71" t="inlineStr">
        <is>
          <t>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07, 17 e 27 de cada mês. Caso uma dessas datas coincida com finais de semana ou feriados, o crédito será efetuado no próximo dia útil.
Para que não haja impactos no fluxo de pagamentos, solicitamos que as próximas Notas Fiscais e boletos sejam emitidos com vencimento ajustado para o dia 07, 17 ou 27, conforme a data mais próxima do prazo originalmente negociado.
Caso o vencimento seja emitido em outra data, a Tesouraria realizará a programação do pagamento para a próxima data fixa do calendário.
Contamos com a sua colaboração para essa adequação e permanecemos à disposição em caso de dúvidas.&lt;/p&gt;&lt;p&gt;&lt;strong&gt;Endere</t>
        </is>
      </c>
      <c r="V185" s="71">
        <f>IFERROR(_xlfn.TEXTBEFORE(_xlfn.TEXTAFTER(U185,"Descrição do problema:&lt;/strong"),"&lt;/p&gt;"),_xlfn.TEXTAFTER(U185,"Descrição do problema:&lt;/strong"))</f>
        <v/>
      </c>
      <c r="W185" s="76">
        <f>_xlfn.CONCAT(D185:E185)</f>
        <v/>
      </c>
      <c r="X185" s="77" t="n"/>
      <c r="Y185" s="78">
        <f>IF(X185="","Aberto","Encerrado")</f>
        <v/>
      </c>
      <c r="Z185" s="78">
        <f>IF(OR(L185="PENDENTE",L185="EM ANDAMENTO",L185="PENDENTE APROVAÇÃO CANCELAMENTO NF"),TODAY()-O185,X185-O185)</f>
        <v/>
      </c>
      <c r="AA185" s="78">
        <f>IF(Y185="Aberto",Z185+ROW()/100000,"")</f>
        <v/>
      </c>
      <c r="AB185" s="2">
        <f>IF(ISNUMBER(FIND("@cielo.com.br",S185)),"Interno","Externo")</f>
        <v/>
      </c>
      <c r="AC185" t="inlineStr">
        <is>
          <t>Corrigir dados fiscais ou incluir PO por carta de correção.</t>
        </is>
      </c>
      <c r="AD185" t="inlineStr">
        <is>
          <t>próximas notas fiscais + po</t>
        </is>
      </c>
      <c r="AE185" t="inlineStr">
        <is>
          <t>Inclusão de PO em NF</t>
        </is>
      </c>
      <c r="AF185" t="inlineStr">
        <is>
          <t>Parâmetro de Faturamento</t>
        </is>
      </c>
      <c r="AG185" t="inlineStr">
        <is>
          <t>Faturamento e Obrigações Fiscais</t>
        </is>
      </c>
      <c r="AI185" t="inlineStr">
        <is>
          <t>INT_FAT_CORRECAO_PO</t>
        </is>
      </c>
      <c r="AJ185" t="inlineStr">
        <is>
          <t>Sugerida</t>
        </is>
      </c>
      <c r="AK185" t="b">
        <v>0</v>
      </c>
      <c r="AN185">
        <f>IF(OR(AG185="",AM185=""),"",IF(AG185=AM185,"SIM","NÃO"))</f>
        <v/>
      </c>
      <c r="AO185" t="inlineStr">
        <is>
          <t>CLASSIFIED_PATTERN</t>
        </is>
      </c>
    </row>
    <row r="186" ht="15.5" customHeight="1">
      <c r="A186" s="1" t="n"/>
      <c r="B186" s="67" t="inlineStr">
        <is>
          <t>Pamela de Sá</t>
        </is>
      </c>
      <c r="C186" s="70">
        <f>VLOOKUP(I:I,'Referencias '!H:I,2,0)</f>
        <v/>
      </c>
      <c r="D186" s="71" t="n">
        <v>24639267</v>
      </c>
      <c r="E186" s="71" t="n">
        <v>24093861</v>
      </c>
      <c r="F186" s="72" t="n">
        <v>0</v>
      </c>
      <c r="G186" s="72">
        <f>T186</f>
        <v/>
      </c>
      <c r="H186" s="72" t="n"/>
      <c r="I186" s="70" t="inlineStr">
        <is>
          <t>Contestação de cobrança</t>
        </is>
      </c>
      <c r="J186" s="72" t="n"/>
      <c r="K186" s="72" t="n"/>
      <c r="L186" s="70" t="inlineStr">
        <is>
          <t>FINALIZADO</t>
        </is>
      </c>
      <c r="M186" s="73" t="inlineStr">
        <is>
          <t>Médio</t>
        </is>
      </c>
      <c r="N186" s="71" t="inlineStr">
        <is>
          <t>RE: Recebemos sua solicitação "1018 Financeiro | Desejo falar com o setor financeiro | Mariane Oliveira dos Santos | mariane.santos@cielo.com.br"</t>
        </is>
      </c>
      <c r="O186" s="74" t="n">
        <v>46216</v>
      </c>
      <c r="P186" s="123" t="n">
        <v>46216</v>
      </c>
      <c r="Q186" s="177">
        <f>TEXT(O186,"mmm/aaaa")</f>
        <v/>
      </c>
      <c r="R186" s="71" t="inlineStr">
        <is>
          <t>Fatima Tavares Da Silva Dos Santos</t>
        </is>
      </c>
      <c r="S186" s="71" t="inlineStr">
        <is>
          <t>mariane.santos@cielo.com.br</t>
        </is>
      </c>
      <c r="T186" s="71" t="inlineStr">
        <is>
          <t>UNIDADE DE EDUCACAO PROF A DIST</t>
        </is>
      </c>
      <c r="U186" s="129" t="inlineStr">
        <is>
          <t>RE: Recebemos sua solicitação "1018 Financeiro | Desejo falar com o setor financeiro | Mariane Oliveira dos Santos | mariane.santos@cielo.com.br"</t>
        </is>
      </c>
      <c r="V186" s="71" t="inlineStr">
        <is>
          <t>Outros</t>
        </is>
      </c>
      <c r="W186" s="76">
        <f>_xlfn.CONCAT(D186:E186)</f>
        <v/>
      </c>
      <c r="X186" s="77" t="n">
        <v>46224</v>
      </c>
      <c r="Y186" s="78">
        <f>IF(X186="","Aberto","Encerrado")</f>
        <v/>
      </c>
      <c r="Z186" s="78">
        <f>IF(OR(L186="PENDENTE",L186="EM ANDAMENTO",L186="PENDENTE APROVAÇÃO CANCELAMENTO NF"),TODAY()-O186,X186-O186)</f>
        <v/>
      </c>
      <c r="AA186" s="78">
        <f>IF(Y186="Aberto",Z186+ROW()/100000,"")</f>
        <v/>
      </c>
      <c r="AB186" s="2">
        <f>IF(ISNUMBER(FIND("@cielo.com.br",S186)),"Interno","Externo")</f>
        <v/>
      </c>
      <c r="AD186" t="inlineStr"/>
      <c r="AJ186" t="inlineStr">
        <is>
          <t>Sem correspondência</t>
        </is>
      </c>
      <c r="AK186" t="b">
        <v>0</v>
      </c>
      <c r="AN186">
        <f>IF(OR(AG186="",AM186=""),"",IF(AG186=AM186,"SIM","NÃO"))</f>
        <v/>
      </c>
      <c r="AO186" t="inlineStr">
        <is>
          <t>NO_PATTERN</t>
        </is>
      </c>
    </row>
    <row r="187" ht="15.5" customHeight="1">
      <c r="A187" s="1" t="n"/>
      <c r="B187" s="67" t="inlineStr">
        <is>
          <t>Stephany Lima</t>
        </is>
      </c>
      <c r="C187" s="70">
        <f>VLOOKUP(I:I,'Referencias '!H:I,2,0)</f>
        <v/>
      </c>
      <c r="D187" s="71" t="n">
        <v>24651461</v>
      </c>
      <c r="E187" s="71" t="n">
        <v>24143584</v>
      </c>
      <c r="F187" s="72" t="n">
        <v>2619417312142</v>
      </c>
      <c r="G187" s="72">
        <f>T187</f>
        <v/>
      </c>
      <c r="H187" s="72" t="n"/>
      <c r="I187" s="70" t="inlineStr">
        <is>
          <t>Cancelamento de Nota Fiscal</t>
        </is>
      </c>
      <c r="J187" s="72" t="n"/>
      <c r="K187" s="72" t="inlineStr">
        <is>
          <t>Financeiro</t>
        </is>
      </c>
      <c r="L187" s="70" t="inlineStr">
        <is>
          <t>PENDENTE</t>
        </is>
      </c>
      <c r="M187" s="73" t="inlineStr">
        <is>
          <t>Médio</t>
        </is>
      </c>
      <c r="N187" s="71" t="inlineStr">
        <is>
          <t>Correção de nota fiscal</t>
        </is>
      </c>
      <c r="O187" s="74" t="n">
        <v>46216</v>
      </c>
      <c r="P187" s="123" t="n">
        <v>46216</v>
      </c>
      <c r="Q187" s="177">
        <f>TEXT(O187,"mmm/aaaa")</f>
        <v/>
      </c>
      <c r="R187" s="71" t="inlineStr">
        <is>
          <t>ECOMMERCE BP SUPORTE FINANCEIRO N2</t>
        </is>
      </c>
      <c r="S187" s="71" t="inlineStr"/>
      <c r="T187" s="71" t="inlineStr"/>
      <c r="U187" s="71" t="inlineStr">
        <is>
          <t>Correção de nota fiscal</t>
        </is>
      </c>
      <c r="V187" s="71">
        <f>U187</f>
        <v/>
      </c>
      <c r="W187" s="76">
        <f>_xlfn.CONCAT(D187:E187)</f>
        <v/>
      </c>
      <c r="X187" s="77" t="n"/>
      <c r="Y187" s="78">
        <f>IF(X187="","Aberto","Encerrado")</f>
        <v/>
      </c>
      <c r="Z187" s="78">
        <f>IF(OR(L187="PENDENTE",L187="EM ANDAMENTO",L187="PENDENTE APROVAÇÃO CANCELAMENTO NF"),TODAY()-O187,X187-O187)</f>
        <v/>
      </c>
      <c r="AA187" s="78">
        <f>IF(Y187="Aberto",Z187+ROW()/100000,"")</f>
        <v/>
      </c>
      <c r="AB187" s="2">
        <f>IF(ISNUMBER(FIND("@cielo.com.br",S187)),"Interno","Externo")</f>
        <v/>
      </c>
      <c r="AC187" t="inlineStr">
        <is>
          <t>Cancelar, substituir ou reemitir nota fiscal.</t>
        </is>
      </c>
      <c r="AD187" t="inlineStr">
        <is>
          <t>correção de nota fiscal; correção de nf</t>
        </is>
      </c>
      <c r="AE187" t="inlineStr">
        <is>
          <t>Cancelamento de NF</t>
        </is>
      </c>
      <c r="AF187" t="inlineStr">
        <is>
          <t>Documento Fiscal</t>
        </is>
      </c>
      <c r="AG187" t="inlineStr">
        <is>
          <t>Cancelamento e Reemissão de Nota Fiscal</t>
        </is>
      </c>
      <c r="AI187" t="inlineStr">
        <is>
          <t>INT_NF_CANCEL_REEMISSAO</t>
        </is>
      </c>
      <c r="AJ187" t="inlineStr">
        <is>
          <t>Sugerida</t>
        </is>
      </c>
      <c r="AK187" t="b">
        <v>0</v>
      </c>
      <c r="AN187">
        <f>IF(OR(AG187="",AM187=""),"",IF(AG187=AM187,"SIM","NÃO"))</f>
        <v/>
      </c>
      <c r="AO187" t="inlineStr">
        <is>
          <t>CLASSIFIED_PATTERN</t>
        </is>
      </c>
    </row>
    <row r="188" ht="15.5" customHeight="1">
      <c r="A188" s="1" t="n"/>
      <c r="B188" s="67" t="inlineStr">
        <is>
          <t>Stephany Lima</t>
        </is>
      </c>
      <c r="C188" s="70">
        <f>VLOOKUP(I:I,'Referencias '!H:I,2,0)</f>
        <v/>
      </c>
      <c r="D188" s="71" t="n">
        <v>24650288</v>
      </c>
      <c r="E188" s="71" t="n">
        <v>23663601</v>
      </c>
      <c r="F188" s="72" t="n">
        <v>2619417311385</v>
      </c>
      <c r="G188" s="72">
        <f>T188</f>
        <v/>
      </c>
      <c r="H188" s="72" t="n"/>
      <c r="I188" s="70" t="inlineStr">
        <is>
          <t>Cancelamento de Nota Fiscal / Reemissão</t>
        </is>
      </c>
      <c r="J188" s="72" t="n"/>
      <c r="K188" s="72" t="inlineStr">
        <is>
          <t>Cliente</t>
        </is>
      </c>
      <c r="L188" s="70" t="inlineStr">
        <is>
          <t>PENDENTE</t>
        </is>
      </c>
      <c r="M188" s="73" t="inlineStr">
        <is>
          <t>Médio</t>
        </is>
      </c>
      <c r="N188" s="71" t="inlineStr">
        <is>
          <t>Substituição de NFS</t>
        </is>
      </c>
      <c r="O188" s="74" t="n">
        <v>46216</v>
      </c>
      <c r="P188" s="123" t="n">
        <v>46216</v>
      </c>
      <c r="Q188" s="177">
        <f>TEXT(O188,"mmm/aaaa")</f>
        <v/>
      </c>
      <c r="R188" s="71" t="inlineStr">
        <is>
          <t>ECOMMERCE BP SUPORTE FINANCEIRO N2</t>
        </is>
      </c>
      <c r="S188" s="71" t="inlineStr"/>
      <c r="T188" s="71" t="inlineStr"/>
      <c r="U188" s="71" t="inlineStr">
        <is>
          <t>Substituição de NFS</t>
        </is>
      </c>
      <c r="V188" s="71">
        <f>U188</f>
        <v/>
      </c>
      <c r="W188" s="76">
        <f>_xlfn.CONCAT(D188:E188)</f>
        <v/>
      </c>
      <c r="X188" s="77" t="n"/>
      <c r="Y188" s="78">
        <f>IF(X188="","Aberto","Encerrado")</f>
        <v/>
      </c>
      <c r="Z188" s="78">
        <f>IF(OR(L188="PENDENTE",L188="EM ANDAMENTO",L188="PENDENTE APROVAÇÃO CANCELAMENTO NF"),TODAY()-O188,X188-O188)</f>
        <v/>
      </c>
      <c r="AA188" s="78">
        <f>IF(Y188="Aberto",Z188+ROW()/100000,"")</f>
        <v/>
      </c>
      <c r="AB188" s="2">
        <f>IF(ISNUMBER(FIND("@cielo.com.br",S188)),"Interno","Externo")</f>
        <v/>
      </c>
      <c r="AC188" t="inlineStr">
        <is>
          <t>Cancelar, substituir ou reemitir nota fiscal.</t>
        </is>
      </c>
      <c r="AD188" t="inlineStr">
        <is>
          <t>ACAO:SUBSTITUIR; OBJETO:NOTA_FISCAL</t>
        </is>
      </c>
      <c r="AE188" t="inlineStr">
        <is>
          <t>Cancelamento de NF</t>
        </is>
      </c>
      <c r="AF188" t="inlineStr">
        <is>
          <t>Documento Fiscal</t>
        </is>
      </c>
      <c r="AG188" t="inlineStr">
        <is>
          <t>Cancelamento e Reemissão de Nota Fiscal</t>
        </is>
      </c>
      <c r="AI188" t="inlineStr">
        <is>
          <t>INT_NF_CANCEL_REEMISSAO</t>
        </is>
      </c>
      <c r="AJ188" t="inlineStr">
        <is>
          <t>Sugerida</t>
        </is>
      </c>
      <c r="AK188" t="b">
        <v>0</v>
      </c>
      <c r="AN188">
        <f>IF(OR(AG188="",AM188=""),"",IF(AG188=AM188,"SIM","NÃO"))</f>
        <v/>
      </c>
      <c r="AO188" t="inlineStr">
        <is>
          <t>CLASSIFIED_SIGNATURE</t>
        </is>
      </c>
    </row>
    <row r="189" ht="15.5" customHeight="1">
      <c r="A189" s="1" t="n"/>
      <c r="B189" s="67" t="inlineStr">
        <is>
          <t>Stephany Lima</t>
        </is>
      </c>
      <c r="C189" s="70">
        <f>VLOOKUP(I:I,'Referencias '!H:I,2,0)</f>
        <v/>
      </c>
      <c r="D189" s="71" t="n">
        <v>24558378</v>
      </c>
      <c r="E189" s="71" t="n">
        <v>0</v>
      </c>
      <c r="F189" s="72" t="n">
        <v>2619113251350</v>
      </c>
      <c r="G189" s="72">
        <f>T189</f>
        <v/>
      </c>
      <c r="H189" s="72">
        <f>TRIM(_xlfn.TEXTBEFORE(_xlfn.TEXTAFTER(U189,"CNPJ/CPF:&lt;/strong&gt;"),"&lt;/p&gt;"))</f>
        <v/>
      </c>
      <c r="I189" s="70" t="inlineStr">
        <is>
          <t>Cancelamento de Nota Fiscal</t>
        </is>
      </c>
      <c r="J189" s="72" t="n"/>
      <c r="K189" s="72" t="inlineStr">
        <is>
          <t>Financeiro</t>
        </is>
      </c>
      <c r="L189" s="70" t="inlineStr">
        <is>
          <t>FINALIZADO</t>
        </is>
      </c>
      <c r="M189" s="73" t="inlineStr">
        <is>
          <t>Médio</t>
        </is>
      </c>
      <c r="N189" s="71" t="inlineStr">
        <is>
          <t>1018 Financeiro | Desejo falar com o setor financeiro | COMERC FINANCIAL TRADING COMERCIALIZADORA DE ENERGIA LTDA | ariane.pasilva@cielo.com.br</t>
        </is>
      </c>
      <c r="O189" s="74" t="n">
        <v>46213</v>
      </c>
      <c r="P189" s="123" t="n">
        <v>46218</v>
      </c>
      <c r="Q189" s="177">
        <f>TEXT(O189,"mmm/aaaa")</f>
        <v/>
      </c>
      <c r="R189" s="71" t="inlineStr">
        <is>
          <t>ECOMMERCE BP SUPORTE FINANCEIRO N2</t>
        </is>
      </c>
      <c r="S189" s="71" t="inlineStr">
        <is>
          <t>ariane.pasilva@cielo.com.br</t>
        </is>
      </c>
      <c r="T189" s="71" t="inlineStr">
        <is>
          <t>DMC CONSULTORIA E GESTAO DE PROJ</t>
        </is>
      </c>
      <c r="U189" s="129" t="inlineStr">
        <is>
          <t>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Nota indevida sobre SETUP, não existe contrato nesse CNPJ.
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t>
        </is>
      </c>
      <c r="V189" s="71">
        <f>IFERROR(_xlfn.TEXTBEFORE(_xlfn.TEXTAFTER(U189,"Descrição do problema:&lt;/strong"),"&lt;/p&gt;"),_xlfn.TEXTAFTER(U189,"Descrição do problema:&lt;/strong"))</f>
        <v/>
      </c>
      <c r="W189" s="76">
        <f>_xlfn.CONCAT(D189:E189)</f>
        <v/>
      </c>
      <c r="X189" s="77" t="n">
        <v>46260</v>
      </c>
      <c r="Y189" s="78">
        <f>IF(X189="","Aberto","Encerrado")</f>
        <v/>
      </c>
      <c r="Z189" s="78">
        <f>IF(OR(L189="PENDENTE",L189="EM ANDAMENTO",L189="PENDENTE APROVAÇÃO CANCELAMENTO NF"),TODAY()-O189,X189-O189)</f>
        <v/>
      </c>
      <c r="AA189" s="78">
        <f>IF(Y189="Aberto",Z189+ROW()/100000,"")</f>
        <v/>
      </c>
      <c r="AB189" s="2">
        <f>IF(ISNUMBER(FIND("@cielo.com.br",S189)),"Interno","Externo")</f>
        <v/>
      </c>
      <c r="AC189" t="inlineStr">
        <is>
          <t>Cancelar, substituir ou reemitir nota fiscal.</t>
        </is>
      </c>
      <c r="AD189" t="inlineStr">
        <is>
          <t>ACAO:CANCELAR; OBJETO:CONTRATO; OBJETO:NOTA_FISCAL; OBJETO:SETUP; CONTEXTO:DIVERGENCIA</t>
        </is>
      </c>
      <c r="AE189" t="inlineStr">
        <is>
          <t>Cancelamento de NF</t>
        </is>
      </c>
      <c r="AF189" t="inlineStr">
        <is>
          <t>Documento Fiscal</t>
        </is>
      </c>
      <c r="AG189" t="inlineStr">
        <is>
          <t>Cancelamento e Reemissão de Nota Fiscal</t>
        </is>
      </c>
      <c r="AI189" t="inlineStr">
        <is>
          <t>INT_NF_CANCEL_REEMISSAO</t>
        </is>
      </c>
      <c r="AJ189" t="inlineStr">
        <is>
          <t>Sugerida</t>
        </is>
      </c>
      <c r="AK189" t="b">
        <v>0</v>
      </c>
      <c r="AN189">
        <f>IF(OR(AG189="",AM189=""),"",IF(AG189=AM189,"SIM","NÃO"))</f>
        <v/>
      </c>
      <c r="AO189" t="inlineStr">
        <is>
          <t>CLASSIFIED_SIGNATURE</t>
        </is>
      </c>
    </row>
    <row r="190" ht="15.5" customHeight="1">
      <c r="A190" s="1" t="n"/>
      <c r="B190" s="67" t="inlineStr">
        <is>
          <t>Stephany Lima</t>
        </is>
      </c>
      <c r="C190" s="70">
        <f>VLOOKUP(I:I,'Referencias '!H:I,2,0)</f>
        <v/>
      </c>
      <c r="D190" s="129" t="n">
        <v>24649626</v>
      </c>
      <c r="E190" s="71" t="n">
        <v>23875658</v>
      </c>
      <c r="F190" s="72" t="n">
        <v>2619417310967</v>
      </c>
      <c r="G190" s="72">
        <f>T190</f>
        <v/>
      </c>
      <c r="H190" s="72" t="n"/>
      <c r="I190" s="70" t="inlineStr">
        <is>
          <t>Cancelamento de Nota Fiscal / Reemissão</t>
        </is>
      </c>
      <c r="J190" s="72" t="n"/>
      <c r="K190" s="72" t="inlineStr">
        <is>
          <t>Financeiro</t>
        </is>
      </c>
      <c r="L190" s="70" t="inlineStr">
        <is>
          <t>PENDENTE</t>
        </is>
      </c>
      <c r="M190" s="73" t="inlineStr">
        <is>
          <t>Médio</t>
        </is>
      </c>
      <c r="N190" s="71" t="inlineStr">
        <is>
          <t>RE: Recebemos sua solicitação "1018 Financeiro | Desejo falar com o setor financeiro | Mariane Oliveira dos Santos | mariane.santos@cielo.com.br"</t>
        </is>
      </c>
      <c r="O190" s="74" t="n">
        <v>46216</v>
      </c>
      <c r="P190" s="123" t="n">
        <v>46216</v>
      </c>
      <c r="Q190" s="177">
        <f>TEXT(O190,"mmm/aaaa")</f>
        <v/>
      </c>
      <c r="R190" s="71" t="inlineStr">
        <is>
          <t>ECOMMERCE BP SUPORTE FINANCEIRO N2</t>
        </is>
      </c>
      <c r="S190" s="71" t="inlineStr">
        <is>
          <t>mariane.santos@cielo.com.br</t>
        </is>
      </c>
      <c r="T190" s="71" t="inlineStr">
        <is>
          <t>CENCOSUD</t>
        </is>
      </c>
      <c r="U190" s="71" t="inlineStr">
        <is>
          <t>RE: Recebemos sua solicitação "1018 Financeiro | Desejo falar com o setor financeiro | Mariane Oliveira dos Santos | mariane.santos@cielo.com.br"</t>
        </is>
      </c>
      <c r="V190" s="71" t="inlineStr">
        <is>
          <t>Outros</t>
        </is>
      </c>
      <c r="W190" s="76">
        <f>_xlfn.CONCAT(D190:E190)</f>
        <v/>
      </c>
      <c r="X190" s="77" t="n"/>
      <c r="Y190" s="78">
        <f>IF(X190="","Aberto","Encerrado")</f>
        <v/>
      </c>
      <c r="Z190" s="78">
        <f>IF(OR(L190="PENDENTE",L190="EM ANDAMENTO",L190="PENDENTE APROVAÇÃO CANCELAMENTO NF"),TODAY()-O190,X190-O190)</f>
        <v/>
      </c>
      <c r="AA190" s="78">
        <f>IF(Y190="Aberto",Z190+ROW()/100000,"")</f>
        <v/>
      </c>
      <c r="AB190" s="2">
        <f>IF(ISNUMBER(FIND("@cielo.com.br",S190)),"Interno","Externo")</f>
        <v/>
      </c>
      <c r="AD190" t="inlineStr"/>
      <c r="AJ190" t="inlineStr">
        <is>
          <t>Sem correspondência</t>
        </is>
      </c>
      <c r="AK190" t="b">
        <v>0</v>
      </c>
      <c r="AN190">
        <f>IF(OR(AG190="",AM190=""),"",IF(AG190=AM190,"SIM","NÃO"))</f>
        <v/>
      </c>
      <c r="AO190" t="inlineStr">
        <is>
          <t>NO_PATTERN</t>
        </is>
      </c>
    </row>
    <row r="191" ht="15.5" customHeight="1">
      <c r="A191" s="1" t="n"/>
      <c r="B191" s="67" t="inlineStr">
        <is>
          <t>Emilly Maria</t>
        </is>
      </c>
      <c r="C191" s="70">
        <f>VLOOKUP(I:I,'Referencias '!H:I,2,0)</f>
        <v/>
      </c>
      <c r="D191" s="71" t="n">
        <v>24501427</v>
      </c>
      <c r="E191" s="71" t="n">
        <v>0</v>
      </c>
      <c r="F191" s="72" t="n">
        <v>2619009214022</v>
      </c>
      <c r="G191" s="72">
        <f>VLOOKUP(H:H,'Referencias '!B:C,2,0)</f>
        <v/>
      </c>
      <c r="H191" s="72">
        <f>TRIM(_xlfn.TEXTBEFORE(_xlfn.TEXTAFTER(U191,"CNPJ/CPF:&lt;/strong&gt;"),"&lt;/p&gt;"))</f>
        <v/>
      </c>
      <c r="I191" s="70" t="inlineStr">
        <is>
          <t>Atualização cadastral</t>
        </is>
      </c>
      <c r="J191" s="72" t="n"/>
      <c r="K191" s="72" t="n"/>
      <c r="L191" s="70" t="inlineStr">
        <is>
          <t>FINALIZADO</t>
        </is>
      </c>
      <c r="M191" s="73" t="inlineStr">
        <is>
          <t>Médio</t>
        </is>
      </c>
      <c r="N191" s="71" t="inlineStr">
        <is>
          <t>1018 Financeiro | Desejo falar com o setor financeiro | Marcelo Manuel Quádrio Raposo | raposo@simonetti.com.br</t>
        </is>
      </c>
      <c r="O191" s="74" t="n">
        <v>46212</v>
      </c>
      <c r="P191" s="123" t="n">
        <v>46218</v>
      </c>
      <c r="Q191" s="177">
        <f>TEXT(O191,"mmm/aaaa")</f>
        <v/>
      </c>
      <c r="R191" s="71" t="inlineStr">
        <is>
          <t>ECOMMERCE BP SUPORTE FINANCEIRO N2</t>
        </is>
      </c>
      <c r="S191" s="71" t="inlineStr">
        <is>
          <t>raposo@simonetti.com.br</t>
        </is>
      </c>
      <c r="T191" s="71" t="inlineStr">
        <is>
          <t>MOVEIS SIMONETTI</t>
        </is>
      </c>
      <c r="U191" s="129" t="inlineStr">
        <is>
          <t>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
é o e-mail da nossa central de Notas.
Ocorre que:
Nota fiscal: 114763
CNPJ: 31.743.818/0022-52
Emissão: 26/05/2026
Vencimento: 20/06/2026
Valor: R$ 688,78
Não chegou onde preciso aqui em nossa central d</t>
        </is>
      </c>
      <c r="V191" s="71">
        <f>IFERROR(_xlfn.TEXTBEFORE(_xlfn.TEXTAFTER(U191,"Descrição do problema:&lt;/strong"),"&lt;/p&gt;"),_xlfn.TEXTAFTER(U191,"Descrição do problema:&lt;/strong"))</f>
        <v/>
      </c>
      <c r="W191" s="76">
        <f>_xlfn.CONCAT(D191:E191)</f>
        <v/>
      </c>
      <c r="X191" s="77" t="n">
        <v>46240</v>
      </c>
      <c r="Y191" s="78">
        <f>IF(X191="","Aberto","Encerrado")</f>
        <v/>
      </c>
      <c r="Z191" s="78">
        <f>IF(OR(L191="PENDENTE",L191="EM ANDAMENTO",L191="PENDENTE APROVAÇÃO CANCELAMENTO NF"),TODAY()-O191,X191-O191)</f>
        <v/>
      </c>
      <c r="AA191" s="78">
        <f>IF(Y191="Aberto",Z191+ROW()/100000,"")</f>
        <v/>
      </c>
      <c r="AB191" s="2">
        <f>IF(ISNUMBER(FIND("@cielo.com.br",S191)),"Interno","Externo")</f>
        <v/>
      </c>
      <c r="AC191" t="inlineStr">
        <is>
          <t>Atualizar dados cadastrais, e-mail ou telefone.</t>
        </is>
      </c>
      <c r="AD191" t="inlineStr">
        <is>
          <t>adicionar + email</t>
        </is>
      </c>
      <c r="AE191" t="inlineStr">
        <is>
          <t>Atualização cadastral</t>
        </is>
      </c>
      <c r="AF191" t="inlineStr">
        <is>
          <t>Contrato/Cadastro</t>
        </is>
      </c>
      <c r="AG191" t="inlineStr">
        <is>
          <t>Contratos, Comercial e Cadastro</t>
        </is>
      </c>
      <c r="AI191" t="inlineStr">
        <is>
          <t>INT_CON_CADASTRO</t>
        </is>
      </c>
      <c r="AJ191" t="inlineStr">
        <is>
          <t>Sugerida</t>
        </is>
      </c>
      <c r="AK191" t="b">
        <v>0</v>
      </c>
      <c r="AN191">
        <f>IF(OR(AG191="",AM191=""),"",IF(AG191=AM191,"SIM","NÃO"))</f>
        <v/>
      </c>
      <c r="AO191" t="inlineStr">
        <is>
          <t>CLASSIFIED_PATTERN</t>
        </is>
      </c>
    </row>
    <row r="192" ht="15.5" customHeight="1">
      <c r="A192" s="1" t="n"/>
      <c r="B192" s="67" t="inlineStr">
        <is>
          <t>Stephany Lima</t>
        </is>
      </c>
      <c r="C192" s="70">
        <f>VLOOKUP(I:I,'Referencias '!H:I,2,0)</f>
        <v/>
      </c>
      <c r="D192" s="71" t="n">
        <v>24647952</v>
      </c>
      <c r="E192" s="71" t="n">
        <v>24229680</v>
      </c>
      <c r="F192" s="72" t="n">
        <v>2619416309879</v>
      </c>
      <c r="G192" s="72">
        <f>T192</f>
        <v/>
      </c>
      <c r="H192" s="72" t="n"/>
      <c r="I192" s="70" t="inlineStr">
        <is>
          <t>Cobrança Taxa Setup</t>
        </is>
      </c>
      <c r="J192" s="72" t="n"/>
      <c r="K192" s="72" t="n"/>
      <c r="L192" s="70" t="inlineStr">
        <is>
          <t>PENDENTE</t>
        </is>
      </c>
      <c r="M192" s="73" t="inlineStr">
        <is>
          <t>Médio</t>
        </is>
      </c>
      <c r="N192" s="71" t="inlineStr">
        <is>
          <t>Cobrança de chave de loja</t>
        </is>
      </c>
      <c r="O192" s="74" t="n">
        <v>46216</v>
      </c>
      <c r="P192" s="123" t="n">
        <v>46216</v>
      </c>
      <c r="Q192" s="177">
        <f>TEXT(O192,"mmm/aaaa")</f>
        <v/>
      </c>
      <c r="R192" s="71" t="inlineStr">
        <is>
          <t>ECOMMERCE BP SUPORTE FINANCEIRO N2</t>
        </is>
      </c>
      <c r="S192" s="71" t="inlineStr"/>
      <c r="T192" s="71" t="inlineStr"/>
      <c r="U192" s="129" t="inlineStr">
        <is>
          <t>Cobrança de chave de loja</t>
        </is>
      </c>
      <c r="V192" s="71">
        <f>U192</f>
        <v/>
      </c>
      <c r="W192" s="76">
        <f>_xlfn.CONCAT(D192:E192)</f>
        <v/>
      </c>
      <c r="X192" s="77" t="n"/>
      <c r="Y192" s="78">
        <f>IF(X192="","Aberto","Encerrado")</f>
        <v/>
      </c>
      <c r="Z192" s="78">
        <f>IF(OR(L192="PENDENTE",L192="EM ANDAMENTO",L192="PENDENTE APROVAÇÃO CANCELAMENTO NF"),TODAY()-O192,X192-O192)</f>
        <v/>
      </c>
      <c r="AA192" s="78">
        <f>IF(Y192="Aberto",Z192+ROW()/100000,"")</f>
        <v/>
      </c>
      <c r="AB192" s="2">
        <f>IF(ISNUMBER(FIND("@cielo.com.br",S192)),"Interno","Externo")</f>
        <v/>
      </c>
      <c r="AC192" t="inlineStr">
        <is>
          <t>Questionar ou corrigir cobrança de setup, taxa ou chave de loja.</t>
        </is>
      </c>
      <c r="AD192" t="inlineStr">
        <is>
          <t>cobrança de chave de loja</t>
        </is>
      </c>
      <c r="AE192" t="inlineStr">
        <is>
          <t>Cobrança de setup</t>
        </is>
      </c>
      <c r="AF192" t="inlineStr">
        <is>
          <t>Valor Cobrado</t>
        </is>
      </c>
      <c r="AG192" t="inlineStr">
        <is>
          <t>Cobrança e Contestação</t>
        </is>
      </c>
      <c r="AI192" t="inlineStr">
        <is>
          <t>INT_COB_SETUP</t>
        </is>
      </c>
      <c r="AJ192" t="inlineStr">
        <is>
          <t>Sugerida</t>
        </is>
      </c>
      <c r="AK192" t="b">
        <v>0</v>
      </c>
      <c r="AN192">
        <f>IF(OR(AG192="",AM192=""),"",IF(AG192=AM192,"SIM","NÃO"))</f>
        <v/>
      </c>
      <c r="AO192" t="inlineStr">
        <is>
          <t>CLASSIFIED_PATTERN</t>
        </is>
      </c>
    </row>
    <row r="193" ht="15.5" customHeight="1">
      <c r="A193" s="1" t="n"/>
      <c r="B193" s="67" t="inlineStr">
        <is>
          <t>Stephany Lima</t>
        </is>
      </c>
      <c r="C193" s="70">
        <f>VLOOKUP(I:I,'Referencias '!H:I,2,0)</f>
        <v/>
      </c>
      <c r="D193" s="71" t="n">
        <v>24646897</v>
      </c>
      <c r="E193" s="71" t="n">
        <v>24363897</v>
      </c>
      <c r="F193" s="72" t="n">
        <v>2619416309213</v>
      </c>
      <c r="G193" s="72">
        <f>T193</f>
        <v/>
      </c>
      <c r="H193" s="72" t="n"/>
      <c r="I193" s="70" t="inlineStr">
        <is>
          <t>Cancelamento de Nota Fiscal / Reemissão</t>
        </is>
      </c>
      <c r="J193" s="72" t="n"/>
      <c r="K193" s="72" t="inlineStr">
        <is>
          <t>Cliente</t>
        </is>
      </c>
      <c r="L193" s="70" t="inlineStr">
        <is>
          <t>PENDENTE</t>
        </is>
      </c>
      <c r="M193" s="73" t="inlineStr">
        <is>
          <t>Médio</t>
        </is>
      </c>
      <c r="N193" s="71" t="inlineStr">
        <is>
          <t>Substituição de NF</t>
        </is>
      </c>
      <c r="O193" s="74" t="n">
        <v>46216</v>
      </c>
      <c r="P193" s="123" t="n">
        <v>46216</v>
      </c>
      <c r="Q193" s="177">
        <f>TEXT(O193,"mmm/aaaa")</f>
        <v/>
      </c>
      <c r="R193" s="71" t="inlineStr">
        <is>
          <t>ECOMMERCE BP SUPORTE FINANCEIRO N2</t>
        </is>
      </c>
      <c r="S193" s="71" t="inlineStr"/>
      <c r="T193" s="71" t="inlineStr">
        <is>
          <t>PAGUE MENOS COMERCIO DE PRODUTOS</t>
        </is>
      </c>
      <c r="U193" s="129" t="inlineStr">
        <is>
          <t>Substituição de NF</t>
        </is>
      </c>
      <c r="V193" s="71">
        <f>U193</f>
        <v/>
      </c>
      <c r="W193" s="76">
        <f>_xlfn.CONCAT(D193:E193)</f>
        <v/>
      </c>
      <c r="X193" s="77" t="n"/>
      <c r="Y193" s="78">
        <f>IF(X193="","Aberto","Encerrado")</f>
        <v/>
      </c>
      <c r="Z193" s="78">
        <f>IF(OR(L193="PENDENTE",L193="EM ANDAMENTO",L193="PENDENTE APROVAÇÃO CANCELAMENTO NF"),TODAY()-O193,X193-O193)</f>
        <v/>
      </c>
      <c r="AA193" s="78">
        <f>IF(Y193="Aberto",Z193+ROW()/100000,"")</f>
        <v/>
      </c>
      <c r="AB193" s="2">
        <f>IF(ISNUMBER(FIND("@cielo.com.br",S193)),"Interno","Externo")</f>
        <v/>
      </c>
      <c r="AC193" t="inlineStr">
        <is>
          <t>Cancelar, substituir ou reemitir nota fiscal.</t>
        </is>
      </c>
      <c r="AD193" t="inlineStr">
        <is>
          <t>ACAO:SUBSTITUIR; OBJETO:NOTA_FISCAL</t>
        </is>
      </c>
      <c r="AE193" t="inlineStr">
        <is>
          <t>Cancelamento de NF</t>
        </is>
      </c>
      <c r="AF193" t="inlineStr">
        <is>
          <t>Documento Fiscal</t>
        </is>
      </c>
      <c r="AG193" t="inlineStr">
        <is>
          <t>Cancelamento e Reemissão de Nota Fiscal</t>
        </is>
      </c>
      <c r="AI193" t="inlineStr">
        <is>
          <t>INT_NF_CANCEL_REEMISSAO</t>
        </is>
      </c>
      <c r="AJ193" t="inlineStr">
        <is>
          <t>Sugerida</t>
        </is>
      </c>
      <c r="AK193" t="b">
        <v>0</v>
      </c>
      <c r="AN193">
        <f>IF(OR(AG193="",AM193=""),"",IF(AG193=AM193,"SIM","NÃO"))</f>
        <v/>
      </c>
      <c r="AO193" t="inlineStr">
        <is>
          <t>CLASSIFIED_SIGNATURE</t>
        </is>
      </c>
    </row>
    <row r="194" ht="15.5" customHeight="1">
      <c r="A194" s="1" t="n"/>
      <c r="B194" s="67" t="inlineStr">
        <is>
          <t>Emilly Maria</t>
        </is>
      </c>
      <c r="C194" s="70">
        <f>VLOOKUP(I:I,'Referencias '!H:I,2,0)</f>
        <v/>
      </c>
      <c r="D194" s="129" t="n">
        <v>24433061</v>
      </c>
      <c r="E194" s="71" t="n">
        <v>0</v>
      </c>
      <c r="F194" s="72" t="n">
        <v>2618818169611</v>
      </c>
      <c r="G194" s="72">
        <f>T194</f>
        <v/>
      </c>
      <c r="H194" s="72">
        <f>TRIM(_xlfn.TEXTBEFORE(_xlfn.TEXTAFTER(U194,"CNPJ/CPF:&lt;/strong&gt;"),"&lt;/p&gt;"))</f>
        <v/>
      </c>
      <c r="I194" s="70" t="inlineStr">
        <is>
          <t>Cancelamento de Nota Fiscal</t>
        </is>
      </c>
      <c r="J194" s="72" t="n"/>
      <c r="K194" s="72" t="inlineStr">
        <is>
          <t>Comercial</t>
        </is>
      </c>
      <c r="L194" s="70" t="inlineStr">
        <is>
          <t>FINALIZADO</t>
        </is>
      </c>
      <c r="M194" s="73" t="inlineStr">
        <is>
          <t>Médio</t>
        </is>
      </c>
      <c r="N194" s="71" t="inlineStr">
        <is>
          <t>1018 Financeiro | Desejo falar com o setor financeiro | Mariane Oliveira dos Santos | mariane.santos@cielo.com.br</t>
        </is>
      </c>
      <c r="O194" s="74" t="n">
        <v>46210</v>
      </c>
      <c r="P194" s="123" t="n">
        <v>46218</v>
      </c>
      <c r="Q194" s="177">
        <f>TEXT(O194,"mmm/aaaa")</f>
        <v/>
      </c>
      <c r="R194" s="71" t="inlineStr">
        <is>
          <t>ECOMMERCE BP SUPORTE FINANCEIRO N2</t>
        </is>
      </c>
      <c r="S194" s="71" t="inlineStr">
        <is>
          <t>mariane.santos@cielo.com.br</t>
        </is>
      </c>
      <c r="T194" s="71" t="inlineStr">
        <is>
          <t>SUPER BEAL</t>
        </is>
      </c>
      <c r="U194" s="129" t="inlineStr">
        <is>
          <t>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t>
        </is>
      </c>
      <c r="V194" s="71">
        <f>IFERROR(_xlfn.TEXTBEFORE(_xlfn.TEXTAFTER(U194,"Descrição do problema:&lt;/strong"),"&lt;/p&gt;"),_xlfn.TEXTAFTER(U194,"Descrição do problema:&lt;/strong"))</f>
        <v/>
      </c>
      <c r="W194" s="76">
        <f>_xlfn.CONCAT(D194:E194)</f>
        <v/>
      </c>
      <c r="X194" s="77" t="n">
        <v>46287</v>
      </c>
      <c r="Y194" s="78">
        <f>IF(X194="","Aberto","Encerrado")</f>
        <v/>
      </c>
      <c r="Z194" s="78">
        <f>IF(OR(L194="PENDENTE",L194="EM ANDAMENTO",L194="PENDENTE APROVAÇÃO CANCELAMENTO NF"),TODAY()-O194,X194-O194)</f>
        <v/>
      </c>
      <c r="AA194" s="78">
        <f>IF(Y194="Aberto",Z194+ROW()/100000,"")</f>
        <v/>
      </c>
      <c r="AB194" s="2">
        <f>IF(ISNUMBER(FIND("@cielo.com.br",S194)),"Interno","Externo")</f>
        <v/>
      </c>
      <c r="AC194" t="inlineStr">
        <is>
          <t>Cancelar, substituir ou reemitir nota fiscal.</t>
        </is>
      </c>
      <c r="AD194" t="inlineStr">
        <is>
          <t>ACAO:CANCELAR; OBJETO:NOTA_FISCAL</t>
        </is>
      </c>
      <c r="AE194" t="inlineStr">
        <is>
          <t>Cancelamento de NF</t>
        </is>
      </c>
      <c r="AF194" t="inlineStr">
        <is>
          <t>Documento Fiscal</t>
        </is>
      </c>
      <c r="AG194" t="inlineStr">
        <is>
          <t>Cancelamento e Reemissão de Nota Fiscal</t>
        </is>
      </c>
      <c r="AI194" t="inlineStr">
        <is>
          <t>INT_NF_CANCEL_REEMISSAO</t>
        </is>
      </c>
      <c r="AJ194" t="inlineStr">
        <is>
          <t>Sugerida</t>
        </is>
      </c>
      <c r="AK194" t="b">
        <v>0</v>
      </c>
      <c r="AN194">
        <f>IF(OR(AG194="",AM194=""),"",IF(AG194=AM194,"SIM","NÃO"))</f>
        <v/>
      </c>
      <c r="AO194" t="inlineStr">
        <is>
          <t>CLASSIFIED_SIGNATURE</t>
        </is>
      </c>
    </row>
    <row r="195" ht="15.5" customHeight="1">
      <c r="A195" s="1" t="n"/>
      <c r="B195" s="67" t="inlineStr">
        <is>
          <t>Pamela de Sá</t>
        </is>
      </c>
      <c r="C195" s="70">
        <f>VLOOKUP(I:I,'Referencias '!H:I,2,0)</f>
        <v/>
      </c>
      <c r="D195" s="71" t="n">
        <v>24354227</v>
      </c>
      <c r="E195" s="71" t="n">
        <v>0</v>
      </c>
      <c r="F195" s="72" t="n">
        <v>2618714118937</v>
      </c>
      <c r="G195" s="72">
        <f>VLOOKUP(H:H,'Referencias '!B:C,2,0)</f>
        <v/>
      </c>
      <c r="H195" s="72">
        <f>TRIM(_xlfn.TEXTBEFORE(_xlfn.TEXTAFTER(U195,"CNPJ/CPF:&lt;/strong&gt;"),"&lt;/p&gt;"))</f>
        <v/>
      </c>
      <c r="I195" s="70" t="inlineStr">
        <is>
          <t>Atualização cadastral (email)</t>
        </is>
      </c>
      <c r="J195" s="72" t="n"/>
      <c r="K195" s="72" t="n"/>
      <c r="L195" s="70" t="inlineStr">
        <is>
          <t>FINALIZADO</t>
        </is>
      </c>
      <c r="M195" s="73" t="inlineStr">
        <is>
          <t>Médio</t>
        </is>
      </c>
      <c r="N195" s="71" t="inlineStr">
        <is>
          <t>1018 Financeiro | Desejo falar com o setor financeiro | Diogo Lach | diogo@appmesa.com.br</t>
        </is>
      </c>
      <c r="O195" s="74" t="n">
        <v>46209</v>
      </c>
      <c r="P195" s="123" t="n">
        <v>46218</v>
      </c>
      <c r="Q195" s="177">
        <f>TEXT(O195,"mmm/aaaa")</f>
        <v/>
      </c>
      <c r="R195" s="71" t="inlineStr">
        <is>
          <t>ECOMMERCE BP SUPORTE FINANCEIRO N2</t>
        </is>
      </c>
      <c r="S195" s="71" t="inlineStr">
        <is>
          <t>diogo@appmesa.com.br</t>
        </is>
      </c>
      <c r="T195" s="71" t="inlineStr">
        <is>
          <t>APP MESA LTDA</t>
        </is>
      </c>
      <c r="U195" s="129" t="inlineStr">
        <is>
          <t>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
Estamos recebendo as faturas (NF e Boleto) em um domínio que vamos desabilitar. O domínio que está sendo enviado é @heybill.com.br
Precisamos que seja alterado para o domínio oficial.
diogo@appmesa.com.br
rafael@appmesa.com.br
Obrigado,&lt;/p&gt;&lt;p&gt;&lt;strong&gt;GA Client ID:&lt;/strong&gt; 736288307.1781529806&lt;/p&gt;&lt;p&gt;&lt;strong&gt;Lead Hash ID:&lt;/strong&gt; 2fd3c5bcfa5730a712</t>
        </is>
      </c>
      <c r="V195" s="71">
        <f>IFERROR(_xlfn.TEXTBEFORE(_xlfn.TEXTAFTER(U195,"Descrição do problema:&lt;/strong"),"&lt;/p&gt;"),_xlfn.TEXTAFTER(U195,"Descrição do problema:&lt;/strong"))</f>
        <v/>
      </c>
      <c r="W195" s="76">
        <f>_xlfn.CONCAT(D195:E195)</f>
        <v/>
      </c>
      <c r="X195" s="77" t="n">
        <v>46240</v>
      </c>
      <c r="Y195" s="78">
        <f>IF(X195="","Aberto","Encerrado")</f>
        <v/>
      </c>
      <c r="Z195" s="78">
        <f>IF(OR(L195="PENDENTE",L195="EM ANDAMENTO",L195="PENDENTE APROVAÇÃO CANCELAMENTO NF"),TODAY()-O195,X195-O195)</f>
        <v/>
      </c>
      <c r="AA195" s="78">
        <f>IF(Y195="Aberto",Z195+ROW()/100000,"")</f>
        <v/>
      </c>
      <c r="AB195" s="2">
        <f>IF(ISNUMBER(FIND("@cielo.com.br",S195)),"Interno","Externo")</f>
        <v/>
      </c>
      <c r="AD195" t="inlineStr"/>
      <c r="AJ195" t="inlineStr">
        <is>
          <t>Sem correspondência</t>
        </is>
      </c>
      <c r="AK195" t="b">
        <v>0</v>
      </c>
      <c r="AN195">
        <f>IF(OR(AG195="",AM195=""),"",IF(AG195=AM195,"SIM","NÃO"))</f>
        <v/>
      </c>
      <c r="AO195" t="inlineStr">
        <is>
          <t>NO_PATTERN</t>
        </is>
      </c>
    </row>
    <row r="196" ht="15.5" customHeight="1">
      <c r="A196" s="1" t="n"/>
      <c r="B196" s="67" t="inlineStr">
        <is>
          <t>Fabiana Lisboa</t>
        </is>
      </c>
      <c r="C196" s="70">
        <f>VLOOKUP(I:I,'Referencias '!H:I,2,0)</f>
        <v/>
      </c>
      <c r="D196" s="71" t="n">
        <v>24137862</v>
      </c>
      <c r="E196" s="71" t="n">
        <v>0</v>
      </c>
      <c r="F196" s="72" t="n">
        <v>2618208979541</v>
      </c>
      <c r="G196" s="72">
        <f>VLOOKUP(H:H,'Referencias '!B:C,2,0)</f>
        <v/>
      </c>
      <c r="H196" s="72">
        <f>TRIM(_xlfn.TEXTBEFORE(_xlfn.TEXTAFTER(U196,"CNPJ/CPF:&lt;/strong&gt;"),"&lt;/p&gt;"))</f>
        <v/>
      </c>
      <c r="I196" s="70" t="inlineStr">
        <is>
          <t>Congelamento de contrato</t>
        </is>
      </c>
      <c r="J196" s="72" t="n"/>
      <c r="K196" s="72" t="n"/>
      <c r="L196" s="70" t="inlineStr">
        <is>
          <t>FINALIZADO</t>
        </is>
      </c>
      <c r="M196" s="73" t="inlineStr">
        <is>
          <t>Médio</t>
        </is>
      </c>
      <c r="N196" s="71" t="inlineStr">
        <is>
          <t>1018 Financeiro | Desejo falar com o setor financeiro | DENTAL S. SEBASTIAO LTDA | ariane.pasilva@cielo.com.br</t>
        </is>
      </c>
      <c r="O196" s="74" t="n">
        <v>46204</v>
      </c>
      <c r="P196" s="123" t="n">
        <v>46218</v>
      </c>
      <c r="Q196" s="177">
        <f>TEXT(O196,"mmm/aaaa")</f>
        <v/>
      </c>
      <c r="R196" s="71" t="inlineStr">
        <is>
          <t>ECOMMERCE BP SUPORTE FINANCEIRO N2</t>
        </is>
      </c>
      <c r="S196" s="71" t="inlineStr">
        <is>
          <t>ariane.pasilva@cielo.com.br</t>
        </is>
      </c>
      <c r="T196" s="71" t="inlineStr">
        <is>
          <t>DENTAL SAO SEBASTIAO</t>
        </is>
      </c>
      <c r="U196" s="71" t="inlineStr">
        <is>
          <t>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t>
        </is>
      </c>
      <c r="V196" s="71">
        <f>IFERROR(_xlfn.TEXTBEFORE(_xlfn.TEXTAFTER(U196,"Descrição do problema:&lt;/strong"),"&lt;/p&gt;"),_xlfn.TEXTAFTER(U196,"Descrição do problema:&lt;/strong"))</f>
        <v/>
      </c>
      <c r="W196" s="76">
        <f>_xlfn.CONCAT(D196:E196)</f>
        <v/>
      </c>
      <c r="X196" s="77" t="n">
        <v>46233</v>
      </c>
      <c r="Y196" s="78">
        <f>IF(X196="","Aberto","Encerrado")</f>
        <v/>
      </c>
      <c r="Z196" s="78">
        <f>IF(OR(L196="PENDENTE",L196="EM ANDAMENTO",L196="PENDENTE APROVAÇÃO CANCELAMENTO NF"),TODAY()-O196,X196-O196)</f>
        <v/>
      </c>
      <c r="AA196" s="78">
        <f>IF(Y196="Aberto",Z196+ROW()/100000,"")</f>
        <v/>
      </c>
      <c r="AB196" s="2">
        <f>IF(ISNUMBER(FIND("@cielo.com.br",S196)),"Interno","Externo")</f>
        <v/>
      </c>
      <c r="AC196" t="inlineStr">
        <is>
          <t>Congelar ou suspender temporariamente contrato ou serviço.</t>
        </is>
      </c>
      <c r="AD196" t="inlineStr">
        <is>
          <t>ACAO:SUSPENDER; OBJETO:CONTRATO; OBJETO:NOTA_FISCAL; OBJETO:SUSPENDER</t>
        </is>
      </c>
      <c r="AE196" t="inlineStr">
        <is>
          <t>Congelamento de contrato</t>
        </is>
      </c>
      <c r="AF196" t="inlineStr">
        <is>
          <t>Contrato/Cadastro</t>
        </is>
      </c>
      <c r="AG196" t="inlineStr">
        <is>
          <t>Contratos, Comercial e Cadastro</t>
        </is>
      </c>
      <c r="AI196" t="inlineStr">
        <is>
          <t>INT_CON_CONGELAMENTO</t>
        </is>
      </c>
      <c r="AJ196" t="inlineStr">
        <is>
          <t>Sugerida</t>
        </is>
      </c>
      <c r="AK196" t="b">
        <v>0</v>
      </c>
      <c r="AN196">
        <f>IF(OR(AG196="",AM196=""),"",IF(AG196=AM196,"SIM","NÃO"))</f>
        <v/>
      </c>
      <c r="AO196" t="inlineStr">
        <is>
          <t>CLASSIFIED_SIGNATURE</t>
        </is>
      </c>
    </row>
    <row r="197" ht="15.5" customHeight="1">
      <c r="A197" s="1" t="n"/>
      <c r="B197" s="67" t="inlineStr">
        <is>
          <t>Fabiana Lisboa</t>
        </is>
      </c>
      <c r="C197" s="70">
        <f>VLOOKUP(I:I,'Referencias '!H:I,2,0)</f>
        <v/>
      </c>
      <c r="D197" s="71" t="n">
        <v>24102558</v>
      </c>
      <c r="E197" s="71" t="n">
        <v>0</v>
      </c>
      <c r="F197" s="72" t="n">
        <v>2618112957235</v>
      </c>
      <c r="G197" s="72">
        <f>VLOOKUP(H:H,'Referencias '!B:C,2,0)</f>
        <v/>
      </c>
      <c r="H197" s="72">
        <f>TRIM(_xlfn.TEXTBEFORE(_xlfn.TEXTAFTER(U197,"CNPJ/CPF:&lt;/strong&gt;"),"&lt;/p&gt;"))</f>
        <v/>
      </c>
      <c r="I197" s="70" t="inlineStr">
        <is>
          <t>Prorrogação / Reenvio de boleto</t>
        </is>
      </c>
      <c r="J197" s="72" t="n"/>
      <c r="K197" s="72" t="n"/>
      <c r="L197" s="70" t="inlineStr">
        <is>
          <t>FINALIZADO</t>
        </is>
      </c>
      <c r="M197" s="73" t="inlineStr">
        <is>
          <t>Médio</t>
        </is>
      </c>
      <c r="N197" s="71" t="inlineStr">
        <is>
          <t>1018 Financeiro | Desejo falar com o setor financeiro | LARISSA RODRIGUES DE MORAES | larissa.moraes@carapreta.com.br</t>
        </is>
      </c>
      <c r="O197" s="74" t="n">
        <v>46203</v>
      </c>
      <c r="P197" s="123" t="n">
        <v>46218</v>
      </c>
      <c r="Q197" s="177">
        <f>TEXT(O197,"mmm/aaaa")</f>
        <v/>
      </c>
      <c r="R197" s="71" t="inlineStr">
        <is>
          <t>ECOMMERCE BP SUPORTE FINANCEIRO N2</t>
        </is>
      </c>
      <c r="S197" s="71" t="inlineStr">
        <is>
          <t>larissa.moraes@carapreta.com.br</t>
        </is>
      </c>
      <c r="T197" s="71" t="inlineStr"/>
      <c r="U197" s="129" t="inlineStr">
        <is>
          <t xml:space="preserve">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
Precisamos da prorrogação do </t>
        </is>
      </c>
      <c r="V197" s="71">
        <f>IFERROR(_xlfn.TEXTBEFORE(_xlfn.TEXTAFTER(U197,"Descrição do problema:&lt;/strong"),"&lt;/p&gt;"),_xlfn.TEXTAFTER(U197,"Descrição do problema:&lt;/strong"))</f>
        <v/>
      </c>
      <c r="W197" s="76">
        <f>_xlfn.CONCAT(D197:E197)</f>
        <v/>
      </c>
      <c r="X197" s="77" t="n">
        <v>46244</v>
      </c>
      <c r="Y197" s="78">
        <f>IF(X197="","Aberto","Encerrado")</f>
        <v/>
      </c>
      <c r="Z197" s="78">
        <f>IF(OR(L197="PENDENTE",L197="EM ANDAMENTO",L197="PENDENTE APROVAÇÃO CANCELAMENTO NF"),TODAY()-O197,X197-O197)</f>
        <v/>
      </c>
      <c r="AA197" s="78">
        <f>IF(Y197="Aberto",Z197+ROW()/100000,"")</f>
        <v/>
      </c>
      <c r="AB197" s="2">
        <f>IF(ISNUMBER(FIND("@cielo.com.br",S197)),"Interno","Externo")</f>
        <v/>
      </c>
      <c r="AD197" t="inlineStr">
        <is>
          <t>ACAO:CANCELAR; OBJETO:BOLETO; OBJETO:NOTA_FISCAL</t>
        </is>
      </c>
      <c r="AJ197" t="inlineStr">
        <is>
          <t>Ambígua</t>
        </is>
      </c>
      <c r="AK197" t="b">
        <v>1</v>
      </c>
      <c r="AN197">
        <f>IF(OR(AG197="",AM197=""),"",IF(AG197=AM197,"SIM","NÃO"))</f>
        <v/>
      </c>
      <c r="AO197" t="inlineStr">
        <is>
          <t>AMBIGUOUS_CAUSE</t>
        </is>
      </c>
    </row>
    <row r="198" ht="15.5" customHeight="1">
      <c r="A198" s="1" t="n"/>
      <c r="B198" s="67" t="inlineStr">
        <is>
          <t>Stephany Lima</t>
        </is>
      </c>
      <c r="C198" s="70">
        <f>VLOOKUP(I:I,'Referencias '!H:I,2,0)</f>
        <v/>
      </c>
      <c r="D198" s="71" t="n">
        <v>24643306</v>
      </c>
      <c r="E198" s="71" t="n">
        <v>24429946</v>
      </c>
      <c r="F198" s="72" t="n">
        <v>2619416306891</v>
      </c>
      <c r="G198" s="72">
        <f>T198</f>
        <v/>
      </c>
      <c r="H198" s="72" t="n"/>
      <c r="I198" s="70" t="inlineStr">
        <is>
          <t>Cancelamento de Nota Fiscal / Reemissão</t>
        </is>
      </c>
      <c r="J198" s="72" t="n"/>
      <c r="K198" s="72" t="inlineStr">
        <is>
          <t>Financeiro</t>
        </is>
      </c>
      <c r="L198" s="70" t="inlineStr">
        <is>
          <t>PENDENTE</t>
        </is>
      </c>
      <c r="M198" s="73" t="inlineStr">
        <is>
          <t>Médio</t>
        </is>
      </c>
      <c r="N198" s="71" t="inlineStr">
        <is>
          <t>Correção de NF</t>
        </is>
      </c>
      <c r="O198" s="74" t="n">
        <v>46216</v>
      </c>
      <c r="P198" s="123" t="n">
        <v>46216</v>
      </c>
      <c r="Q198" s="177">
        <f>TEXT(O198,"mmm/aaaa")</f>
        <v/>
      </c>
      <c r="R198" s="71" t="inlineStr">
        <is>
          <t>ECOMMERCE BP SUPORTE FINANCEIRO N2</t>
        </is>
      </c>
      <c r="S198" s="71" t="inlineStr"/>
      <c r="T198" s="71" t="inlineStr"/>
      <c r="U198" s="129" t="inlineStr">
        <is>
          <t>Correção de NF</t>
        </is>
      </c>
      <c r="V198" s="71">
        <f>U198</f>
        <v/>
      </c>
      <c r="W198" s="76">
        <f>_xlfn.CONCAT(D198:E198)</f>
        <v/>
      </c>
      <c r="X198" s="77" t="n"/>
      <c r="Y198" s="78">
        <f>IF(X198="","Aberto","Encerrado")</f>
        <v/>
      </c>
      <c r="Z198" s="78">
        <f>IF(OR(L198="PENDENTE",L198="EM ANDAMENTO",L198="PENDENTE APROVAÇÃO CANCELAMENTO NF"),TODAY()-O198,X198-O198)</f>
        <v/>
      </c>
      <c r="AA198" s="78">
        <f>IF(Y198="Aberto",Z198+ROW()/100000,"")</f>
        <v/>
      </c>
      <c r="AB198" s="2">
        <f>IF(ISNUMBER(FIND("@cielo.com.br",S198)),"Interno","Externo")</f>
        <v/>
      </c>
      <c r="AC198" t="inlineStr">
        <is>
          <t>Cancelar, substituir ou reemitir nota fiscal.</t>
        </is>
      </c>
      <c r="AD198" t="inlineStr">
        <is>
          <t>correção de nota fiscal; correção de nf</t>
        </is>
      </c>
      <c r="AE198" t="inlineStr">
        <is>
          <t>Cancelamento de NF</t>
        </is>
      </c>
      <c r="AF198" t="inlineStr">
        <is>
          <t>Documento Fiscal</t>
        </is>
      </c>
      <c r="AG198" t="inlineStr">
        <is>
          <t>Cancelamento e Reemissão de Nota Fiscal</t>
        </is>
      </c>
      <c r="AI198" t="inlineStr">
        <is>
          <t>INT_NF_CANCEL_REEMISSAO</t>
        </is>
      </c>
      <c r="AJ198" t="inlineStr">
        <is>
          <t>Sugerida</t>
        </is>
      </c>
      <c r="AK198" t="b">
        <v>0</v>
      </c>
      <c r="AN198">
        <f>IF(OR(AG198="",AM198=""),"",IF(AG198=AM198,"SIM","NÃO"))</f>
        <v/>
      </c>
      <c r="AO198" t="inlineStr">
        <is>
          <t>CLASSIFIED_PATTERN</t>
        </is>
      </c>
    </row>
    <row r="199" ht="15.5" customHeight="1">
      <c r="A199" s="1" t="n"/>
      <c r="B199" s="67" t="inlineStr">
        <is>
          <t>Stephany Lima</t>
        </is>
      </c>
      <c r="C199" s="70">
        <f>VLOOKUP(I:I,'Referencias '!H:I,2,0)</f>
        <v/>
      </c>
      <c r="D199" s="71" t="n">
        <v>24642439</v>
      </c>
      <c r="E199" s="71" t="n">
        <v>24475189</v>
      </c>
      <c r="F199" s="72" t="n">
        <v>2619415306333</v>
      </c>
      <c r="G199" s="72">
        <f>T199</f>
        <v/>
      </c>
      <c r="H199" s="72" t="n"/>
      <c r="I199" s="70" t="inlineStr">
        <is>
          <t>Duplicidade De Cobrança</t>
        </is>
      </c>
      <c r="J199" s="72" t="n"/>
      <c r="K199" s="72" t="n"/>
      <c r="L199" s="70" t="inlineStr">
        <is>
          <t>PENDENTE</t>
        </is>
      </c>
      <c r="M199" s="73" t="inlineStr">
        <is>
          <t>Alta</t>
        </is>
      </c>
      <c r="N199" s="71" t="inlineStr">
        <is>
          <t>Notas cobradas em duplicidade</t>
        </is>
      </c>
      <c r="O199" s="74" t="n">
        <v>46216</v>
      </c>
      <c r="P199" s="123" t="n">
        <v>46216</v>
      </c>
      <c r="Q199" s="177">
        <f>TEXT(O199,"mmm/aaaa")</f>
        <v/>
      </c>
      <c r="R199" s="71" t="inlineStr">
        <is>
          <t>ECOMMERCE BP SUPORTE FINANCEIRO N2</t>
        </is>
      </c>
      <c r="S199" s="71" t="inlineStr">
        <is>
          <t>ariane.pasilva@cielo.com.br</t>
        </is>
      </c>
      <c r="T199" s="71" t="inlineStr">
        <is>
          <t>POUSADA PORTO MARE</t>
        </is>
      </c>
      <c r="U199" s="129" t="inlineStr">
        <is>
          <t>Notas cobradas em duplicidade</t>
        </is>
      </c>
      <c r="V199" s="71">
        <f>U199</f>
        <v/>
      </c>
      <c r="W199" s="76">
        <f>_xlfn.CONCAT(D199:E199)</f>
        <v/>
      </c>
      <c r="X199" s="77" t="n"/>
      <c r="Y199" s="78">
        <f>IF(X199="","Aberto","Encerrado")</f>
        <v/>
      </c>
      <c r="Z199" s="78">
        <f>IF(OR(L199="PENDENTE",L199="EM ANDAMENTO",L199="PENDENTE APROVAÇÃO CANCELAMENTO NF"),TODAY()-O199,X199-O199)</f>
        <v/>
      </c>
      <c r="AA199" s="78">
        <f>IF(Y199="Aberto",Z199+ROW()/100000,"")</f>
        <v/>
      </c>
      <c r="AB199" s="2">
        <f>IF(ISNUMBER(FIND("@cielo.com.br",S199)),"Interno","Externo")</f>
        <v/>
      </c>
      <c r="AC199" t="inlineStr">
        <is>
          <t>Corrigir cobrança ou pagamento em duplicidade.</t>
        </is>
      </c>
      <c r="AD199" t="inlineStr">
        <is>
          <t>notas cobradas em duplicidade; notas + duplicidade</t>
        </is>
      </c>
      <c r="AE199" t="inlineStr">
        <is>
          <t>Duplicidade de cobrança</t>
        </is>
      </c>
      <c r="AF199" t="inlineStr">
        <is>
          <t>Valor Cobrado</t>
        </is>
      </c>
      <c r="AG199" t="inlineStr">
        <is>
          <t>Cobrança e Contestação</t>
        </is>
      </c>
      <c r="AI199" t="inlineStr">
        <is>
          <t>INT_COB_DUPLICIDADE</t>
        </is>
      </c>
      <c r="AJ199" t="inlineStr">
        <is>
          <t>Sugerida</t>
        </is>
      </c>
      <c r="AK199" t="b">
        <v>0</v>
      </c>
      <c r="AN199">
        <f>IF(OR(AG199="",AM199=""),"",IF(AG199=AM199,"SIM","NÃO"))</f>
        <v/>
      </c>
      <c r="AO199" t="inlineStr">
        <is>
          <t>CLASSIFIED_PATTERN</t>
        </is>
      </c>
    </row>
    <row r="200" ht="15.5" customHeight="1">
      <c r="A200" s="1" t="n"/>
      <c r="B200" s="67" t="inlineStr">
        <is>
          <t>Stephany Lima</t>
        </is>
      </c>
      <c r="C200" s="70">
        <f>VLOOKUP(I:I,'Referencias '!H:I,2,0)</f>
        <v/>
      </c>
      <c r="D200" s="71" t="n">
        <v>24640504</v>
      </c>
      <c r="E200" s="71" t="n">
        <v>24481056</v>
      </c>
      <c r="F200" s="72" t="n">
        <v>2619415305171</v>
      </c>
      <c r="G200" s="72">
        <f>T200</f>
        <v/>
      </c>
      <c r="H200" s="72" t="n"/>
      <c r="I200" s="70" t="inlineStr">
        <is>
          <t>Cancelamento de Nota Fiscal / Reemissão</t>
        </is>
      </c>
      <c r="J200" s="72" t="n"/>
      <c r="K200" s="72" t="inlineStr">
        <is>
          <t>Cliente</t>
        </is>
      </c>
      <c r="L200" s="70" t="inlineStr">
        <is>
          <t>PENDENTE</t>
        </is>
      </c>
      <c r="M200" s="73" t="inlineStr">
        <is>
          <t>Médio</t>
        </is>
      </c>
      <c r="N200" s="71" t="inlineStr">
        <is>
          <t>Substituição de NF</t>
        </is>
      </c>
      <c r="O200" s="74" t="n">
        <v>46216</v>
      </c>
      <c r="P200" s="123" t="n">
        <v>46216</v>
      </c>
      <c r="Q200" s="177">
        <f>TEXT(O200,"mmm/aaaa")</f>
        <v/>
      </c>
      <c r="R200" s="71" t="inlineStr">
        <is>
          <t>ECOMMERCE BP SUPORTE FINANCEIRO N2</t>
        </is>
      </c>
      <c r="S200" s="71" t="inlineStr"/>
      <c r="T200" s="71" t="inlineStr">
        <is>
          <t>PAGUE MENOS COMERCIO DE PRODUTOS</t>
        </is>
      </c>
      <c r="U200" s="129" t="inlineStr">
        <is>
          <t>Substituição de NF</t>
        </is>
      </c>
      <c r="V200" s="71">
        <f>U200</f>
        <v/>
      </c>
      <c r="W200" s="76">
        <f>_xlfn.CONCAT(D200:E200)</f>
        <v/>
      </c>
      <c r="X200" s="77" t="n"/>
      <c r="Y200" s="78">
        <f>IF(X200="","Aberto","Encerrado")</f>
        <v/>
      </c>
      <c r="Z200" s="78">
        <f>IF(OR(L200="PENDENTE",L200="EM ANDAMENTO",L200="PENDENTE APROVAÇÃO CANCELAMENTO NF"),TODAY()-O200,X200-O200)</f>
        <v/>
      </c>
      <c r="AA200" s="78">
        <f>IF(Y200="Aberto",Z200+ROW()/100000,"")</f>
        <v/>
      </c>
      <c r="AB200" s="2">
        <f>IF(ISNUMBER(FIND("@cielo.com.br",S200)),"Interno","Externo")</f>
        <v/>
      </c>
      <c r="AC200" t="inlineStr">
        <is>
          <t>Cancelar, substituir ou reemitir nota fiscal.</t>
        </is>
      </c>
      <c r="AD200" t="inlineStr">
        <is>
          <t>ACAO:SUBSTITUIR; OBJETO:NOTA_FISCAL</t>
        </is>
      </c>
      <c r="AE200" t="inlineStr">
        <is>
          <t>Cancelamento de NF</t>
        </is>
      </c>
      <c r="AF200" t="inlineStr">
        <is>
          <t>Documento Fiscal</t>
        </is>
      </c>
      <c r="AG200" t="inlineStr">
        <is>
          <t>Cancelamento e Reemissão de Nota Fiscal</t>
        </is>
      </c>
      <c r="AI200" t="inlineStr">
        <is>
          <t>INT_NF_CANCEL_REEMISSAO</t>
        </is>
      </c>
      <c r="AJ200" t="inlineStr">
        <is>
          <t>Sugerida</t>
        </is>
      </c>
      <c r="AK200" t="b">
        <v>0</v>
      </c>
      <c r="AN200">
        <f>IF(OR(AG200="",AM200=""),"",IF(AG200=AM200,"SIM","NÃO"))</f>
        <v/>
      </c>
      <c r="AO200" t="inlineStr">
        <is>
          <t>CLASSIFIED_SIGNATURE</t>
        </is>
      </c>
    </row>
    <row r="201" ht="15.5" customHeight="1">
      <c r="A201" s="1" t="n"/>
      <c r="B201" s="67" t="inlineStr">
        <is>
          <t>Stephany Lima</t>
        </is>
      </c>
      <c r="C201" s="70">
        <f>VLOOKUP(I:I,'Referencias '!H:I,2,0)</f>
        <v/>
      </c>
      <c r="D201" s="71" t="n">
        <v>24638627</v>
      </c>
      <c r="E201" s="71" t="n">
        <v>24481840</v>
      </c>
      <c r="F201" s="72" t="n">
        <v>2619415303909</v>
      </c>
      <c r="G201" s="72">
        <f>T201</f>
        <v/>
      </c>
      <c r="H201" s="72" t="n"/>
      <c r="I201" s="70" t="inlineStr">
        <is>
          <t>Cancelamento de Nota Fiscal / Reemissão</t>
        </is>
      </c>
      <c r="J201" s="72" t="n"/>
      <c r="K201" s="72" t="inlineStr">
        <is>
          <t>Cliente</t>
        </is>
      </c>
      <c r="L201" s="70" t="inlineStr">
        <is>
          <t>PENDENTE</t>
        </is>
      </c>
      <c r="M201" s="73" t="inlineStr">
        <is>
          <t>Médio</t>
        </is>
      </c>
      <c r="N201" s="71" t="inlineStr">
        <is>
          <t>Substituição de nota</t>
        </is>
      </c>
      <c r="O201" s="74" t="n">
        <v>46216</v>
      </c>
      <c r="P201" s="123" t="n">
        <v>46216</v>
      </c>
      <c r="Q201" s="177">
        <f>TEXT(O201,"mmm/aaaa")</f>
        <v/>
      </c>
      <c r="R201" s="71" t="inlineStr">
        <is>
          <t>ECOMMERCE BP SUPORTE FINANCEIRO N2</t>
        </is>
      </c>
      <c r="S201" s="71" t="inlineStr"/>
      <c r="T201" s="71" t="inlineStr"/>
      <c r="U201" s="129" t="inlineStr">
        <is>
          <t>Substituição de nota</t>
        </is>
      </c>
      <c r="V201" s="71">
        <f>U201</f>
        <v/>
      </c>
      <c r="W201" s="76">
        <f>_xlfn.CONCAT(D201:E201)</f>
        <v/>
      </c>
      <c r="X201" s="77" t="n"/>
      <c r="Y201" s="78">
        <f>IF(X201="","Aberto","Encerrado")</f>
        <v/>
      </c>
      <c r="Z201" s="78">
        <f>IF(OR(L201="PENDENTE",L201="EM ANDAMENTO",L201="PENDENTE APROVAÇÃO CANCELAMENTO NF"),TODAY()-O201,X201-O201)</f>
        <v/>
      </c>
      <c r="AA201" s="78">
        <f>IF(Y201="Aberto",Z201+ROW()/100000,"")</f>
        <v/>
      </c>
      <c r="AB201" s="2">
        <f>IF(ISNUMBER(FIND("@cielo.com.br",S201)),"Interno","Externo")</f>
        <v/>
      </c>
      <c r="AC201" t="inlineStr">
        <is>
          <t>Cancelar, substituir ou reemitir nota fiscal.</t>
        </is>
      </c>
      <c r="AD201" t="inlineStr">
        <is>
          <t>substituição de nota</t>
        </is>
      </c>
      <c r="AE201" t="inlineStr">
        <is>
          <t>Cancelamento de NF</t>
        </is>
      </c>
      <c r="AF201" t="inlineStr">
        <is>
          <t>Documento Fiscal</t>
        </is>
      </c>
      <c r="AG201" t="inlineStr">
        <is>
          <t>Cancelamento e Reemissão de Nota Fiscal</t>
        </is>
      </c>
      <c r="AI201" t="inlineStr">
        <is>
          <t>INT_NF_CANCEL_REEMISSAO</t>
        </is>
      </c>
      <c r="AJ201" t="inlineStr">
        <is>
          <t>Sugerida</t>
        </is>
      </c>
      <c r="AK201" t="b">
        <v>0</v>
      </c>
      <c r="AN201">
        <f>IF(OR(AG201="",AM201=""),"",IF(AG201=AM201,"SIM","NÃO"))</f>
        <v/>
      </c>
      <c r="AO201" t="inlineStr">
        <is>
          <t>CLASSIFIED_PATTERN</t>
        </is>
      </c>
    </row>
    <row r="202" ht="15.5" customHeight="1">
      <c r="A202" s="1" t="n"/>
      <c r="B202" s="67" t="inlineStr">
        <is>
          <t>Amanda Silva</t>
        </is>
      </c>
      <c r="C202" s="70">
        <f>VLOOKUP(I:I,'Referencias '!H:I,2,0)</f>
        <v/>
      </c>
      <c r="D202" s="71" t="n">
        <v>23794591</v>
      </c>
      <c r="E202" s="71" t="n">
        <v>0</v>
      </c>
      <c r="F202" s="72" t="n">
        <v>2617314761933</v>
      </c>
      <c r="G202" s="72">
        <f>VLOOKUP(H:H,'Referencias '!B:C,2,0)</f>
        <v/>
      </c>
      <c r="H202" s="72">
        <f>TRIM(_xlfn.TEXTBEFORE(_xlfn.TEXTAFTER(U202,"CNPJ/CPF:&lt;/strong&gt;"),"&lt;/p&gt;"))</f>
        <v/>
      </c>
      <c r="I202" s="70" t="inlineStr">
        <is>
          <t>Informação sobre forma de pagamento</t>
        </is>
      </c>
      <c r="J202" s="72" t="n"/>
      <c r="K202" s="72" t="n"/>
      <c r="L202" s="70" t="inlineStr">
        <is>
          <t>PENDENTE</t>
        </is>
      </c>
      <c r="M202" s="73" t="inlineStr">
        <is>
          <t>Médio</t>
        </is>
      </c>
      <c r="N202" s="71" t="inlineStr">
        <is>
          <t>1018 Financeiro | Desejo falar com o setor financeiro | Ana Paula Barbosa | ana.barbosa@superfestval.com.br</t>
        </is>
      </c>
      <c r="O202" s="74" t="n">
        <v>46195</v>
      </c>
      <c r="P202" s="123" t="n">
        <v>46218</v>
      </c>
      <c r="Q202" s="177">
        <f>TEXT(O202,"mmm/aaaa")</f>
        <v/>
      </c>
      <c r="R202" s="71" t="inlineStr">
        <is>
          <t>ECOMMERCE BP SUPORTE FINANCEIRO N2</t>
        </is>
      </c>
      <c r="S202" s="71" t="inlineStr">
        <is>
          <t>ana.barbosa@superfestval.com.br</t>
        </is>
      </c>
      <c r="T202" s="71" t="inlineStr">
        <is>
          <t>SUPER FESTVAL</t>
        </is>
      </c>
      <c r="U202" s="129" t="inlineStr">
        <is>
          <t>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Preciso que seja alterado de boleto para depósito em conta.
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t>
        </is>
      </c>
      <c r="V202" s="71">
        <f>IFERROR(_xlfn.TEXTBEFORE(_xlfn.TEXTAFTER(U202,"Descrição do problema:&lt;/strong"),"&lt;/p&gt;"),_xlfn.TEXTAFTER(U202,"Descrição do problema:&lt;/strong"))</f>
        <v/>
      </c>
      <c r="W202" s="76">
        <f>_xlfn.CONCAT(D202:E202)</f>
        <v/>
      </c>
      <c r="X202" s="77" t="n"/>
      <c r="Y202" s="78">
        <f>IF(X202="","Aberto","Encerrado")</f>
        <v/>
      </c>
      <c r="Z202" s="78">
        <f>IF(OR(L202="PENDENTE",L202="EM ANDAMENTO",L202="PENDENTE APROVAÇÃO CANCELAMENTO NF"),TODAY()-O202,X202-O202)</f>
        <v/>
      </c>
      <c r="AA202" s="78">
        <f>IF(Y202="Aberto",Z202+ROW()/100000,"")</f>
        <v/>
      </c>
      <c r="AB202" s="2">
        <f>IF(ISNUMBER(FIND("@cielo.com.br",S202)),"Interno","Externo")</f>
        <v/>
      </c>
      <c r="AC202" t="inlineStr">
        <is>
          <t>Alterar conta, domicílio ou forma de recebimento.</t>
        </is>
      </c>
      <c r="AD202" t="inlineStr">
        <is>
          <t>mudando a forma de pagamento</t>
        </is>
      </c>
      <c r="AE202" t="inlineStr">
        <is>
          <t>Troca de conta para depósito</t>
        </is>
      </c>
      <c r="AF202" t="inlineStr">
        <is>
          <t>Título Financeiro</t>
        </is>
      </c>
      <c r="AG202" t="inlineStr">
        <is>
          <t>Pagamentos, Boletos e Recebimentos</t>
        </is>
      </c>
      <c r="AI202" t="inlineStr">
        <is>
          <t>INT_PAG_CONTA</t>
        </is>
      </c>
      <c r="AJ202" t="inlineStr">
        <is>
          <t>Sugerida</t>
        </is>
      </c>
      <c r="AK202" t="b">
        <v>0</v>
      </c>
      <c r="AN202">
        <f>IF(OR(AG202="",AM202=""),"",IF(AG202=AM202,"SIM","NÃO"))</f>
        <v/>
      </c>
      <c r="AO202" t="inlineStr">
        <is>
          <t>CLASSIFIED_PATTERN</t>
        </is>
      </c>
    </row>
    <row r="203" ht="15.5" customHeight="1">
      <c r="A203" s="1" t="n"/>
      <c r="B203" s="67" t="inlineStr">
        <is>
          <t>Emilly Maria</t>
        </is>
      </c>
      <c r="C203" s="70">
        <f>VLOOKUP(I:I,'Referencias '!H:I,2,0)</f>
        <v/>
      </c>
      <c r="D203" s="71" t="n">
        <v>23788626</v>
      </c>
      <c r="E203" s="71" t="n">
        <v>0</v>
      </c>
      <c r="F203" s="72" t="n">
        <v>2617313757986</v>
      </c>
      <c r="G203" s="72">
        <f>VLOOKUP(H:H,'Referencias '!B:C,2,0)</f>
        <v/>
      </c>
      <c r="H203" s="72">
        <f>TRIM(_xlfn.TEXTBEFORE(_xlfn.TEXTAFTER(U203,"CNPJ/CPF:&lt;/strong&gt;"),"&lt;/p&gt;"))</f>
        <v/>
      </c>
      <c r="I203" s="70" t="inlineStr">
        <is>
          <t>Cancelamento de NF / reemissão</t>
        </is>
      </c>
      <c r="J203" s="72" t="n"/>
      <c r="K203" s="72" t="n"/>
      <c r="L203" s="70" t="inlineStr">
        <is>
          <t>FINALIZADO</t>
        </is>
      </c>
      <c r="M203" s="73" t="inlineStr">
        <is>
          <t>Médio</t>
        </is>
      </c>
      <c r="N203" s="71" t="inlineStr">
        <is>
          <t>1018 Financeiro | Desejo falar com o setor financeiro | Giulia | giuliac@cielo.com.br</t>
        </is>
      </c>
      <c r="O203" s="74" t="n">
        <v>46195</v>
      </c>
      <c r="P203" s="123" t="n">
        <v>46218</v>
      </c>
      <c r="Q203" s="177">
        <f>TEXT(O203,"mmm/aaaa")</f>
        <v/>
      </c>
      <c r="R203" s="71" t="inlineStr">
        <is>
          <t>ECOMMERCE BP SUPORTE FINANCEIRO N2</t>
        </is>
      </c>
      <c r="S203" s="71" t="inlineStr">
        <is>
          <t>giuliac@cielo.com.br</t>
        </is>
      </c>
      <c r="T203" s="71" t="inlineStr">
        <is>
          <t>GOODSTORAGE HOLDING PARTICIPACOES SA</t>
        </is>
      </c>
      <c r="U203" s="129" t="inlineStr">
        <is>
          <t>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CNPJ:18.897.459/0001-03
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
Os boletos estão vindo corretos, mas as notas não.  Preciso então que as notas de 2026 sejam canceladas e reemitidas considerando o praz</t>
        </is>
      </c>
      <c r="V203" s="71">
        <f>IFERROR(_xlfn.TEXTBEFORE(_xlfn.TEXTAFTER(U203,"Descrição do problema:&lt;/strong"),"&lt;/p&gt;"),_xlfn.TEXTAFTER(U203,"Descrição do problema:&lt;/strong"))</f>
        <v/>
      </c>
      <c r="W203" s="76">
        <f>_xlfn.CONCAT(D203:E203)</f>
        <v/>
      </c>
      <c r="X203" s="77" t="n">
        <v>46288</v>
      </c>
      <c r="Y203" s="78">
        <f>IF(X203="","Aberto","Encerrado")</f>
        <v/>
      </c>
      <c r="Z203" s="78">
        <f>IF(OR(L203="PENDENTE",L203="EM ANDAMENTO",L203="PENDENTE APROVAÇÃO CANCELAMENTO NF"),TODAY()-O203,X203-O203)</f>
        <v/>
      </c>
      <c r="AA203" s="78">
        <f>IF(Y203="Aberto",Z203+ROW()/100000,"")</f>
        <v/>
      </c>
      <c r="AB203" s="2">
        <f>IF(ISNUMBER(FIND("@cielo.com.br",S203)),"Interno","Externo")</f>
        <v/>
      </c>
      <c r="AD203" t="inlineStr"/>
      <c r="AJ203" t="inlineStr">
        <is>
          <t>Sem correspondência</t>
        </is>
      </c>
      <c r="AK203" t="b">
        <v>0</v>
      </c>
      <c r="AN203">
        <f>IF(OR(AG203="",AM203=""),"",IF(AG203=AM203,"SIM","NÃO"))</f>
        <v/>
      </c>
      <c r="AO203" t="inlineStr">
        <is>
          <t>NO_PATTERN</t>
        </is>
      </c>
    </row>
    <row r="204" ht="15.5" customHeight="1">
      <c r="A204" s="1" t="n"/>
      <c r="B204" s="67" t="inlineStr">
        <is>
          <t>Fabiana Lisboa</t>
        </is>
      </c>
      <c r="C204" s="70">
        <f>VLOOKUP(I:I,'Referencias '!H:I,2,0)</f>
        <v/>
      </c>
      <c r="D204" s="71" t="n">
        <v>23763676</v>
      </c>
      <c r="E204" s="71" t="n">
        <v>0</v>
      </c>
      <c r="F204" s="72" t="n">
        <v>2617309741839</v>
      </c>
      <c r="G204" s="72">
        <f>VLOOKUP(H:H,'Referencias '!B:C,2,0)</f>
        <v/>
      </c>
      <c r="H204" s="72">
        <f>TRIM(_xlfn.TEXTBEFORE(_xlfn.TEXTAFTER(U204,"CNPJ/CPF:&lt;/strong&gt;"),"&lt;/p&gt;"))</f>
        <v/>
      </c>
      <c r="I204" s="70" t="inlineStr">
        <is>
          <t>Atualização cadastral (email)</t>
        </is>
      </c>
      <c r="J204" s="72" t="n"/>
      <c r="K204" s="72" t="n"/>
      <c r="L204" s="70" t="inlineStr">
        <is>
          <t>FINALIZADO</t>
        </is>
      </c>
      <c r="M204" s="73" t="inlineStr">
        <is>
          <t>Médio</t>
        </is>
      </c>
      <c r="N204" s="71" t="inlineStr">
        <is>
          <t>1018 Financeiro | Desejo falar com o setor financeiro | Alessandro Dos santos pinheiro | Alessandro.pinheiro@grupoaldo.com.br</t>
        </is>
      </c>
      <c r="O204" s="74" t="n">
        <v>46195</v>
      </c>
      <c r="P204" s="123" t="n">
        <v>46218</v>
      </c>
      <c r="Q204" s="177">
        <f>TEXT(O204,"mmm/aaaa")</f>
        <v/>
      </c>
      <c r="R204" s="71" t="inlineStr">
        <is>
          <t>ECOMMERCE BP SUPORTE FINANCEIRO N2</t>
        </is>
      </c>
      <c r="S204" s="71" t="inlineStr">
        <is>
          <t>alessandro.pinheiro@grupoaldo.com.br</t>
        </is>
      </c>
      <c r="T204" s="71" t="inlineStr">
        <is>
          <t>ALDO MAIS SERVICOS ADMINISTRATIVOS LTDA</t>
        </is>
      </c>
      <c r="U204" s="129" t="inlineStr">
        <is>
          <t>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t>
        </is>
      </c>
      <c r="V204" s="71">
        <f>IFERROR(_xlfn.TEXTBEFORE(_xlfn.TEXTAFTER(U204,"Descrição do problema:&lt;/strong"),"&lt;/p&gt;"),_xlfn.TEXTAFTER(U204,"Descrição do problema:&lt;/strong"))</f>
        <v/>
      </c>
      <c r="W204" s="76">
        <f>_xlfn.CONCAT(D204:E204)</f>
        <v/>
      </c>
      <c r="X204" s="77" t="n">
        <v>46240</v>
      </c>
      <c r="Y204" s="78">
        <f>IF(X204="","Aberto","Encerrado")</f>
        <v/>
      </c>
      <c r="Z204" s="78">
        <f>IF(OR(L204="PENDENTE",L204="EM ANDAMENTO",L204="PENDENTE APROVAÇÃO CANCELAMENTO NF"),TODAY()-O204,X204-O204)</f>
        <v/>
      </c>
      <c r="AA204" s="78">
        <f>IF(Y204="Aberto",Z204+ROW()/100000,"")</f>
        <v/>
      </c>
      <c r="AB204" s="2">
        <f>IF(ISNUMBER(FIND("@cielo.com.br",S204)),"Interno","Externo")</f>
        <v/>
      </c>
      <c r="AC204" t="inlineStr">
        <is>
          <t>Atualizar dados cadastrais, e-mail ou telefone.</t>
        </is>
      </c>
      <c r="AD204" t="inlineStr">
        <is>
          <t>cadastrar novos emails</t>
        </is>
      </c>
      <c r="AE204" t="inlineStr">
        <is>
          <t>Atualização cadastral</t>
        </is>
      </c>
      <c r="AF204" t="inlineStr">
        <is>
          <t>Contrato/Cadastro</t>
        </is>
      </c>
      <c r="AG204" t="inlineStr">
        <is>
          <t>Contratos, Comercial e Cadastro</t>
        </is>
      </c>
      <c r="AI204" t="inlineStr">
        <is>
          <t>INT_CON_CADASTRO</t>
        </is>
      </c>
      <c r="AJ204" t="inlineStr">
        <is>
          <t>Sugerida</t>
        </is>
      </c>
      <c r="AK204" t="b">
        <v>0</v>
      </c>
      <c r="AN204">
        <f>IF(OR(AG204="",AM204=""),"",IF(AG204=AM204,"SIM","NÃO"))</f>
        <v/>
      </c>
      <c r="AO204" t="inlineStr">
        <is>
          <t>CLASSIFIED_PATTERN</t>
        </is>
      </c>
    </row>
    <row r="205" ht="15.5" customHeight="1">
      <c r="A205" s="1" t="n"/>
      <c r="B205" s="67" t="inlineStr">
        <is>
          <t>Stephany Lima</t>
        </is>
      </c>
      <c r="C205" s="70">
        <f>VLOOKUP(I:I,'Referencias '!H:I,2,0)</f>
        <v/>
      </c>
      <c r="D205" s="71" t="n">
        <v>24610762</v>
      </c>
      <c r="E205" s="71" t="n">
        <v>0</v>
      </c>
      <c r="F205" s="72" t="n">
        <v>2619410286276</v>
      </c>
      <c r="G205" s="72">
        <f>T205</f>
        <v/>
      </c>
      <c r="H205" s="72">
        <f>TRIM(_xlfn.TEXTBEFORE(_xlfn.TEXTAFTER(U205,"CNPJ/CPF:&lt;/strong&gt;"),"&lt;/p&gt;"))</f>
        <v/>
      </c>
      <c r="I205" s="70" t="inlineStr">
        <is>
          <t>Cancelamento de Nota Fiscal</t>
        </is>
      </c>
      <c r="J205" s="72" t="n"/>
      <c r="K205" s="72" t="inlineStr">
        <is>
          <t>Comercial</t>
        </is>
      </c>
      <c r="L205" s="70" t="inlineStr">
        <is>
          <t>PENDENTE</t>
        </is>
      </c>
      <c r="M205" s="73" t="inlineStr">
        <is>
          <t>Médio</t>
        </is>
      </c>
      <c r="N205" s="71" t="inlineStr">
        <is>
          <t>1018 Financeiro | Desejo falar com o setor financeiro | FG DROGARIA LTDA | ariane.pasilva@cielo.com.br</t>
        </is>
      </c>
      <c r="O205" s="74" t="n">
        <v>46216</v>
      </c>
      <c r="P205" s="123" t="n">
        <v>46218</v>
      </c>
      <c r="Q205" s="177">
        <f>TEXT(O205,"mmm/aaaa")</f>
        <v/>
      </c>
      <c r="R205" s="71" t="inlineStr">
        <is>
          <t>ECOMMERCE BP SUPORTE FINANCEIRO N2</t>
        </is>
      </c>
      <c r="S205" s="71" t="inlineStr">
        <is>
          <t>ariane.pasilva@cielo.com.br</t>
        </is>
      </c>
      <c r="T205" s="71" t="inlineStr">
        <is>
          <t>FG DROGARIA LTDA</t>
        </is>
      </c>
      <c r="U205" s="129" t="inlineStr">
        <is>
          <t>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
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t>
        </is>
      </c>
      <c r="V205" s="71">
        <f>IFERROR(_xlfn.TEXTBEFORE(_xlfn.TEXTAFTER(U205,"Descrição do problema:&lt;/strong"),"&lt;/p&gt;"),_xlfn.TEXTAFTER(U205,"Descrição do problema:&lt;/strong"))</f>
        <v/>
      </c>
      <c r="W205" s="76">
        <f>_xlfn.CONCAT(D205:E205)</f>
        <v/>
      </c>
      <c r="X205" s="77" t="n"/>
      <c r="Y205" s="78">
        <f>IF(X205="","Aberto","Encerrado")</f>
        <v/>
      </c>
      <c r="Z205" s="78">
        <f>IF(OR(L205="PENDENTE",L205="EM ANDAMENTO",L205="PENDENTE APROVAÇÃO CANCELAMENTO NF"),TODAY()-O205,X205-O205)</f>
        <v/>
      </c>
      <c r="AA205" s="78">
        <f>IF(Y205="Aberto",Z205+ROW()/100000,"")</f>
        <v/>
      </c>
      <c r="AB205" s="2">
        <f>IF(ISNUMBER(FIND("@cielo.com.br",S205)),"Interno","Externo")</f>
        <v/>
      </c>
      <c r="AC205" t="inlineStr">
        <is>
          <t>Cancelar, substituir ou reemitir nota fiscal.</t>
        </is>
      </c>
      <c r="AD205" t="inlineStr">
        <is>
          <t>ACAO:CANCELAR; OBJETO:NOTA_FISCAL</t>
        </is>
      </c>
      <c r="AE205" t="inlineStr">
        <is>
          <t>Cancelamento de NF</t>
        </is>
      </c>
      <c r="AF205" t="inlineStr">
        <is>
          <t>Documento Fiscal</t>
        </is>
      </c>
      <c r="AG205" t="inlineStr">
        <is>
          <t>Cancelamento e Reemissão de Nota Fiscal</t>
        </is>
      </c>
      <c r="AI205" t="inlineStr">
        <is>
          <t>INT_NF_CANCEL_REEMISSAO</t>
        </is>
      </c>
      <c r="AJ205" t="inlineStr">
        <is>
          <t>Sugerida</t>
        </is>
      </c>
      <c r="AK205" t="b">
        <v>0</v>
      </c>
      <c r="AN205">
        <f>IF(OR(AG205="",AM205=""),"",IF(AG205=AM205,"SIM","NÃO"))</f>
        <v/>
      </c>
      <c r="AO205" t="inlineStr">
        <is>
          <t>CLASSIFIED_SIGNATURE</t>
        </is>
      </c>
    </row>
    <row r="206" ht="15.5" customHeight="1">
      <c r="A206" s="1" t="n"/>
      <c r="B206" s="67" t="inlineStr">
        <is>
          <t>Emilly Maria</t>
        </is>
      </c>
      <c r="C206" s="70">
        <f>VLOOKUP(I:I,'Referencias '!H:I,2,0)</f>
        <v/>
      </c>
      <c r="D206" s="71" t="n">
        <v>23663601</v>
      </c>
      <c r="E206" s="71" t="n">
        <v>0</v>
      </c>
      <c r="F206" s="72" t="n">
        <v>2616911676297</v>
      </c>
      <c r="G206" s="72">
        <f>T206</f>
        <v/>
      </c>
      <c r="H206" s="72">
        <f>TRIM(_xlfn.TEXTBEFORE(_xlfn.TEXTAFTER(U206,"CNPJ/CPF:&lt;/strong&gt;"),"&lt;/p&gt;"))</f>
        <v/>
      </c>
      <c r="I206" s="70" t="inlineStr">
        <is>
          <t>Reemissão de NF (incluir PO)</t>
        </is>
      </c>
      <c r="J206" s="72" t="n"/>
      <c r="K206" s="72" t="n"/>
      <c r="L206" s="70" t="inlineStr">
        <is>
          <t>FINALIZADO</t>
        </is>
      </c>
      <c r="M206" s="73" t="inlineStr">
        <is>
          <t>Médio</t>
        </is>
      </c>
      <c r="N206" s="71" t="inlineStr">
        <is>
          <t>1018 Financeiro | Desejo falar com o setor financeiro | Sara Ordeno | sara.maozita@dasa.com.br</t>
        </is>
      </c>
      <c r="O206" s="74" t="n">
        <v>46191</v>
      </c>
      <c r="P206" s="123" t="n">
        <v>46218</v>
      </c>
      <c r="Q206" s="177">
        <f>TEXT(O206,"mmm/aaaa")</f>
        <v/>
      </c>
      <c r="R206" s="71" t="inlineStr">
        <is>
          <t>ECOMMERCE BP SUPORTE FINANCEIRO N2</t>
        </is>
      </c>
      <c r="S206" s="71" t="inlineStr">
        <is>
          <t>sara.maozita@dasa.com.br</t>
        </is>
      </c>
      <c r="T206" s="71" t="inlineStr"/>
      <c r="U206" s="129" t="inlineStr">
        <is>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
No último chamado não tivemos retorno, por gentileza precisamos da substituição das NFS:
NF 110104
NF 109897
NF 112023
NF 112258
NF 114407
Inserir o pedido: C000617754&lt;/p&gt;&lt;p&gt;&lt;strong&gt;ID da transação:&lt;/strong&gt; x&lt;/p&gt;&lt;p&gt;&lt;strong&gt;Código do erro:&lt;/strong&gt; x&lt;/p&gt;&lt;p&gt;&lt;strong&gt;Data e hora do erro:&lt;/strong&gt; 18-06-2026 11:21&lt;/p&gt;&lt;p&gt;&lt;strong&gt;GA Client ID:&lt;/strong&gt; &lt;/p&gt;&lt;p&gt;&lt;strong&gt;Lead Hash ID:&lt;/strong&gt;</t>
        </is>
      </c>
      <c r="V206" s="71">
        <f>IFERROR(_xlfn.TEXTBEFORE(_xlfn.TEXTAFTER(U206,"Descrição do problema:&lt;/strong"),"&lt;/p&gt;"),_xlfn.TEXTAFTER(U206,"Descrição do problema:&lt;/strong"))</f>
        <v/>
      </c>
      <c r="W206" s="76">
        <f>_xlfn.CONCAT(D206:E206)</f>
        <v/>
      </c>
      <c r="X206" s="77" t="n">
        <v>46260</v>
      </c>
      <c r="Y206" s="78">
        <f>IF(X206="","Aberto","Encerrado")</f>
        <v/>
      </c>
      <c r="Z206" s="78">
        <f>IF(OR(L206="PENDENTE",L206="EM ANDAMENTO",L206="PENDENTE APROVAÇÃO CANCELAMENTO NF"),TODAY()-O206,X206-O206)</f>
        <v/>
      </c>
      <c r="AA206" s="78">
        <f>IF(Y206="Aberto",Z206+ROW()/100000,"")</f>
        <v/>
      </c>
      <c r="AB206" s="2">
        <f>IF(ISNUMBER(FIND("@cielo.com.br",S206)),"Interno","Externo")</f>
        <v/>
      </c>
      <c r="AC206" t="inlineStr">
        <is>
          <t>Cancelar, substituir ou reemitir nota fiscal.</t>
        </is>
      </c>
      <c r="AD206" t="inlineStr">
        <is>
          <t>ACAO:SUBSTITUIR; OBJETO:NOTA_FISCAL</t>
        </is>
      </c>
      <c r="AE206" t="inlineStr">
        <is>
          <t>Cancelamento de NF</t>
        </is>
      </c>
      <c r="AF206" t="inlineStr">
        <is>
          <t>Documento Fiscal</t>
        </is>
      </c>
      <c r="AG206" t="inlineStr">
        <is>
          <t>Cancelamento e Reemissão de Nota Fiscal</t>
        </is>
      </c>
      <c r="AI206" t="inlineStr">
        <is>
          <t>INT_NF_CANCEL_REEMISSAO</t>
        </is>
      </c>
      <c r="AJ206" t="inlineStr">
        <is>
          <t>Sugerida</t>
        </is>
      </c>
      <c r="AK206" t="b">
        <v>0</v>
      </c>
      <c r="AN206">
        <f>IF(OR(AG206="",AM206=""),"",IF(AG206=AM206,"SIM","NÃO"))</f>
        <v/>
      </c>
      <c r="AO206" t="inlineStr">
        <is>
          <t>CLASSIFIED_SIGNATURE</t>
        </is>
      </c>
    </row>
    <row r="207" ht="15.5" customHeight="1">
      <c r="A207" s="1" t="n"/>
      <c r="B207" s="67" t="inlineStr">
        <is>
          <t>Vanessa Araujo</t>
        </is>
      </c>
      <c r="C207" s="70">
        <f>VLOOKUP(I:I,'Referencias '!H:I,2,0)</f>
        <v/>
      </c>
      <c r="D207" s="129" t="n">
        <v>23622236</v>
      </c>
      <c r="E207" s="71" t="n">
        <v>0</v>
      </c>
      <c r="F207" s="72" t="n">
        <v>2616814648438</v>
      </c>
      <c r="G207" s="72">
        <f>VLOOKUP(H:H,'Referencias '!B:C,2,0)</f>
        <v/>
      </c>
      <c r="H207" s="72">
        <f>TRIM(_xlfn.TEXTBEFORE(_xlfn.TEXTAFTER(U207,"CNPJ/CPF:&lt;/strong&gt;"),"&lt;/p&gt;"))</f>
        <v/>
      </c>
      <c r="I207" s="70" t="inlineStr">
        <is>
          <t>Confirmação Dados Fatura</t>
        </is>
      </c>
      <c r="J207" s="72" t="n"/>
      <c r="K207" s="72" t="n"/>
      <c r="L207" s="70" t="inlineStr">
        <is>
          <t>FINALIZADO</t>
        </is>
      </c>
      <c r="M207" s="73" t="inlineStr">
        <is>
          <t>Médio</t>
        </is>
      </c>
      <c r="N207" s="71" t="inlineStr">
        <is>
          <t>1017 Comercial | Desejo falar com a área de vendas | Jessica Ferreira | jessica.ferreira@metlife.com</t>
        </is>
      </c>
      <c r="O207" s="74" t="n">
        <v>46190</v>
      </c>
      <c r="P207" s="123" t="n">
        <v>46218</v>
      </c>
      <c r="Q207" s="177">
        <f>TEXT(O207,"mmm/aaaa")</f>
        <v/>
      </c>
      <c r="R207" s="71" t="inlineStr">
        <is>
          <t>ECOMMERCE BP SUPORTE FINANCEIRO N2</t>
        </is>
      </c>
      <c r="S207" s="71" t="inlineStr">
        <is>
          <t>jessica.ferreira@metlife.com</t>
        </is>
      </c>
      <c r="T207" s="71" t="inlineStr"/>
      <c r="U207" s="129" t="inlineStr">
        <is>
          <t>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
Gostaria de confirmar como esta hoje o nome de Fatura da Metlife para os ramos Vida e Dental.
cnpj :
02.102.498/0001-29 - Vida
03273825000178 - Odonto&lt;/p&gt;&lt;p&gt;&lt;strong&gt;GA Client ID:&lt;/strong&gt; 606104812.1781715524&lt;/p&gt;&lt;p&gt;&lt;strong&gt;Lead Hash ID:&lt;/strong&gt; 883a99c546172acc1dd8af3aaae75afaacbe9444c9df975d63d67d01d2d73677&lt;/p&gt;&lt;p&gt;&lt;strong&gt;Lead Form ID:&lt;/strong&gt; 883a99c546172acc1dd8af3aa</t>
        </is>
      </c>
      <c r="V207" s="71">
        <f>IFERROR(_xlfn.TEXTBEFORE(_xlfn.TEXTAFTER(U207,"Descrição do problema:&lt;/strong"),"&lt;/p&gt;"),_xlfn.TEXTAFTER(U207,"Descrição do problema:&lt;/strong"))</f>
        <v/>
      </c>
      <c r="W207" s="76">
        <f>_xlfn.CONCAT(D207:E207)</f>
        <v/>
      </c>
      <c r="X207" s="77" t="n">
        <v>46245</v>
      </c>
      <c r="Y207" s="78">
        <f>IF(X207="","Aberto","Encerrado")</f>
        <v/>
      </c>
      <c r="Z207" s="78">
        <f>IF(OR(L207="PENDENTE",L207="EM ANDAMENTO",L207="PENDENTE APROVAÇÃO CANCELAMENTO NF"),TODAY()-O207,X207-O207)</f>
        <v/>
      </c>
      <c r="AA207" s="78">
        <f>IF(Y207="Aberto",Z207+ROW()/100000,"")</f>
        <v/>
      </c>
      <c r="AB207" s="2">
        <f>IF(ISNUMBER(FIND("@cielo.com.br",S207)),"Interno","Externo")</f>
        <v/>
      </c>
      <c r="AD207" t="inlineStr"/>
      <c r="AJ207" t="inlineStr">
        <is>
          <t>Sem correspondência</t>
        </is>
      </c>
      <c r="AK207" t="b">
        <v>0</v>
      </c>
      <c r="AN207">
        <f>IF(OR(AG207="",AM207=""),"",IF(AG207=AM207,"SIM","NÃO"))</f>
        <v/>
      </c>
      <c r="AO207" t="inlineStr">
        <is>
          <t>NO_PATTERN</t>
        </is>
      </c>
    </row>
    <row r="208" ht="15.5" customHeight="1">
      <c r="A208" s="1" t="n"/>
      <c r="B208" s="67" t="inlineStr">
        <is>
          <t>Emilly Maria</t>
        </is>
      </c>
      <c r="C208" s="70">
        <f>VLOOKUP(I:I,'Referencias '!H:I,2,0)</f>
        <v/>
      </c>
      <c r="D208" s="71" t="n">
        <v>23540305</v>
      </c>
      <c r="E208" s="71" t="n">
        <v>0</v>
      </c>
      <c r="F208" s="72" t="n">
        <v>2616709593884</v>
      </c>
      <c r="G208" s="72">
        <f>VLOOKUP(H:H,'Referencias '!B:C,2,0)</f>
        <v/>
      </c>
      <c r="H208" s="72">
        <f>TRIM(_xlfn.TEXTBEFORE(_xlfn.TEXTAFTER(U208,"CNPJ/CPF:&lt;/strong&gt;"),"&lt;/p&gt;"))</f>
        <v/>
      </c>
      <c r="I208" s="70" t="inlineStr">
        <is>
          <t>Cancelamento de NF / reemissão</t>
        </is>
      </c>
      <c r="J208" s="72" t="n"/>
      <c r="K208" s="72" t="n"/>
      <c r="L208" s="70" t="inlineStr">
        <is>
          <t>FINALIZADO</t>
        </is>
      </c>
      <c r="M208" s="73" t="inlineStr">
        <is>
          <t>Médio</t>
        </is>
      </c>
      <c r="N208" s="71" t="inlineStr">
        <is>
          <t>1018 Financeiro | Desejo falar com o setor financeiro | Socorro Abreu | maria.abreu@sacavalcante.com.br</t>
        </is>
      </c>
      <c r="O208" s="74" t="n">
        <v>46189</v>
      </c>
      <c r="P208" s="123" t="n">
        <v>46218</v>
      </c>
      <c r="Q208" s="177">
        <f>TEXT(O208,"mmm/aaaa")</f>
        <v/>
      </c>
      <c r="R208" s="71" t="inlineStr">
        <is>
          <t>ECOMMERCE BP SUPORTE FINANCEIRO N2</t>
        </is>
      </c>
      <c r="S208" s="71" t="inlineStr">
        <is>
          <t>maria.abreu@sacavalcante.com.br</t>
        </is>
      </c>
      <c r="T208" s="71" t="inlineStr"/>
      <c r="U208" s="129" t="inlineStr">
        <is>
          <t>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
Solicitamos, por gentileza, que as notas fiscais sejam reenviadas contendo a informação da NBS.
Para darmos continuidade ao processo de pagamento, é necessário que essa informação conste na nota fiscal.
Agradecemos pela atenção e ficamos no aguardo.
NF 0114823
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t>
        </is>
      </c>
      <c r="V208" s="71">
        <f>IFERROR(_xlfn.TEXTBEFORE(_xlfn.TEXTAFTER(U208,"Descrição do problema:&lt;/strong"),"&lt;/p&gt;"),_xlfn.TEXTAFTER(U208,"Descrição do problema:&lt;/strong"))</f>
        <v/>
      </c>
      <c r="W208" s="76">
        <f>_xlfn.CONCAT(D208:E208)</f>
        <v/>
      </c>
      <c r="X208" s="121" t="n">
        <v>46245</v>
      </c>
      <c r="Y208" s="78">
        <f>IF(X208="","Aberto","Encerrado")</f>
        <v/>
      </c>
      <c r="Z208" s="78">
        <f>IF(OR(L208="PENDENTE",L208="EM ANDAMENTO",L208="PENDENTE APROVAÇÃO CANCELAMENTO NF"),TODAY()-O208,X208-O208)</f>
        <v/>
      </c>
      <c r="AA208" s="78">
        <f>IF(Y208="Aberto",Z208+ROW()/100000,"")</f>
        <v/>
      </c>
      <c r="AB208" s="2">
        <f>IF(ISNUMBER(FIND("@cielo.com.br",S208)),"Interno","Externo")</f>
        <v/>
      </c>
      <c r="AC208" t="inlineStr">
        <is>
          <t>Tratar requisito ou regra fiscal específica.</t>
        </is>
      </c>
      <c r="AD208" t="inlineStr">
        <is>
          <t>informação da nbs</t>
        </is>
      </c>
      <c r="AE208" t="inlineStr">
        <is>
          <t>Alteração de dados fiscais</t>
        </is>
      </c>
      <c r="AF208" t="inlineStr">
        <is>
          <t>Parâmetro de Faturamento</t>
        </is>
      </c>
      <c r="AG208" t="inlineStr">
        <is>
          <t>Faturamento e Obrigações Fiscais</t>
        </is>
      </c>
      <c r="AI208" t="inlineStr">
        <is>
          <t>INT_FAT_REQUISITO</t>
        </is>
      </c>
      <c r="AJ208" t="inlineStr">
        <is>
          <t>Sugerida</t>
        </is>
      </c>
      <c r="AK208" t="b">
        <v>0</v>
      </c>
      <c r="AN208">
        <f>IF(OR(AG208="",AM208=""),"",IF(AG208=AM208,"SIM","NÃO"))</f>
        <v/>
      </c>
      <c r="AO208" t="inlineStr">
        <is>
          <t>CLASSIFIED_PATTERN</t>
        </is>
      </c>
    </row>
    <row r="209" ht="15.5" customHeight="1">
      <c r="A209" s="1" t="n"/>
      <c r="B209" s="67" t="inlineStr">
        <is>
          <t>Fabiana Lisboa</t>
        </is>
      </c>
      <c r="C209" s="70">
        <f>VLOOKUP(I:I,'Referencias '!H:I,2,0)</f>
        <v/>
      </c>
      <c r="D209" s="71" t="n">
        <v>23535073</v>
      </c>
      <c r="E209" s="71" t="n">
        <v>0</v>
      </c>
      <c r="F209" s="72" t="n">
        <v>2616708590389</v>
      </c>
      <c r="G209" s="72">
        <f>T209</f>
        <v/>
      </c>
      <c r="H209" s="72">
        <f>TRIM(_xlfn.TEXTBEFORE(_xlfn.TEXTAFTER(U209,"CNPJ/CPF:&lt;/strong&gt;"),"&lt;/p&gt;"))</f>
        <v/>
      </c>
      <c r="I209" s="70" t="inlineStr">
        <is>
          <t>Prorrogação / Reenvio de boleto</t>
        </is>
      </c>
      <c r="J209" s="72" t="n"/>
      <c r="K209" s="72" t="n"/>
      <c r="L209" s="70" t="inlineStr">
        <is>
          <t>FINALIZADO</t>
        </is>
      </c>
      <c r="M209" s="73" t="inlineStr">
        <is>
          <t>Médio</t>
        </is>
      </c>
      <c r="N209" s="71" t="inlineStr">
        <is>
          <t>1018 Financeiro | Desejo falar com o setor financeiro | Sayra | sayra.martins@odontoprev.com.br</t>
        </is>
      </c>
      <c r="O209" s="74" t="n">
        <v>46189</v>
      </c>
      <c r="P209" s="123" t="n">
        <v>46218</v>
      </c>
      <c r="Q209" s="177">
        <f>TEXT(O209,"mmm/aaaa")</f>
        <v/>
      </c>
      <c r="R209" s="71" t="inlineStr">
        <is>
          <t>ECOMMERCE BP SUPORTE FINANCEIRO N2</t>
        </is>
      </c>
      <c r="S209" s="71" t="inlineStr">
        <is>
          <t>sayra.martins@odontoprev.com.br</t>
        </is>
      </c>
      <c r="T209" s="71" t="inlineStr"/>
      <c r="U209" s="129" t="inlineStr">
        <is>
          <t>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
Pois tivemos um impacto nesse mês e por esse motivos estamos pedindo a isenção.&lt;/p&gt;&lt;p&gt;&lt;strong&gt;GA Client ID:&lt;/strong&gt; 1949032608.1755038032&lt;/p&gt;&lt;p&gt;&lt;strong&gt;Lead Hash ID:&lt;/strong&gt; 48ab7a2a2a9a2a3d8d9709dc6b871c9ed8e7</t>
        </is>
      </c>
      <c r="V209" s="71">
        <f>IFERROR(_xlfn.TEXTBEFORE(_xlfn.TEXTAFTER(U209,"Descrição do problema:&lt;/strong"),"&lt;/p&gt;"),_xlfn.TEXTAFTER(U209,"Descrição do problema:&lt;/strong"))</f>
        <v/>
      </c>
      <c r="W209" s="76">
        <f>_xlfn.CONCAT(D209:E209)</f>
        <v/>
      </c>
      <c r="X209" s="77" t="n">
        <v>46245</v>
      </c>
      <c r="Y209" s="78">
        <f>IF(X209="","Aberto","Encerrado")</f>
        <v/>
      </c>
      <c r="Z209" s="78">
        <f>IF(OR(L209="PENDENTE",L209="EM ANDAMENTO",L209="PENDENTE APROVAÇÃO CANCELAMENTO NF"),TODAY()-O209,X209-O209)</f>
        <v/>
      </c>
      <c r="AA209" s="78">
        <f>IF(Y209="Aberto",Z209+ROW()/100000,"")</f>
        <v/>
      </c>
      <c r="AB209" s="2">
        <f>IF(ISNUMBER(FIND("@cielo.com.br",S209)),"Interno","Externo")</f>
        <v/>
      </c>
      <c r="AC209" t="inlineStr">
        <is>
          <t>Alterar ou prorrogar vencimento ou prazo de pagamento.</t>
        </is>
      </c>
      <c r="AD209" t="inlineStr">
        <is>
          <t>vencimento prorrogado; isenção de juros e multa</t>
        </is>
      </c>
      <c r="AE209" t="inlineStr">
        <is>
          <t>Alteração de vencimento</t>
        </is>
      </c>
      <c r="AF209" t="inlineStr">
        <is>
          <t>Título Financeiro</t>
        </is>
      </c>
      <c r="AG209" t="inlineStr">
        <is>
          <t>Pagamentos, Boletos e Recebimentos</t>
        </is>
      </c>
      <c r="AI209" t="inlineStr">
        <is>
          <t>INT_PAG_VENCIMENTO</t>
        </is>
      </c>
      <c r="AJ209" t="inlineStr">
        <is>
          <t>Sugerida</t>
        </is>
      </c>
      <c r="AK209" t="b">
        <v>0</v>
      </c>
      <c r="AN209">
        <f>IF(OR(AG209="",AM209=""),"",IF(AG209=AM209,"SIM","NÃO"))</f>
        <v/>
      </c>
      <c r="AO209" t="inlineStr">
        <is>
          <t>CLASSIFIED_PATTERN</t>
        </is>
      </c>
    </row>
    <row r="210" ht="15.5" customHeight="1">
      <c r="A210" s="1" t="n"/>
      <c r="B210" s="67" t="inlineStr">
        <is>
          <t>Stephany Lima</t>
        </is>
      </c>
      <c r="C210" s="70">
        <f>VLOOKUP(I:I,'Referencias '!H:I,2,0)</f>
        <v/>
      </c>
      <c r="D210" s="71" t="n">
        <v>23487098</v>
      </c>
      <c r="E210" s="71" t="n">
        <v>0</v>
      </c>
      <c r="F210" s="72" t="n">
        <v>2616610558966</v>
      </c>
      <c r="G210" s="72">
        <f>VLOOKUP(H:H,'Referencias '!B:C,2,0)</f>
        <v/>
      </c>
      <c r="H210" s="72">
        <f>TRIM(_xlfn.TEXTBEFORE(_xlfn.TEXTAFTER(U210,"CNPJ/CPF:&lt;/strong&gt;"),"&lt;/p&gt;"))</f>
        <v/>
      </c>
      <c r="I210" s="70" t="inlineStr">
        <is>
          <t>Reenvio de boleto</t>
        </is>
      </c>
      <c r="J210" s="72" t="n"/>
      <c r="K210" s="72" t="n"/>
      <c r="L210" s="70" t="inlineStr">
        <is>
          <t>FINALIZADO</t>
        </is>
      </c>
      <c r="M210" s="73" t="inlineStr">
        <is>
          <t>Médio</t>
        </is>
      </c>
      <c r="N210" s="71" t="inlineStr">
        <is>
          <t>1018 Financeiro | Desejo falar com o setor financeiro | Diogo Lach | diogo@appmesa.com.br</t>
        </is>
      </c>
      <c r="O210" s="74" t="n">
        <v>46188</v>
      </c>
      <c r="P210" s="123" t="n">
        <v>46218</v>
      </c>
      <c r="Q210" s="177">
        <f>TEXT(O210,"mmm/aaaa")</f>
        <v/>
      </c>
      <c r="R210" s="71" t="inlineStr">
        <is>
          <t>ECOMMERCE BP SUPORTE FINANCEIRO N2</t>
        </is>
      </c>
      <c r="S210" s="71" t="inlineStr">
        <is>
          <t>diogo@appmesa.com.br</t>
        </is>
      </c>
      <c r="T210" s="71" t="inlineStr"/>
      <c r="U210" s="129" t="inlineStr">
        <is>
          <t>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
Houve alteração no vencimento do nosso boleto sem consentimento e automaticamente perdemos a data de pagamento.
Ao clicar no e-mail do boleto, ele direciona para um link inexistente. Além disso, não conseguimos atualizar o boleto, recebemos mensagem de erro.&lt;/p&gt;&lt;p&gt;&lt;strong&gt;GA Client ID:&lt;/strong&gt; 736288307.1781529806&lt;/p&gt;&lt;p&gt;&lt;strong&gt;Lead Hash ID:&lt;/strong&gt; 2fd3c5bcfa573</t>
        </is>
      </c>
      <c r="V210" s="71">
        <f>IFERROR(_xlfn.TEXTBEFORE(_xlfn.TEXTAFTER(U210,"Descrição do problema:&lt;/strong"),"&lt;/p&gt;"),_xlfn.TEXTAFTER(U210,"Descrição do problema:&lt;/strong"))</f>
        <v/>
      </c>
      <c r="W210" s="76">
        <f>_xlfn.CONCAT(D210:E210)</f>
        <v/>
      </c>
      <c r="X210" s="77" t="n">
        <v>46244</v>
      </c>
      <c r="Y210" s="78">
        <f>IF(X210="","Aberto","Encerrado")</f>
        <v/>
      </c>
      <c r="Z210" s="78">
        <f>IF(OR(L210="PENDENTE",L210="EM ANDAMENTO",L210="PENDENTE APROVAÇÃO CANCELAMENTO NF"),TODAY()-O210,X210-O210)</f>
        <v/>
      </c>
      <c r="AA210" s="78">
        <f>IF(Y210="Aberto",Z210+ROW()/100000,"")</f>
        <v/>
      </c>
      <c r="AB210" s="2">
        <f>IF(ISNUMBER(FIND("@cielo.com.br",S210)),"Interno","Externo")</f>
        <v/>
      </c>
      <c r="AC210" t="inlineStr">
        <is>
          <t>Solicitar segunda via, reenvio ou reemissão de boleto.</t>
        </is>
      </c>
      <c r="AD210" t="inlineStr">
        <is>
          <t>novo boleto; não conseguimos atualizar o boleto; novo + boleto</t>
        </is>
      </c>
      <c r="AE210" t="inlineStr">
        <is>
          <t>Reenvio de boleto</t>
        </is>
      </c>
      <c r="AF210" t="inlineStr">
        <is>
          <t>Título Financeiro</t>
        </is>
      </c>
      <c r="AG210" t="inlineStr">
        <is>
          <t>Pagamentos, Boletos e Recebimentos</t>
        </is>
      </c>
      <c r="AI210" t="inlineStr">
        <is>
          <t>INT_PAG_BOLETO_REENVIO</t>
        </is>
      </c>
      <c r="AJ210" t="inlineStr">
        <is>
          <t>Sugerida</t>
        </is>
      </c>
      <c r="AK210" t="b">
        <v>0</v>
      </c>
      <c r="AN210">
        <f>IF(OR(AG210="",AM210=""),"",IF(AG210=AM210,"SIM","NÃO"))</f>
        <v/>
      </c>
      <c r="AO210" t="inlineStr">
        <is>
          <t>CLASSIFIED_PATTERN</t>
        </is>
      </c>
    </row>
    <row r="211" ht="15.5" customHeight="1">
      <c r="A211" s="1" t="n"/>
      <c r="B211" s="67" t="inlineStr">
        <is>
          <t>Emilly Maria</t>
        </is>
      </c>
      <c r="C211" s="70">
        <f>VLOOKUP(I:I,'Referencias '!H:I,2,0)</f>
        <v/>
      </c>
      <c r="D211" s="71" t="n">
        <v>23457203</v>
      </c>
      <c r="E211" s="71" t="n">
        <v>0</v>
      </c>
      <c r="F211" s="72" t="n">
        <v>2616316538121</v>
      </c>
      <c r="G211" s="72">
        <f>T211</f>
        <v/>
      </c>
      <c r="H211" s="72">
        <f>TRIM(_xlfn.TEXTBEFORE(_xlfn.TEXTAFTER(U211,"CNPJ/CPF:&lt;/strong&gt;"),"&lt;/p&gt;"))</f>
        <v/>
      </c>
      <c r="I211" s="70" t="inlineStr">
        <is>
          <t>Ajuste de cobrança / faturamento</t>
        </is>
      </c>
      <c r="J211" s="72" t="inlineStr">
        <is>
          <t>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t>
        </is>
      </c>
      <c r="K211" s="72" t="n"/>
      <c r="L211" s="70" t="inlineStr">
        <is>
          <t>FINALIZADO</t>
        </is>
      </c>
      <c r="M211" s="73" t="inlineStr">
        <is>
          <t>Alta</t>
        </is>
      </c>
      <c r="N211" s="71" t="inlineStr">
        <is>
          <t>1018 Financeiro | Desejo falar com o setor financeiro | Fernanda Camarneira | fernanda.scamarneira@cielo.com.br</t>
        </is>
      </c>
      <c r="O211" s="74" t="n">
        <v>46185</v>
      </c>
      <c r="P211" s="123" t="n">
        <v>46218</v>
      </c>
      <c r="Q211" s="177">
        <f>TEXT(O211,"mmm/aaaa")</f>
        <v/>
      </c>
      <c r="R211" s="71" t="inlineStr">
        <is>
          <t>ECOMMERCE BP SUPORTE FINANCEIRO N2</t>
        </is>
      </c>
      <c r="S211" s="71" t="inlineStr">
        <is>
          <t>fernanda.scamarneira@cielo.com.br</t>
        </is>
      </c>
      <c r="T211" s="71" t="inlineStr"/>
      <c r="U211" s="129" t="inlineStr">
        <is>
          <t xml:space="preserve">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
Eles possuem algumas pendências financeiras a partir de fevereiro porque não podiam pagar as notas com o CNPJ antigo enquanto estávamos em processo burocrático do aditivo. Agora precisamos ajustas as pendências e ajustar o futuro. 
Tentei criar a cessão contratual no Salesforce mas deu erro, está com o time </t>
        </is>
      </c>
      <c r="V211" s="71">
        <f>IFERROR(_xlfn.TEXTBEFORE(_xlfn.TEXTAFTER(U211,"Descrição do problema:&lt;/strong"),"&lt;/p&gt;"),_xlfn.TEXTAFTER(U211,"Descrição do problema:&lt;/strong"))</f>
        <v/>
      </c>
      <c r="W211" s="76">
        <f>_xlfn.CONCAT(D211:E211)</f>
        <v/>
      </c>
      <c r="X211" s="77" t="n">
        <v>46258</v>
      </c>
      <c r="Y211" s="78">
        <f>IF(X211="","Aberto","Encerrado")</f>
        <v/>
      </c>
      <c r="Z211" s="78">
        <f>IF(OR(L211="PENDENTE",L211="EM ANDAMENTO",L211="PENDENTE APROVAÇÃO CANCELAMENTO NF"),TODAY()-O211,X211-O211)</f>
        <v/>
      </c>
      <c r="AA211" s="78">
        <f>IF(Y211="Aberto",Z211+ROW()/100000,"")</f>
        <v/>
      </c>
      <c r="AB211" s="2">
        <f>IF(ISNUMBER(FIND("@cielo.com.br",S211)),"Interno","Externo")</f>
        <v/>
      </c>
      <c r="AC211" t="inlineStr">
        <is>
          <t>Consultar pagamentos, débitos, pendências ou recebíveis.</t>
        </is>
      </c>
      <c r="AD211" t="inlineStr">
        <is>
          <t>pendências financeiras</t>
        </is>
      </c>
      <c r="AE211" t="inlineStr">
        <is>
          <t>Consulta financeira</t>
        </is>
      </c>
      <c r="AF211" t="inlineStr">
        <is>
          <t>Título Financeiro</t>
        </is>
      </c>
      <c r="AG211" t="inlineStr">
        <is>
          <t>Pagamentos, Boletos e Recebimentos</t>
        </is>
      </c>
      <c r="AI211" t="inlineStr">
        <is>
          <t>INT_PAG_FINANCEIRO</t>
        </is>
      </c>
      <c r="AJ211" t="inlineStr">
        <is>
          <t>Sugerida</t>
        </is>
      </c>
      <c r="AK211" t="b">
        <v>0</v>
      </c>
      <c r="AN211">
        <f>IF(OR(AG211="",AM211=""),"",IF(AG211=AM211,"SIM","NÃO"))</f>
        <v/>
      </c>
      <c r="AO211" t="inlineStr">
        <is>
          <t>CLASSIFIED_PATTERN</t>
        </is>
      </c>
    </row>
    <row r="212" ht="15.5" customHeight="1">
      <c r="A212" s="1" t="n"/>
      <c r="B212" s="67" t="inlineStr">
        <is>
          <t>Stephany Lima</t>
        </is>
      </c>
      <c r="C212" s="70">
        <f>VLOOKUP(I:I,'Referencias '!H:I,2,0)</f>
        <v/>
      </c>
      <c r="D212" s="71" t="n">
        <v>24708880</v>
      </c>
      <c r="E212" s="71" t="n">
        <v>23837903</v>
      </c>
      <c r="F212" s="72" t="n">
        <v>2619516348796</v>
      </c>
      <c r="G212" s="72">
        <f>T212</f>
        <v/>
      </c>
      <c r="H212" s="72" t="n"/>
      <c r="I212" s="70" t="inlineStr">
        <is>
          <t>Contestação de cobrança</t>
        </is>
      </c>
      <c r="J212" s="72" t="n"/>
      <c r="K212" s="72" t="inlineStr">
        <is>
          <t>Não identificado / Cliente</t>
        </is>
      </c>
      <c r="L212" s="70" t="inlineStr">
        <is>
          <t>PENDENTE</t>
        </is>
      </c>
      <c r="M212" s="73" t="inlineStr">
        <is>
          <t>Médio</t>
        </is>
      </c>
      <c r="N212" s="71" t="inlineStr">
        <is>
          <t>Valores indevidos</t>
        </is>
      </c>
      <c r="O212" s="74" t="n">
        <v>46217</v>
      </c>
      <c r="P212" s="123" t="n">
        <v>46217</v>
      </c>
      <c r="Q212" s="177">
        <f>TEXT(O212,"mmm/aaaa")</f>
        <v/>
      </c>
      <c r="R212" s="71" t="inlineStr">
        <is>
          <t>ECOMMERCE BP SUPORTE FINANCEIRO N2</t>
        </is>
      </c>
      <c r="S212" s="71" t="inlineStr"/>
      <c r="T212" s="71" t="inlineStr"/>
      <c r="U212" s="71" t="inlineStr">
        <is>
          <t>Valores indevidos</t>
        </is>
      </c>
      <c r="V212" s="71">
        <f>U212</f>
        <v/>
      </c>
      <c r="W212" s="76">
        <f>_xlfn.CONCAT(D212:E212)</f>
        <v/>
      </c>
      <c r="X212" s="77" t="n"/>
      <c r="Y212" s="78">
        <f>IF(X212="","Aberto","Encerrado")</f>
        <v/>
      </c>
      <c r="Z212" s="78">
        <f>IF(OR(L212="PENDENTE",L212="EM ANDAMENTO",L212="PENDENTE APROVAÇÃO CANCELAMENTO NF"),TODAY()-O212,X212-O212)</f>
        <v/>
      </c>
      <c r="AA212" s="78">
        <f>IF(Y212="Aberto",Z212+ROW()/100000,"")</f>
        <v/>
      </c>
      <c r="AB212" s="2">
        <f>IF(ISNUMBER(FIND("@cielo.com.br",S212)),"Interno","Externo")</f>
        <v/>
      </c>
      <c r="AC212" t="inlineStr">
        <is>
          <t>Contestar divergência, valor ou critério de cobrança.</t>
        </is>
      </c>
      <c r="AD212" t="inlineStr">
        <is>
          <t>valores indevidos</t>
        </is>
      </c>
      <c r="AE212" t="inlineStr">
        <is>
          <t>Contestação de cobrança</t>
        </is>
      </c>
      <c r="AF212" t="inlineStr">
        <is>
          <t>Valor Cobrado</t>
        </is>
      </c>
      <c r="AG212" t="inlineStr">
        <is>
          <t>Cobrança e Contestação</t>
        </is>
      </c>
      <c r="AI212" t="inlineStr">
        <is>
          <t>INT_COB_CONTESTACAO</t>
        </is>
      </c>
      <c r="AJ212" t="inlineStr">
        <is>
          <t>Sugerida</t>
        </is>
      </c>
      <c r="AK212" t="b">
        <v>0</v>
      </c>
      <c r="AN212">
        <f>IF(OR(AG212="",AM212=""),"",IF(AG212=AM212,"SIM","NÃO"))</f>
        <v/>
      </c>
      <c r="AO212" t="inlineStr">
        <is>
          <t>CLASSIFIED_PATTERN</t>
        </is>
      </c>
    </row>
    <row r="213" ht="15.5" customHeight="1">
      <c r="A213" s="1" t="n"/>
      <c r="B213" s="67" t="inlineStr">
        <is>
          <t>Emilly Maria</t>
        </is>
      </c>
      <c r="C213" s="70">
        <f>VLOOKUP(I:I,'Referencias '!H:I,2,0)</f>
        <v/>
      </c>
      <c r="D213" s="71" t="n">
        <v>23445561</v>
      </c>
      <c r="E213" s="71" t="n">
        <v>0</v>
      </c>
      <c r="F213" s="72" t="n">
        <v>2616313530814</v>
      </c>
      <c r="G213" s="72">
        <f>VLOOKUP(H:H,'Referencias '!B:C,2,0)</f>
        <v/>
      </c>
      <c r="H213" s="72">
        <f>TRIM(_xlfn.TEXTBEFORE(_xlfn.TEXTAFTER(U213,"CNPJ/CPF:&lt;/strong&gt;"),"&lt;/p&gt;"))</f>
        <v/>
      </c>
      <c r="I213" s="70" t="inlineStr">
        <is>
          <t>Atualização cadastral</t>
        </is>
      </c>
      <c r="J213" s="72" t="n"/>
      <c r="K213" s="72" t="n"/>
      <c r="L213" s="70" t="inlineStr">
        <is>
          <t>FINALIZADO</t>
        </is>
      </c>
      <c r="M213" s="73" t="inlineStr">
        <is>
          <t>Médio</t>
        </is>
      </c>
      <c r="N213" s="71" t="inlineStr">
        <is>
          <t>1018 Financeiro | Desejo falar com o setor financeiro | Paula Maldonado Nishiwaki | paula.nishiwaki@amway.com</t>
        </is>
      </c>
      <c r="O213" s="74" t="n">
        <v>46185</v>
      </c>
      <c r="P213" s="123" t="n">
        <v>46218</v>
      </c>
      <c r="Q213" s="177">
        <f>TEXT(O213,"mmm/aaaa")</f>
        <v/>
      </c>
      <c r="R213" s="71" t="inlineStr">
        <is>
          <t>ECOMMERCE BP SUPORTE FINANCEIRO N2</t>
        </is>
      </c>
      <c r="S213" s="71" t="inlineStr">
        <is>
          <t>paula.nishiwaki@amway.com</t>
        </is>
      </c>
      <c r="T213" s="71" t="inlineStr">
        <is>
          <t>AMWAY</t>
        </is>
      </c>
      <c r="U213" s="129" t="inlineStr">
        <is>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
Preciso que atualizem no cadastro de vcs os e-mails de envio de notas e boleto:
Por favor, retirar o e-mail do Ryan Silva (Ryan.Silva.Lima@Amway.com) pois o mesmo não faz mais parte da companhia
E no lugar, colocar o da Layane Oliveira: Layane.Oliveira@Amway.com
*O meu é para manter normalmente
Fico no aguardo de um ok!
Obrigada!!&lt;/p&gt;&lt;p&gt;&lt;strong&gt;ID da transação:&lt;/strong&gt; &lt;/p&gt;&lt;p&gt;&lt;strong&gt;Código do erro:&lt;/strong&gt; &lt;/p&gt;&lt;p&gt;&lt;strong&gt;Sobre qual produto ou área deseja falar?:&lt;/strong&gt; Financeiro&lt;/p&gt;&lt;p&gt;&lt;strong&gt;Como podemos te a</t>
        </is>
      </c>
      <c r="V213" s="71">
        <f>IFERROR(_xlfn.TEXTBEFORE(_xlfn.TEXTAFTER(U213,"Descrição do problema:&lt;/strong"),"&lt;/p&gt;"),_xlfn.TEXTAFTER(U213,"Descrição do problema:&lt;/strong"))</f>
        <v/>
      </c>
      <c r="W213" s="76">
        <f>_xlfn.CONCAT(D213:E213)</f>
        <v/>
      </c>
      <c r="X213" s="77" t="n">
        <v>46240</v>
      </c>
      <c r="Y213" s="78">
        <f>IF(X213="","Aberto","Encerrado")</f>
        <v/>
      </c>
      <c r="Z213" s="78">
        <f>IF(OR(L213="PENDENTE",L213="EM ANDAMENTO",L213="PENDENTE APROVAÇÃO CANCELAMENTO NF"),TODAY()-O213,X213-O213)</f>
        <v/>
      </c>
      <c r="AA213" s="78">
        <f>IF(Y213="Aberto",Z213+ROW()/100000,"")</f>
        <v/>
      </c>
      <c r="AB213" s="2">
        <f>IF(ISNUMBER(FIND("@cielo.com.br",S213)),"Interno","Externo")</f>
        <v/>
      </c>
      <c r="AC213" t="inlineStr">
        <is>
          <t>Atualizar dados cadastrais, e-mail ou telefone.</t>
        </is>
      </c>
      <c r="AD213" t="inlineStr">
        <is>
          <t>retirar o e-mail</t>
        </is>
      </c>
      <c r="AE213" t="inlineStr">
        <is>
          <t>Atualização cadastral</t>
        </is>
      </c>
      <c r="AF213" t="inlineStr">
        <is>
          <t>Contrato/Cadastro</t>
        </is>
      </c>
      <c r="AG213" t="inlineStr">
        <is>
          <t>Contratos, Comercial e Cadastro</t>
        </is>
      </c>
      <c r="AI213" t="inlineStr">
        <is>
          <t>INT_CON_CADASTRO</t>
        </is>
      </c>
      <c r="AJ213" t="inlineStr">
        <is>
          <t>Sugerida</t>
        </is>
      </c>
      <c r="AK213" t="b">
        <v>0</v>
      </c>
      <c r="AN213">
        <f>IF(OR(AG213="",AM213=""),"",IF(AG213=AM213,"SIM","NÃO"))</f>
        <v/>
      </c>
      <c r="AO213" t="inlineStr">
        <is>
          <t>CLASSIFIED_PATTERN</t>
        </is>
      </c>
    </row>
    <row r="214" ht="15.5" customHeight="1">
      <c r="A214" s="1" t="n"/>
      <c r="B214" s="67" t="inlineStr">
        <is>
          <t>Emilly Maria</t>
        </is>
      </c>
      <c r="C214" s="70">
        <f>VLOOKUP(I:I,'Referencias '!H:I,2,0)</f>
        <v/>
      </c>
      <c r="D214" s="71" t="n">
        <v>23441731</v>
      </c>
      <c r="E214" s="71" t="n">
        <v>0</v>
      </c>
      <c r="F214" s="72" t="n">
        <v>2616312528207</v>
      </c>
      <c r="G214" s="72">
        <f>VLOOKUP(H:H,'Referencias '!B:C,2,0)</f>
        <v/>
      </c>
      <c r="H214" s="72">
        <f>TRIM(_xlfn.TEXTBEFORE(_xlfn.TEXTAFTER(U214,"CNPJ/CPF:&lt;/strong&gt;"),"&lt;/p&gt;"))</f>
        <v/>
      </c>
      <c r="I214" s="70" t="inlineStr">
        <is>
          <t>Alteração de vencimento / Prorrogação / Reenvio de boleto</t>
        </is>
      </c>
      <c r="J214" s="72" t="n"/>
      <c r="K214" s="72" t="n"/>
      <c r="L214" s="70" t="inlineStr">
        <is>
          <t>PENDENTE</t>
        </is>
      </c>
      <c r="M214" s="73" t="inlineStr">
        <is>
          <t>Médio</t>
        </is>
      </c>
      <c r="N214" s="71" t="inlineStr">
        <is>
          <t>1018 Financeiro | Desejo falar com o setor financeiro | Ana Carolina Da Silva | ana.barcellos@venancio.com.br</t>
        </is>
      </c>
      <c r="O214" s="74" t="n">
        <v>46185</v>
      </c>
      <c r="P214" s="123" t="n">
        <v>46218</v>
      </c>
      <c r="Q214" s="177">
        <f>TEXT(O214,"mmm/aaaa")</f>
        <v/>
      </c>
      <c r="R214" s="71" t="inlineStr">
        <is>
          <t>ECOMMERCE BP SUPORTE FINANCEIRO N2</t>
        </is>
      </c>
      <c r="S214" s="71" t="inlineStr">
        <is>
          <t>ana.barcellos@venancio.com.br</t>
        </is>
      </c>
      <c r="T214" s="71" t="inlineStr"/>
      <c r="U214" s="129" t="inlineStr">
        <is>
          <t>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
Solicito prorrogação da nf.115433, para o dia 22/06.
Atenciosamente,
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t>
        </is>
      </c>
      <c r="V214" s="71">
        <f>IFERROR(_xlfn.TEXTBEFORE(_xlfn.TEXTAFTER(U214,"Descrição do problema:&lt;/strong"),"&lt;/p&gt;"),_xlfn.TEXTAFTER(U214,"Descrição do problema:&lt;/strong"))</f>
        <v/>
      </c>
      <c r="W214" s="76">
        <f>_xlfn.CONCAT(D214:E214)</f>
        <v/>
      </c>
      <c r="X214" s="77" t="n"/>
      <c r="Y214" s="78">
        <f>IF(X214="","Aberto","Encerrado")</f>
        <v/>
      </c>
      <c r="Z214" s="78">
        <f>IF(OR(L214="PENDENTE",L214="EM ANDAMENTO",L214="PENDENTE APROVAÇÃO CANCELAMENTO NF"),TODAY()-O214,X214-O214)</f>
        <v/>
      </c>
      <c r="AA214" s="78">
        <f>IF(Y214="Aberto",Z214+ROW()/100000,"")</f>
        <v/>
      </c>
      <c r="AB214" s="2">
        <f>IF(ISNUMBER(FIND("@cielo.com.br",S214)),"Interno","Externo")</f>
        <v/>
      </c>
      <c r="AC214" t="inlineStr">
        <is>
          <t>Alterar ou prorrogar vencimento ou prazo de pagamento.</t>
        </is>
      </c>
      <c r="AD214" t="inlineStr">
        <is>
          <t>prorrogação da nf</t>
        </is>
      </c>
      <c r="AE214" t="inlineStr">
        <is>
          <t>Alteração de vencimento</t>
        </is>
      </c>
      <c r="AF214" t="inlineStr">
        <is>
          <t>Título Financeiro</t>
        </is>
      </c>
      <c r="AG214" t="inlineStr">
        <is>
          <t>Pagamentos, Boletos e Recebimentos</t>
        </is>
      </c>
      <c r="AI214" t="inlineStr">
        <is>
          <t>INT_PAG_VENCIMENTO</t>
        </is>
      </c>
      <c r="AJ214" t="inlineStr">
        <is>
          <t>Sugerida</t>
        </is>
      </c>
      <c r="AK214" t="b">
        <v>0</v>
      </c>
      <c r="AN214">
        <f>IF(OR(AG214="",AM214=""),"",IF(AG214=AM214,"SIM","NÃO"))</f>
        <v/>
      </c>
      <c r="AO214" t="inlineStr">
        <is>
          <t>CLASSIFIED_PATTERN</t>
        </is>
      </c>
    </row>
    <row r="215" ht="15.5" customHeight="1">
      <c r="A215" s="1" t="n"/>
      <c r="B215" s="67" t="inlineStr">
        <is>
          <t>Emilly Maria</t>
        </is>
      </c>
      <c r="C215" s="70">
        <f>VLOOKUP(I:I,'Referencias '!H:I,2,0)</f>
        <v/>
      </c>
      <c r="D215" s="71" t="n">
        <v>23441424</v>
      </c>
      <c r="E215" s="71" t="n">
        <v>0</v>
      </c>
      <c r="F215" s="72" t="n">
        <v>2616312528001</v>
      </c>
      <c r="G215" s="72">
        <f>T215</f>
        <v/>
      </c>
      <c r="H215" s="72">
        <f>TRIM(_xlfn.TEXTBEFORE(_xlfn.TEXTAFTER(U215,"CNPJ/CPF:&lt;/strong&gt;"),"&lt;/p&gt;"))</f>
        <v/>
      </c>
      <c r="I215" s="70" t="inlineStr">
        <is>
          <t>Cancelamento de NF</t>
        </is>
      </c>
      <c r="J215" s="72" t="n"/>
      <c r="K215" s="72" t="n"/>
      <c r="L215" s="70" t="inlineStr">
        <is>
          <t>FINALIZADO</t>
        </is>
      </c>
      <c r="M215" s="73" t="inlineStr">
        <is>
          <t>Alta</t>
        </is>
      </c>
      <c r="N215" s="71" t="inlineStr">
        <is>
          <t>1018 Financeiro | Desejo falar com o setor financeiro | AMERICANAS S.A - EM RECUPERACAO JUD | ariane.pasilva@cielo.com.br</t>
        </is>
      </c>
      <c r="O215" s="74" t="n">
        <v>46185</v>
      </c>
      <c r="P215" s="123" t="n">
        <v>46218</v>
      </c>
      <c r="Q215" s="177">
        <f>TEXT(O215,"mmm/aaaa")</f>
        <v/>
      </c>
      <c r="R215" s="71" t="inlineStr">
        <is>
          <t>ECOMMERCE BP SUPORTE FINANCEIRO N2</t>
        </is>
      </c>
      <c r="S215" s="71" t="inlineStr">
        <is>
          <t>ariane.pasilva@cielo.com.br</t>
        </is>
      </c>
      <c r="T215" s="71" t="inlineStr">
        <is>
          <t>AMERICANAS SAEM RECUPERACAO JUDICIAL</t>
        </is>
      </c>
      <c r="U215" s="129" t="inlineStr">
        <is>
          <t>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t>
        </is>
      </c>
      <c r="V215" s="71">
        <f>IFERROR(_xlfn.TEXTBEFORE(_xlfn.TEXTAFTER(U215,"Descrição do problema:&lt;/strong"),"&lt;/p&gt;"),_xlfn.TEXTAFTER(U215,"Descrição do problema:&lt;/strong"))</f>
        <v/>
      </c>
      <c r="W215" s="76">
        <f>_xlfn.CONCAT(D215:E215)</f>
        <v/>
      </c>
      <c r="X215" s="77">
        <f>P215</f>
        <v/>
      </c>
      <c r="Y215" s="78">
        <f>IF(X215="","Aberto","Encerrado")</f>
        <v/>
      </c>
      <c r="Z215" s="78">
        <f>IF(OR(L215="PENDENTE",L215="EM ANDAMENTO",L215="PENDENTE APROVAÇÃO CANCELAMENTO NF"),TODAY()-O215,X215-O215)</f>
        <v/>
      </c>
      <c r="AA215" s="78">
        <f>IF(Y215="Aberto",Z215+ROW()/100000,"")</f>
        <v/>
      </c>
      <c r="AB215" s="2">
        <f>IF(ISNUMBER(FIND("@cielo.com.br",S215)),"Interno","Externo")</f>
        <v/>
      </c>
      <c r="AC215" t="inlineStr">
        <is>
          <t>Substituir ou reemitir NF com PO.</t>
        </is>
      </c>
      <c r="AD215" t="inlineStr">
        <is>
          <t>substituição das notas + po</t>
        </is>
      </c>
      <c r="AE215" t="inlineStr">
        <is>
          <t>Reemissão de NF com PO</t>
        </is>
      </c>
      <c r="AF215" t="inlineStr">
        <is>
          <t>Documento Fiscal</t>
        </is>
      </c>
      <c r="AG215" t="inlineStr">
        <is>
          <t>Cancelamento e Reemissão de Nota Fiscal</t>
        </is>
      </c>
      <c r="AI215" t="inlineStr">
        <is>
          <t>INT_NF_REEMISSAO_PO</t>
        </is>
      </c>
      <c r="AJ215" t="inlineStr">
        <is>
          <t>Sugerida</t>
        </is>
      </c>
      <c r="AK215" t="b">
        <v>0</v>
      </c>
      <c r="AN215">
        <f>IF(OR(AG215="",AM215=""),"",IF(AG215=AM215,"SIM","NÃO"))</f>
        <v/>
      </c>
      <c r="AO215" t="inlineStr">
        <is>
          <t>CLASSIFIED_PATTERN</t>
        </is>
      </c>
    </row>
    <row r="216" ht="15.5" customHeight="1">
      <c r="A216" s="1" t="n"/>
      <c r="B216" s="67" t="inlineStr">
        <is>
          <t>Emilly Maria</t>
        </is>
      </c>
      <c r="C216" s="70">
        <f>VLOOKUP(I:I,'Referencias '!H:I,2,0)</f>
        <v/>
      </c>
      <c r="D216" s="71" t="n">
        <v>23438056</v>
      </c>
      <c r="E216" s="71" t="n">
        <v>0</v>
      </c>
      <c r="F216" s="72" t="n">
        <v>2616312525846</v>
      </c>
      <c r="G216" s="72">
        <f>T216</f>
        <v/>
      </c>
      <c r="H216" s="72">
        <f>TRIM(_xlfn.TEXTBEFORE(_xlfn.TEXTAFTER(U216,"CNPJ/CPF:&lt;/strong&gt;"),"&lt;/p&gt;"))</f>
        <v/>
      </c>
      <c r="I216" s="70" t="inlineStr">
        <is>
          <t>Cancelamento de NF / Reemissão</t>
        </is>
      </c>
      <c r="J216" s="72" t="n"/>
      <c r="K216" s="72" t="n"/>
      <c r="L216" s="70" t="inlineStr">
        <is>
          <t>PENDENTE</t>
        </is>
      </c>
      <c r="M216" s="73" t="inlineStr">
        <is>
          <t>Médio</t>
        </is>
      </c>
      <c r="N216" s="71" t="inlineStr">
        <is>
          <t>1018 Financeiro | Desejo falar com o setor financeiro | Alexandre Câmara | alexandre.camara@casaspedro.com.br</t>
        </is>
      </c>
      <c r="O216" s="74" t="n">
        <v>46185</v>
      </c>
      <c r="P216" s="123" t="n">
        <v>46218</v>
      </c>
      <c r="Q216" s="177">
        <f>TEXT(O216,"mmm/aaaa")</f>
        <v/>
      </c>
      <c r="R216" s="71" t="inlineStr">
        <is>
          <t>ECOMMERCE BP SUPORTE FINANCEIRO N2</t>
        </is>
      </c>
      <c r="S216" s="71" t="inlineStr">
        <is>
          <t>alexandre.camara@casaspedro.com.br</t>
        </is>
      </c>
      <c r="T216" s="71" t="inlineStr"/>
      <c r="U216" s="129" t="inlineStr">
        <is>
          <t>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
Meu nome é Alexandre Câmara e sou o responsável pelos lançamentos de notas fiscais da Casas Pedro.
Conforme orientação do nosso departamento fiscal, foi identificado que as notas fiscais enviadas estão em desacordo com o padrão atualmente adotado. Dessa forma, solicito, com a maior brevidade possível, a correção e o reenvio das Notas Fiscais</t>
        </is>
      </c>
      <c r="V216" s="71">
        <f>IFERROR(_xlfn.TEXTBEFORE(_xlfn.TEXTAFTER(U216,"Descrição do problema:&lt;/strong"),"&lt;/p&gt;"),_xlfn.TEXTAFTER(U216,"Descrição do problema:&lt;/strong"))</f>
        <v/>
      </c>
      <c r="W216" s="76">
        <f>_xlfn.CONCAT(D216:E216)</f>
        <v/>
      </c>
      <c r="X216" s="77" t="n"/>
      <c r="Y216" s="78">
        <f>IF(X216="","Aberto","Encerrado")</f>
        <v/>
      </c>
      <c r="Z216" s="78">
        <f>IF(OR(L216="PENDENTE",L216="EM ANDAMENTO",L216="PENDENTE APROVAÇÃO CANCELAMENTO NF"),TODAY()-O216,X216-O216)</f>
        <v/>
      </c>
      <c r="AA216" s="78">
        <f>IF(Y216="Aberto",Z216+ROW()/100000,"")</f>
        <v/>
      </c>
      <c r="AB216" s="2">
        <f>IF(ISNUMBER(FIND("@cielo.com.br",S216)),"Interno","Externo")</f>
        <v/>
      </c>
      <c r="AC216" t="inlineStr">
        <is>
          <t>Reenviar nota fiscal não recebida.</t>
        </is>
      </c>
      <c r="AD216" t="inlineStr">
        <is>
          <t>envio das notas fiscais; reenvio + nf</t>
        </is>
      </c>
      <c r="AE216" t="inlineStr">
        <is>
          <t>Reenvio de NF</t>
        </is>
      </c>
      <c r="AF216" t="inlineStr">
        <is>
          <t>Parâmetro de Faturamento</t>
        </is>
      </c>
      <c r="AG216" t="inlineStr">
        <is>
          <t>Faturamento e Obrigações Fiscais</t>
        </is>
      </c>
      <c r="AI216" t="inlineStr">
        <is>
          <t>INT_FAT_REENVIO_NF</t>
        </is>
      </c>
      <c r="AJ216" t="inlineStr">
        <is>
          <t>Sugerida</t>
        </is>
      </c>
      <c r="AK216" t="b">
        <v>0</v>
      </c>
      <c r="AN216">
        <f>IF(OR(AG216="",AM216=""),"",IF(AG216=AM216,"SIM","NÃO"))</f>
        <v/>
      </c>
      <c r="AO216" t="inlineStr">
        <is>
          <t>CLASSIFIED_PATTERN</t>
        </is>
      </c>
    </row>
    <row r="217" ht="15.5" customHeight="1">
      <c r="A217" s="1" t="n"/>
      <c r="B217" s="67" t="inlineStr">
        <is>
          <t>Amanda Silva</t>
        </is>
      </c>
      <c r="C217" s="70">
        <f>VLOOKUP(I:I,'Referencias '!H:I,2,0)</f>
        <v/>
      </c>
      <c r="D217" s="71" t="n">
        <v>23419942</v>
      </c>
      <c r="E217" s="71" t="n">
        <v>0</v>
      </c>
      <c r="F217" s="72" t="n">
        <v>2616307514024</v>
      </c>
      <c r="G217" s="72">
        <f>VLOOKUP(H:H,'Referencias '!B:C,2,0)</f>
        <v/>
      </c>
      <c r="H217" s="72">
        <f>TRIM(_xlfn.TEXTBEFORE(_xlfn.TEXTAFTER(U217,"CNPJ/CPF:&lt;/strong&gt;"),"&lt;/p&gt;"))</f>
        <v/>
      </c>
      <c r="I217" s="70" t="inlineStr">
        <is>
          <t>Alteração de cadastro (e-mail) / Reenvio de NF</t>
        </is>
      </c>
      <c r="J217" s="72" t="n"/>
      <c r="K217" s="72" t="n"/>
      <c r="L217" s="70" t="inlineStr">
        <is>
          <t>FINALIZADO</t>
        </is>
      </c>
      <c r="M217" s="73" t="inlineStr">
        <is>
          <t>Médio</t>
        </is>
      </c>
      <c r="N217" s="71" t="inlineStr">
        <is>
          <t>1003 Gateway de Pagamento | Criação de loja (Gateway de Pagamento) | Rafael de Freitas Veloso | contasapagar@drogariaminasbrasil.com.br</t>
        </is>
      </c>
      <c r="O217" s="74" t="n">
        <v>46185</v>
      </c>
      <c r="P217" s="123" t="n">
        <v>46218</v>
      </c>
      <c r="Q217" s="177">
        <f>TEXT(O217,"mmm/aaaa")</f>
        <v/>
      </c>
      <c r="R217" s="71" t="inlineStr">
        <is>
          <t>ECOMMERCE BP SUPORTE FINANCEIRO N2</t>
        </is>
      </c>
      <c r="S217" s="71" t="inlineStr">
        <is>
          <t>contasapagar@drogariaminasbrasil.com.br</t>
        </is>
      </c>
      <c r="T217" s="71" t="inlineStr">
        <is>
          <t>DROGARIA MINAS BRASIL</t>
        </is>
      </c>
      <c r="U217" s="129" t="inlineStr">
        <is>
          <t>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
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t>
        </is>
      </c>
      <c r="V217" s="71">
        <f>IFERROR(_xlfn.TEXTBEFORE(_xlfn.TEXTAFTER(U217,"Descrição do problema:&lt;/strong"),"&lt;/p&gt;"),_xlfn.TEXTAFTER(U217,"Descrição do problema:&lt;/strong"))</f>
        <v/>
      </c>
      <c r="W217" s="76">
        <f>_xlfn.CONCAT(D217:E217)</f>
        <v/>
      </c>
      <c r="X217" s="77" t="n">
        <v>46267</v>
      </c>
      <c r="Y217" s="78">
        <f>IF(X217="","Aberto","Encerrado")</f>
        <v/>
      </c>
      <c r="Z217" s="78">
        <f>IF(OR(L217="PENDENTE",L217="EM ANDAMENTO",L217="PENDENTE APROVAÇÃO CANCELAMENTO NF"),TODAY()-O217,X217-O217)</f>
        <v/>
      </c>
      <c r="AA217" s="78">
        <f>IF(Y217="Aberto",Z217+ROW()/100000,"")</f>
        <v/>
      </c>
      <c r="AB217" s="2">
        <f>IF(ISNUMBER(FIND("@cielo.com.br",S217)),"Interno","Externo")</f>
        <v/>
      </c>
      <c r="AD217" t="inlineStr"/>
      <c r="AJ217" t="inlineStr">
        <is>
          <t>Sem correspondência</t>
        </is>
      </c>
      <c r="AK217" t="b">
        <v>0</v>
      </c>
      <c r="AN217">
        <f>IF(OR(AG217="",AM217=""),"",IF(AG217=AM217,"SIM","NÃO"))</f>
        <v/>
      </c>
      <c r="AO217" t="inlineStr">
        <is>
          <t>NO_PATTERN</t>
        </is>
      </c>
    </row>
    <row r="218" ht="15.5" customHeight="1">
      <c r="A218" s="1" t="n"/>
      <c r="B218" s="67" t="inlineStr">
        <is>
          <t>Emilly Maria</t>
        </is>
      </c>
      <c r="C218" s="70">
        <f>VLOOKUP(I:I,'Referencias '!H:I,2,0)</f>
        <v/>
      </c>
      <c r="D218" s="71" t="n">
        <v>23405230</v>
      </c>
      <c r="E218" s="71" t="n">
        <v>0</v>
      </c>
      <c r="F218" s="72" t="n">
        <v>2616216504812</v>
      </c>
      <c r="G218" s="72">
        <f>VLOOKUP(H:H,'Referencias '!B:C,2,0)</f>
        <v/>
      </c>
      <c r="H218" s="72">
        <f>TRIM(_xlfn.TEXTBEFORE(_xlfn.TEXTAFTER(U218,"CNPJ/CPF:&lt;/strong&gt;"),"&lt;/p&gt;"))</f>
        <v/>
      </c>
      <c r="I218" s="70" t="inlineStr">
        <is>
          <t>Ajuste de cobrança / faturamento</t>
        </is>
      </c>
      <c r="J218" s="72" t="n"/>
      <c r="K218" s="72" t="n"/>
      <c r="L218" s="70" t="inlineStr">
        <is>
          <t>FINALIZADO</t>
        </is>
      </c>
      <c r="M218" s="73" t="inlineStr">
        <is>
          <t>Médio</t>
        </is>
      </c>
      <c r="N218" s="71" t="inlineStr">
        <is>
          <t>1018 Financeiro | Desejo falar com o setor financeiro | Mariane Oliveira dos Santos | mariane.santos@cielo.com.br</t>
        </is>
      </c>
      <c r="O218" s="74" t="n">
        <v>46184</v>
      </c>
      <c r="P218" s="123" t="n">
        <v>46218</v>
      </c>
      <c r="Q218" s="177">
        <f>TEXT(O218,"mmm/aaaa")</f>
        <v/>
      </c>
      <c r="R218" s="71" t="inlineStr">
        <is>
          <t>ECOMMERCE BP SUPORTE FINANCEIRO N2</t>
        </is>
      </c>
      <c r="S218" s="71" t="inlineStr">
        <is>
          <t>mariane.santos@cielo.com.br</t>
        </is>
      </c>
      <c r="T218" s="71" t="inlineStr">
        <is>
          <t>CENCOSUD</t>
        </is>
      </c>
      <c r="U218" s="129" t="inlineStr">
        <is>
          <t>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
Cliente: CENCOSUD BRASIL COMERCIAL S.A.
CNPJ: 39.346.861/0350-38&lt;/p&gt;&lt;p&gt;&lt;strong&gt;ID da transação:&lt;/strong&gt; &lt;/p&gt;&lt;p&gt;&lt;strong&gt;Código do erro:&lt;/strong&gt; &lt;/p&gt;&lt;p&gt;&lt;strong&gt;Sobre qual produto ou área deseja falar?:&lt;/strong&gt; Financeiro&lt;/p&gt;&lt;p&gt;&lt;strong&gt;Como podemos te ajudar?:&lt;/st</t>
        </is>
      </c>
      <c r="V218" s="71">
        <f>IFERROR(_xlfn.TEXTBEFORE(_xlfn.TEXTAFTER(U218,"Descrição do problema:&lt;/strong"),"&lt;/p&gt;"),_xlfn.TEXTAFTER(U218,"Descrição do problema:&lt;/strong"))</f>
        <v/>
      </c>
      <c r="W218" s="76">
        <f>_xlfn.CONCAT(D218:E218)</f>
        <v/>
      </c>
      <c r="X218" s="77" t="n">
        <v>46275</v>
      </c>
      <c r="Y218" s="78">
        <f>IF(X218="","Aberto","Encerrado")</f>
        <v/>
      </c>
      <c r="Z218" s="78">
        <f>IF(OR(L218="PENDENTE",L218="EM ANDAMENTO",L218="PENDENTE APROVAÇÃO CANCELAMENTO NF"),TODAY()-O218,X218-O218)</f>
        <v/>
      </c>
      <c r="AA218" s="78">
        <f>IF(Y218="Aberto",Z218+ROW()/100000,"")</f>
        <v/>
      </c>
      <c r="AB218" s="2">
        <f>IF(ISNUMBER(FIND("@cielo.com.br",S218)),"Interno","Externo")</f>
        <v/>
      </c>
      <c r="AC218" t="inlineStr">
        <is>
          <t>Alterar a data de emissão da nota fiscal.</t>
        </is>
      </c>
      <c r="AD218" t="inlineStr">
        <is>
          <t>alteração na data de emissão; data de corte + emissão; emitidas + dia; emissão + dia</t>
        </is>
      </c>
      <c r="AE218" t="inlineStr">
        <is>
          <t>Alteração de data de emissão da NF</t>
        </is>
      </c>
      <c r="AF218" t="inlineStr">
        <is>
          <t>Documento Fiscal</t>
        </is>
      </c>
      <c r="AG218" t="inlineStr">
        <is>
          <t>Cancelamento e Reemissão de Nota Fiscal</t>
        </is>
      </c>
      <c r="AI218" t="inlineStr">
        <is>
          <t>INT_NF_DATA_EMISSAO</t>
        </is>
      </c>
      <c r="AJ218" t="inlineStr">
        <is>
          <t>Sugerida</t>
        </is>
      </c>
      <c r="AK218" t="b">
        <v>0</v>
      </c>
      <c r="AN218">
        <f>IF(OR(AG218="",AM218=""),"",IF(AG218=AM218,"SIM","NÃO"))</f>
        <v/>
      </c>
      <c r="AO218" t="inlineStr">
        <is>
          <t>CLASSIFIED_PATTERN</t>
        </is>
      </c>
    </row>
    <row r="219" ht="15.5" customHeight="1">
      <c r="A219" s="1" t="n"/>
      <c r="B219" s="67" t="inlineStr">
        <is>
          <t>Emilly Maria</t>
        </is>
      </c>
      <c r="C219" s="70">
        <f>VLOOKUP(I:I,'Referencias '!H:I,2,0)</f>
        <v/>
      </c>
      <c r="D219" s="71" t="n">
        <v>23403160</v>
      </c>
      <c r="E219" s="71" t="n">
        <v>0</v>
      </c>
      <c r="F219" s="72" t="n">
        <v>2616215503456</v>
      </c>
      <c r="G219" s="72">
        <f>VLOOKUP(H:H,'Referencias '!B:C,2,0)</f>
        <v/>
      </c>
      <c r="H219" s="72">
        <f>TRIM(_xlfn.TEXTBEFORE(_xlfn.TEXTAFTER(U219,"CNPJ/CPF:&lt;/strong&gt;"),"&lt;/p&gt;"))</f>
        <v/>
      </c>
      <c r="I219" s="70" t="inlineStr">
        <is>
          <t>Congelamento de contrato</t>
        </is>
      </c>
      <c r="J219" s="72" t="n"/>
      <c r="K219" s="72" t="n"/>
      <c r="L219" s="70" t="inlineStr">
        <is>
          <t>FINALIZADO</t>
        </is>
      </c>
      <c r="M219" s="73" t="inlineStr">
        <is>
          <t>Médio</t>
        </is>
      </c>
      <c r="N219" s="71" t="inlineStr">
        <is>
          <t>1018 Financeiro | Desejo falar com o setor financeiro | Fernanda Camarneira | fernanda.scamarneira@cielo.com.br</t>
        </is>
      </c>
      <c r="O219" s="74" t="n">
        <v>46184</v>
      </c>
      <c r="P219" s="123" t="n">
        <v>46218</v>
      </c>
      <c r="Q219" s="177">
        <f>TEXT(O219,"mmm/aaaa")</f>
        <v/>
      </c>
      <c r="R219" s="71" t="inlineStr">
        <is>
          <t>ECOMMERCE BP SUPORTE FINANCEIRO N2</t>
        </is>
      </c>
      <c r="S219" s="71" t="inlineStr">
        <is>
          <t>fernanda.scamarneira@cielo.com.br</t>
        </is>
      </c>
      <c r="T219" s="71" t="inlineStr">
        <is>
          <t>WHITE MARTINS GASES INDUSTRIAIS LTDA</t>
        </is>
      </c>
      <c r="U219" s="71" t="inlineStr">
        <is>
          <t>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as cobranças voltam em agosto&lt;/p&gt;&lt;p&gt;&lt;strong&gt;GA Client ID:&lt;/strong&gt; 1403402793.1752501889&lt;/p&gt;&lt;p&gt;&lt;strong&gt;Lead Hash ID:&lt;/strong&gt; 36dd63d400823d05da2aa803d2f8723af0e196fe94ec65dc49b06779a279c85c&lt;/p&gt;&lt;p&gt;&lt;strong&gt;Lead Form ID:&lt;/strong&gt; 36dd63d400823d05da2a</t>
        </is>
      </c>
      <c r="V219" s="71">
        <f>IFERROR(_xlfn.TEXTBEFORE(_xlfn.TEXTAFTER(U219,"Descrição do problema:&lt;/strong"),"&lt;/p&gt;"),_xlfn.TEXTAFTER(U219,"Descrição do problema:&lt;/strong"))</f>
        <v/>
      </c>
      <c r="W219" s="76">
        <f>_xlfn.CONCAT(D219:E219)</f>
        <v/>
      </c>
      <c r="X219" s="77" t="n">
        <v>46240</v>
      </c>
      <c r="Y219" s="78">
        <f>IF(X219="","Aberto","Encerrado")</f>
        <v/>
      </c>
      <c r="Z219" s="78">
        <f>IF(OR(L219="PENDENTE",L219="EM ANDAMENTO",L219="PENDENTE APROVAÇÃO CANCELAMENTO NF"),TODAY()-O219,X219-O219)</f>
        <v/>
      </c>
      <c r="AA219" s="78">
        <f>IF(Y219="Aberto",Z219+ROW()/100000,"")</f>
        <v/>
      </c>
      <c r="AB219" s="2">
        <f>IF(ISNUMBER(FIND("@cielo.com.br",S219)),"Interno","Externo")</f>
        <v/>
      </c>
      <c r="AC219" t="inlineStr">
        <is>
          <t>Congelar ou suspender temporariamente contrato ou serviço.</t>
        </is>
      </c>
      <c r="AD219" t="inlineStr">
        <is>
          <t>ACAO:SUSPENDER; OBJETO:COBRANCA; OBJETO:CONTRATO; OBJETO:SUSPENDER</t>
        </is>
      </c>
      <c r="AE219" t="inlineStr">
        <is>
          <t>Congelamento de contrato</t>
        </is>
      </c>
      <c r="AF219" t="inlineStr">
        <is>
          <t>Contrato/Cadastro</t>
        </is>
      </c>
      <c r="AG219" t="inlineStr">
        <is>
          <t>Contratos, Comercial e Cadastro</t>
        </is>
      </c>
      <c r="AI219" t="inlineStr">
        <is>
          <t>INT_CON_CONGELAMENTO</t>
        </is>
      </c>
      <c r="AJ219" t="inlineStr">
        <is>
          <t>Sugerida</t>
        </is>
      </c>
      <c r="AK219" t="b">
        <v>0</v>
      </c>
      <c r="AN219">
        <f>IF(OR(AG219="",AM219=""),"",IF(AG219=AM219,"SIM","NÃO"))</f>
        <v/>
      </c>
      <c r="AO219" t="inlineStr">
        <is>
          <t>CLASSIFIED_SIGNATURE</t>
        </is>
      </c>
    </row>
    <row r="220" ht="15.5" customHeight="1">
      <c r="A220" s="1" t="n"/>
      <c r="B220" s="67" t="inlineStr">
        <is>
          <t>Fabiana Lisboa</t>
        </is>
      </c>
      <c r="C220" s="70">
        <f>VLOOKUP(I:I,'Referencias '!H:I,2,0)</f>
        <v/>
      </c>
      <c r="D220" s="71" t="n">
        <v>23402960</v>
      </c>
      <c r="E220" s="71" t="n">
        <v>0</v>
      </c>
      <c r="F220" s="72" t="n">
        <v>2616215503322</v>
      </c>
      <c r="G220" s="72">
        <f>T220</f>
        <v/>
      </c>
      <c r="H220" s="72" t="n"/>
      <c r="I220" s="70" t="inlineStr">
        <is>
          <t>Reenvio de NF</t>
        </is>
      </c>
      <c r="J220" s="72" t="n"/>
      <c r="K220" s="72" t="n"/>
      <c r="L220" s="70" t="inlineStr">
        <is>
          <t>FINALIZADO</t>
        </is>
      </c>
      <c r="M220" s="73" t="inlineStr">
        <is>
          <t>Médio</t>
        </is>
      </c>
      <c r="N220" s="71" t="inlineStr">
        <is>
          <t>1001 Split de Pagamento | Portal Split | Kelly Rodrigues de Campos | kellyro@cielo.com.br</t>
        </is>
      </c>
      <c r="O220" s="74" t="n">
        <v>46184</v>
      </c>
      <c r="P220" s="123" t="n">
        <v>46218</v>
      </c>
      <c r="Q220" s="177">
        <f>TEXT(O220,"mmm/aaaa")</f>
        <v/>
      </c>
      <c r="R220" s="71" t="inlineStr">
        <is>
          <t>ECOMMERCE BP SUPORTE FINANCEIRO N2</t>
        </is>
      </c>
      <c r="S220" s="71" t="inlineStr">
        <is>
          <t>kellyro@cielo.com.br</t>
        </is>
      </c>
      <c r="T220" s="71" t="inlineStr">
        <is>
          <t>DROGARIA MINAS BRASIL</t>
        </is>
      </c>
      <c r="U220" s="129" t="inlineStr">
        <is>
          <t>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
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t>
        </is>
      </c>
      <c r="V220" s="71">
        <f>IFERROR(_xlfn.TEXTBEFORE(_xlfn.TEXTAFTER(U220,"Descrição do problema:&lt;/strong"),"&lt;/p&gt;"),_xlfn.TEXTAFTER(U220,"Descrição do problema:&lt;/strong"))</f>
        <v/>
      </c>
      <c r="W220" s="76">
        <f>_xlfn.CONCAT(D220:E220)</f>
        <v/>
      </c>
      <c r="X220" s="77" t="n">
        <v>46245</v>
      </c>
      <c r="Y220" s="78">
        <f>IF(X220="","Aberto","Encerrado")</f>
        <v/>
      </c>
      <c r="Z220" s="78">
        <f>IF(OR(L220="PENDENTE",L220="EM ANDAMENTO",L220="PENDENTE APROVAÇÃO CANCELAMENTO NF"),TODAY()-O220,X220-O220)</f>
        <v/>
      </c>
      <c r="AA220" s="78">
        <f>IF(Y220="Aberto",Z220+ROW()/100000,"")</f>
        <v/>
      </c>
      <c r="AB220" s="2">
        <f>IF(ISNUMBER(FIND("@cielo.com.br",S220)),"Interno","Externo")</f>
        <v/>
      </c>
      <c r="AC220" t="inlineStr">
        <is>
          <t>Solicitar segunda via, reenvio ou reemissão de boleto.</t>
        </is>
      </c>
      <c r="AD220" t="inlineStr">
        <is>
          <t>não recebemos + boleto</t>
        </is>
      </c>
      <c r="AE220" t="inlineStr">
        <is>
          <t>Reenvio de boleto</t>
        </is>
      </c>
      <c r="AF220" t="inlineStr">
        <is>
          <t>Título Financeiro</t>
        </is>
      </c>
      <c r="AG220" t="inlineStr">
        <is>
          <t>Pagamentos, Boletos e Recebimentos</t>
        </is>
      </c>
      <c r="AI220" t="inlineStr">
        <is>
          <t>INT_PAG_BOLETO_REENVIO</t>
        </is>
      </c>
      <c r="AJ220" t="inlineStr">
        <is>
          <t>Sugerida</t>
        </is>
      </c>
      <c r="AK220" t="b">
        <v>0</v>
      </c>
      <c r="AN220">
        <f>IF(OR(AG220="",AM220=""),"",IF(AG220=AM220,"SIM","NÃO"))</f>
        <v/>
      </c>
      <c r="AO220" t="inlineStr">
        <is>
          <t>CLASSIFIED_PATTERN</t>
        </is>
      </c>
    </row>
    <row r="221" ht="15.5" customHeight="1">
      <c r="A221" s="1" t="n"/>
      <c r="B221" s="67" t="inlineStr">
        <is>
          <t>Emilly Maria</t>
        </is>
      </c>
      <c r="C221" s="70">
        <f>VLOOKUP(I:I,'Referencias '!H:I,2,0)</f>
        <v/>
      </c>
      <c r="D221" s="71" t="n">
        <v>23401430</v>
      </c>
      <c r="E221" s="71" t="n">
        <v>0</v>
      </c>
      <c r="F221" s="72" t="n">
        <v>2616215502404</v>
      </c>
      <c r="G221" s="72">
        <f>T221</f>
        <v/>
      </c>
      <c r="H221" s="72">
        <f>TRIM(_xlfn.TEXTBEFORE(_xlfn.TEXTAFTER(U221,"CNPJ/CPF:&lt;/strong&gt;"),"&lt;/p&gt;"))</f>
        <v/>
      </c>
      <c r="I221" s="70" t="inlineStr">
        <is>
          <t>Cancelamento de NF</t>
        </is>
      </c>
      <c r="J221" s="72" t="n"/>
      <c r="K221" s="72" t="n"/>
      <c r="L221" s="70" t="inlineStr">
        <is>
          <t>FINALIZADO</t>
        </is>
      </c>
      <c r="M221" s="73" t="inlineStr">
        <is>
          <t>Médio</t>
        </is>
      </c>
      <c r="N221" s="71" t="inlineStr">
        <is>
          <t>1018 Financeiro | Desejo falar com o setor financeiro | Giulia | giuliac@cielo.com.br</t>
        </is>
      </c>
      <c r="O221" s="74" t="n">
        <v>46184</v>
      </c>
      <c r="P221" s="123" t="n">
        <v>46218</v>
      </c>
      <c r="Q221" s="177">
        <f>TEXT(O221,"mmm/aaaa")</f>
        <v/>
      </c>
      <c r="R221" s="71" t="inlineStr">
        <is>
          <t>ECOMMERCE BP SUPORTE FINANCEIRO N2</t>
        </is>
      </c>
      <c r="S221" s="71" t="inlineStr">
        <is>
          <t>giuliac@cielo.com.br</t>
        </is>
      </c>
      <c r="T221" s="71" t="inlineStr"/>
      <c r="U221" s="129" t="inlineStr">
        <is>
          <t>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
CNPJ antigo: 07.061.124/0003-98
CNPJ novo: 07.061.124/0001-26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t>
        </is>
      </c>
      <c r="V221" s="71">
        <f>IFERROR(_xlfn.TEXTBEFORE(_xlfn.TEXTAFTER(U221,"Descrição do problema:&lt;/strong"),"&lt;/p&gt;"),_xlfn.TEXTAFTER(U221,"Descrição do problema:&lt;/strong"))</f>
        <v/>
      </c>
      <c r="W221" s="76">
        <f>_xlfn.CONCAT(D221:E221)</f>
        <v/>
      </c>
      <c r="X221" s="77" t="n">
        <v>46241</v>
      </c>
      <c r="Y221" s="78">
        <f>IF(X221="","Aberto","Encerrado")</f>
        <v/>
      </c>
      <c r="Z221" s="78">
        <f>IF(OR(L221="PENDENTE",L221="EM ANDAMENTO",L221="PENDENTE APROVAÇÃO CANCELAMENTO NF"),TODAY()-O221,X221-O221)</f>
        <v/>
      </c>
      <c r="AA221" s="78">
        <f>IF(Y221="Aberto",Z221+ROW()/100000,"")</f>
        <v/>
      </c>
      <c r="AB221" s="2">
        <f>IF(ISNUMBER(FIND("@cielo.com.br",S221)),"Interno","Externo")</f>
        <v/>
      </c>
      <c r="AC221" t="inlineStr">
        <is>
          <t>Cancelar, substituir ou reemitir nota fiscal.</t>
        </is>
      </c>
      <c r="AD221" t="inlineStr">
        <is>
          <t>cessão de cnpj</t>
        </is>
      </c>
      <c r="AE221" t="inlineStr">
        <is>
          <t>Cancelamento de NF</t>
        </is>
      </c>
      <c r="AF221" t="inlineStr">
        <is>
          <t>Documento Fiscal</t>
        </is>
      </c>
      <c r="AG221" t="inlineStr">
        <is>
          <t>Cancelamento e Reemissão de Nota Fiscal</t>
        </is>
      </c>
      <c r="AI221" t="inlineStr">
        <is>
          <t>INT_NF_CANCEL_REEMISSAO</t>
        </is>
      </c>
      <c r="AJ221" t="inlineStr">
        <is>
          <t>Sugerida</t>
        </is>
      </c>
      <c r="AK221" t="b">
        <v>0</v>
      </c>
      <c r="AN221">
        <f>IF(OR(AG221="",AM221=""),"",IF(AG221=AM221,"SIM","NÃO"))</f>
        <v/>
      </c>
      <c r="AO221" t="inlineStr">
        <is>
          <t>CLASSIFIED_PATTERN</t>
        </is>
      </c>
    </row>
    <row r="222" ht="15.5" customHeight="1">
      <c r="A222" s="1" t="n"/>
      <c r="B222" s="67" t="inlineStr">
        <is>
          <t>Stephany Lima</t>
        </is>
      </c>
      <c r="C222" s="70">
        <f>VLOOKUP(I:I,'Referencias '!H:I,2,0)</f>
        <v/>
      </c>
      <c r="D222" s="71" t="n">
        <v>24744497</v>
      </c>
      <c r="E222" s="71" t="n">
        <v>0</v>
      </c>
      <c r="F222" s="72" t="n">
        <v>2619612372077</v>
      </c>
      <c r="G222" s="72">
        <f>VLOOKUP(H:H,'Referencias '!B:C,2,0)</f>
        <v/>
      </c>
      <c r="H222" s="72">
        <f>TRIM(_xlfn.TEXTBEFORE(_xlfn.TEXTAFTER(U222,"CNPJ/CPF:&lt;/strong&gt;"),"&lt;/p&gt;"))</f>
        <v/>
      </c>
      <c r="I222" s="70" t="inlineStr">
        <is>
          <t>Cancelamento de Nota Fiscal / Reemissão</t>
        </is>
      </c>
      <c r="J222" s="72" t="n"/>
      <c r="K222" s="72" t="inlineStr">
        <is>
          <t>Cliente</t>
        </is>
      </c>
      <c r="L222" s="70" t="inlineStr">
        <is>
          <t>PENDENTE</t>
        </is>
      </c>
      <c r="M222" s="73" t="inlineStr">
        <is>
          <t>Médio</t>
        </is>
      </c>
      <c r="N222" s="71" t="inlineStr">
        <is>
          <t>1003 Gateway de Pagamento | Criação de loja (Gateway de Pagamento) | Sirlene Moura | financeiro@holi4u.com</t>
        </is>
      </c>
      <c r="O222" s="74" t="n">
        <v>46218</v>
      </c>
      <c r="P222" s="123" t="n">
        <v>46219</v>
      </c>
      <c r="Q222" s="177">
        <f>TEXT(O222,"mmm/aaaa")</f>
        <v/>
      </c>
      <c r="R222" s="71" t="inlineStr">
        <is>
          <t>ECOMMERCE BP SUPORTE FINANCEIRO N2</t>
        </is>
      </c>
      <c r="S222" s="71" t="inlineStr">
        <is>
          <t>financeiro@holi4u.com</t>
        </is>
      </c>
      <c r="T222" s="71" t="inlineStr">
        <is>
          <t>HOLI4U</t>
        </is>
      </c>
      <c r="U222" s="71" t="inlineStr">
        <is>
          <t>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
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t>
        </is>
      </c>
      <c r="V222" s="71">
        <f>IFERROR(_xlfn.TEXTBEFORE(_xlfn.TEXTAFTER(U222,"Descrição do problema:&lt;/strong"),"&lt;/p&gt;"),_xlfn.TEXTAFTER(U222,"Descrição do problema:&lt;/strong"))</f>
        <v/>
      </c>
      <c r="W222" s="76">
        <f>_xlfn.CONCAT(D222:E222)</f>
        <v/>
      </c>
      <c r="X222" s="77" t="n"/>
      <c r="Y222" s="78">
        <f>IF(X222="","Aberto","Encerrado")</f>
        <v/>
      </c>
      <c r="Z222" s="78">
        <f>IF(OR(L222="PENDENTE",L222="EM ANDAMENTO",L222="PENDENTE APROVAÇÃO CANCELAMENTO NF"),TODAY()-O222,X222-O222)</f>
        <v/>
      </c>
      <c r="AA222" s="78">
        <f>IF(Y222="Aberto",Z222+ROW()/100000,"")</f>
        <v/>
      </c>
      <c r="AB222" s="2">
        <f>IF(ISNUMBER(FIND("@cielo.com.br",S222)),"Interno","Externo")</f>
        <v/>
      </c>
      <c r="AC222" t="inlineStr">
        <is>
          <t>Reenviar nota fiscal não recebida.</t>
        </is>
      </c>
      <c r="AD222" t="inlineStr">
        <is>
          <t>não recebemos + nf</t>
        </is>
      </c>
      <c r="AE222" t="inlineStr">
        <is>
          <t>Reenvio de NF</t>
        </is>
      </c>
      <c r="AF222" t="inlineStr">
        <is>
          <t>Parâmetro de Faturamento</t>
        </is>
      </c>
      <c r="AG222" t="inlineStr">
        <is>
          <t>Faturamento e Obrigações Fiscais</t>
        </is>
      </c>
      <c r="AI222" t="inlineStr">
        <is>
          <t>INT_FAT_REENVIO_NF</t>
        </is>
      </c>
      <c r="AJ222" t="inlineStr">
        <is>
          <t>Sugerida</t>
        </is>
      </c>
      <c r="AK222" t="b">
        <v>0</v>
      </c>
      <c r="AN222">
        <f>IF(OR(AG222="",AM222=""),"",IF(AG222=AM222,"SIM","NÃO"))</f>
        <v/>
      </c>
      <c r="AO222" t="inlineStr">
        <is>
          <t>CLASSIFIED_PATTERN</t>
        </is>
      </c>
    </row>
    <row r="223" ht="15.5" customHeight="1">
      <c r="A223" s="1" t="n"/>
      <c r="B223" s="67" t="inlineStr">
        <is>
          <t>Stephany Lima</t>
        </is>
      </c>
      <c r="C223" s="70">
        <f>VLOOKUP(I:I,'Referencias '!H:I,2,0)</f>
        <v/>
      </c>
      <c r="D223" s="71" t="n">
        <v>24738012</v>
      </c>
      <c r="E223" s="71" t="n">
        <v>0</v>
      </c>
      <c r="F223" s="72" t="n">
        <v>2619611368035</v>
      </c>
      <c r="G223" s="72">
        <f>VLOOKUP(H:H,'Referencias '!B:C,2,0)</f>
        <v/>
      </c>
      <c r="H223" s="72">
        <f>TRIM(_xlfn.TEXTBEFORE(_xlfn.TEXTAFTER(U223,"CNPJ/CPF:&lt;/strong&gt;"),"&lt;/p&gt;"))</f>
        <v/>
      </c>
      <c r="I223" s="70" t="inlineStr">
        <is>
          <t>Cancelamento de Nota Fiscal</t>
        </is>
      </c>
      <c r="J223" s="72" t="n"/>
      <c r="K223" s="72" t="inlineStr">
        <is>
          <t>Comercial</t>
        </is>
      </c>
      <c r="L223" s="70" t="inlineStr">
        <is>
          <t>PENDENTE</t>
        </is>
      </c>
      <c r="M223" s="73" t="inlineStr">
        <is>
          <t>Médio</t>
        </is>
      </c>
      <c r="N223" s="71" t="inlineStr">
        <is>
          <t>1018 Financeiro | Desejo falar com o setor financeiro | HORTIFRUTI VILA DAS FRUTAS | ariane.pasilva@cielo.com.br</t>
        </is>
      </c>
      <c r="O223" s="74" t="n">
        <v>46218</v>
      </c>
      <c r="P223" s="123" t="n">
        <v>46219</v>
      </c>
      <c r="Q223" s="177">
        <f>TEXT(O223,"mmm/aaaa")</f>
        <v/>
      </c>
      <c r="R223" s="71" t="inlineStr">
        <is>
          <t>ECOMMERCE BP SUPORTE FINANCEIRO N2</t>
        </is>
      </c>
      <c r="S223" s="71" t="inlineStr">
        <is>
          <t>ariane.pasilva@cielo.com.br</t>
        </is>
      </c>
      <c r="T223" s="71" t="inlineStr"/>
      <c r="U223" s="71" t="inlineStr">
        <is>
          <t>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
096712
098654
099978
100289
102093
102632
103886
104585
106706
106815
108166
108825
110134
110833
112857
113142
114737
115145
117076
117304
096221
078556
081106
081279
081751
082460
082911
084402
084589
085556
086052
087259
087865
089104
089536
090662
091252
092517
093031
094463
094845&lt;/p&gt;&lt;p&gt;&lt;strong&gt;ID da transação:&lt;/strong&gt; &lt;/p&gt;&lt;p&gt;&lt;strong&gt;Código do erro:&lt;/strong&gt; &lt;/p&gt;&lt;p&gt;&lt;strong&gt;Sobre qual produto ou área deseja falar?:&lt;/strong&gt; Financeiro&lt;</t>
        </is>
      </c>
      <c r="V223" s="71">
        <f>IFERROR(_xlfn.TEXTBEFORE(_xlfn.TEXTAFTER(U223,"Descrição do problema:&lt;/strong"),"&lt;/p&gt;"),_xlfn.TEXTAFTER(U223,"Descrição do problema:&lt;/strong"))</f>
        <v/>
      </c>
      <c r="W223" s="76">
        <f>_xlfn.CONCAT(D223:E223)</f>
        <v/>
      </c>
      <c r="X223" s="77" t="n"/>
      <c r="Y223" s="78">
        <f>IF(X223="","Aberto","Encerrado")</f>
        <v/>
      </c>
      <c r="Z223" s="78">
        <f>IF(OR(L223="PENDENTE",L223="EM ANDAMENTO",L223="PENDENTE APROVAÇÃO CANCELAMENTO NF"),TODAY()-O223,X223-O223)</f>
        <v/>
      </c>
      <c r="AA223" s="78">
        <f>IF(Y223="Aberto",Z223+ROW()/100000,"")</f>
        <v/>
      </c>
      <c r="AB223" s="2">
        <f>IF(ISNUMBER(FIND("@cielo.com.br",S223)),"Interno","Externo")</f>
        <v/>
      </c>
      <c r="AC223" t="inlineStr">
        <is>
          <t>Cancelar, substituir ou reemitir nota fiscal.</t>
        </is>
      </c>
      <c r="AD223" t="inlineStr">
        <is>
          <t>ACAO:CANCELAR; OBJETO:NOTA_FISCAL</t>
        </is>
      </c>
      <c r="AE223" t="inlineStr">
        <is>
          <t>Cancelamento de NF</t>
        </is>
      </c>
      <c r="AF223" t="inlineStr">
        <is>
          <t>Documento Fiscal</t>
        </is>
      </c>
      <c r="AG223" t="inlineStr">
        <is>
          <t>Cancelamento e Reemissão de Nota Fiscal</t>
        </is>
      </c>
      <c r="AI223" t="inlineStr">
        <is>
          <t>INT_NF_CANCEL_REEMISSAO</t>
        </is>
      </c>
      <c r="AJ223" t="inlineStr">
        <is>
          <t>Sugerida</t>
        </is>
      </c>
      <c r="AK223" t="b">
        <v>0</v>
      </c>
      <c r="AN223">
        <f>IF(OR(AG223="",AM223=""),"",IF(AG223=AM223,"SIM","NÃO"))</f>
        <v/>
      </c>
      <c r="AO223" t="inlineStr">
        <is>
          <t>CLASSIFIED_SIGNATURE</t>
        </is>
      </c>
    </row>
    <row r="224" ht="15.5" customHeight="1">
      <c r="A224" s="1" t="n"/>
      <c r="B224" s="67" t="inlineStr">
        <is>
          <t>Emilly Maria</t>
        </is>
      </c>
      <c r="C224" s="70">
        <f>VLOOKUP(I:I,'Referencias '!H:I,2,0)</f>
        <v/>
      </c>
      <c r="D224" s="71" t="n">
        <v>23357234</v>
      </c>
      <c r="E224" s="71" t="n">
        <v>0</v>
      </c>
      <c r="F224" s="72" t="n">
        <v>2616118473784</v>
      </c>
      <c r="G224" s="72">
        <f>VLOOKUP(H:H,'Referencias '!B:C,2,0)</f>
        <v/>
      </c>
      <c r="H224" s="72">
        <f>TRIM(_xlfn.TEXTBEFORE(_xlfn.TEXTAFTER(U224,"CNPJ/CPF:&lt;/strong&gt;"),"&lt;/p&gt;"))</f>
        <v/>
      </c>
      <c r="I224" s="70" t="inlineStr">
        <is>
          <t>Mudança conta recebimento</t>
        </is>
      </c>
      <c r="J224" s="72" t="n"/>
      <c r="K224" s="72" t="n"/>
      <c r="L224" s="70" t="inlineStr">
        <is>
          <t>FINALIZADO</t>
        </is>
      </c>
      <c r="M224" s="73" t="inlineStr">
        <is>
          <t>Médio</t>
        </is>
      </c>
      <c r="N224" s="71" t="inlineStr">
        <is>
          <t>1018 Financeiro | Desejo falar com o setor financeiro | Marcio | msanpoli@payamigo.com</t>
        </is>
      </c>
      <c r="O224" s="74" t="n">
        <v>46183</v>
      </c>
      <c r="P224" s="123" t="n">
        <v>46218</v>
      </c>
      <c r="Q224" s="177">
        <f>TEXT(O224,"mmm/aaaa")</f>
        <v/>
      </c>
      <c r="R224" s="71" t="inlineStr">
        <is>
          <t>ECOMMERCE BP SUPORTE FINANCEIRO N2</t>
        </is>
      </c>
      <c r="S224" s="71" t="inlineStr">
        <is>
          <t>msanpoli@payamigo.com</t>
        </is>
      </c>
      <c r="T224" s="71" t="inlineStr"/>
      <c r="U224" s="129" t="inlineStr">
        <is>
          <t>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
Banco Santander
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t>
        </is>
      </c>
      <c r="V224" s="71">
        <f>IFERROR(_xlfn.TEXTBEFORE(_xlfn.TEXTAFTER(U224,"Descrição do problema:&lt;/strong"),"&lt;/p&gt;"),_xlfn.TEXTAFTER(U224,"Descrição do problema:&lt;/strong"))</f>
        <v/>
      </c>
      <c r="W224" s="76">
        <f>_xlfn.CONCAT(D224:E224)</f>
        <v/>
      </c>
      <c r="X224" s="121" t="n">
        <v>46241</v>
      </c>
      <c r="Y224" s="78">
        <f>IF(X224="","Aberto","Encerrado")</f>
        <v/>
      </c>
      <c r="Z224" s="78">
        <f>IF(OR(L224="PENDENTE",L224="EM ANDAMENTO",L224="PENDENTE APROVAÇÃO CANCELAMENTO NF"),TODAY()-O224,X224-O224)</f>
        <v/>
      </c>
      <c r="AA224" s="78">
        <f>IF(Y224="Aberto",Z224+ROW()/100000,"")</f>
        <v/>
      </c>
      <c r="AB224" s="2">
        <f>IF(ISNUMBER(FIND("@cielo.com.br",S224)),"Interno","Externo")</f>
        <v/>
      </c>
      <c r="AC224" t="inlineStr">
        <is>
          <t>Alterar conta, domicílio ou forma de recebimento.</t>
        </is>
      </c>
      <c r="AD224" t="inlineStr">
        <is>
          <t>domicílio bancário; mudança do domicílio bancário</t>
        </is>
      </c>
      <c r="AE224" t="inlineStr">
        <is>
          <t>Troca de conta para depósito</t>
        </is>
      </c>
      <c r="AF224" t="inlineStr">
        <is>
          <t>Título Financeiro</t>
        </is>
      </c>
      <c r="AG224" t="inlineStr">
        <is>
          <t>Pagamentos, Boletos e Recebimentos</t>
        </is>
      </c>
      <c r="AI224" t="inlineStr">
        <is>
          <t>INT_PAG_CONTA</t>
        </is>
      </c>
      <c r="AJ224" t="inlineStr">
        <is>
          <t>Sugerida</t>
        </is>
      </c>
      <c r="AK224" t="b">
        <v>0</v>
      </c>
      <c r="AN224">
        <f>IF(OR(AG224="",AM224=""),"",IF(AG224=AM224,"SIM","NÃO"))</f>
        <v/>
      </c>
      <c r="AO224" t="inlineStr">
        <is>
          <t>CLASSIFIED_PATTERN</t>
        </is>
      </c>
    </row>
    <row r="225" ht="15.5" customHeight="1">
      <c r="A225" s="1" t="n"/>
      <c r="B225" s="67" t="inlineStr">
        <is>
          <t>Pamela de Sá</t>
        </is>
      </c>
      <c r="C225" s="70">
        <f>VLOOKUP(I:I,'Referencias '!H:I,2,0)</f>
        <v/>
      </c>
      <c r="D225" s="71" t="n">
        <v>23343714</v>
      </c>
      <c r="E225" s="71" t="n">
        <v>0</v>
      </c>
      <c r="F225" s="72" t="n">
        <v>2616115465482</v>
      </c>
      <c r="G225" s="72">
        <f>T225</f>
        <v/>
      </c>
      <c r="H225" s="72">
        <f>TRIM(_xlfn.TEXTBEFORE(_xlfn.TEXTAFTER(U225,"CNPJ/CPF:&lt;/strong&gt;"),"&lt;/p&gt;"))</f>
        <v/>
      </c>
      <c r="I225" s="70" t="inlineStr">
        <is>
          <t>Atualização cadastral (email)</t>
        </is>
      </c>
      <c r="J225" s="72" t="n"/>
      <c r="K225" s="72" t="n"/>
      <c r="L225" s="70" t="inlineStr">
        <is>
          <t>FINALIZADO</t>
        </is>
      </c>
      <c r="M225" s="73" t="inlineStr">
        <is>
          <t>Médio</t>
        </is>
      </c>
      <c r="N225" s="71" t="inlineStr">
        <is>
          <t>1018 Financeiro | Desejo falar com o setor financeiro | MAITE VITÓRIA (PROMETEON) | maite.silva@prometeon.com</t>
        </is>
      </c>
      <c r="O225" s="74" t="n">
        <v>46183</v>
      </c>
      <c r="P225" s="123" t="n">
        <v>46218</v>
      </c>
      <c r="Q225" s="177">
        <f>TEXT(O225,"mmm/aaaa")</f>
        <v/>
      </c>
      <c r="R225" s="71" t="inlineStr">
        <is>
          <t>ECOMMERCE BP SUPORTE FINANCEIRO N2</t>
        </is>
      </c>
      <c r="S225" s="71" t="inlineStr">
        <is>
          <t>maite.silva@prometeon.com</t>
        </is>
      </c>
      <c r="T225" s="71" t="inlineStr"/>
      <c r="U225" s="129" t="inlineStr">
        <is>
          <t>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t>
        </is>
      </c>
      <c r="V225" s="71">
        <f>IFERROR(_xlfn.TEXTBEFORE(_xlfn.TEXTAFTER(U225,"Descrição do problema:&lt;/strong"),"&lt;/p&gt;"),_xlfn.TEXTAFTER(U225,"Descrição do problema:&lt;/strong"))</f>
        <v/>
      </c>
      <c r="W225" s="76">
        <f>_xlfn.CONCAT(D225:E225)</f>
        <v/>
      </c>
      <c r="X225" s="77" t="n">
        <v>46240</v>
      </c>
      <c r="Y225" s="78">
        <f>IF(X225="","Aberto","Encerrado")</f>
        <v/>
      </c>
      <c r="Z225" s="78">
        <f>IF(OR(L225="PENDENTE",L225="EM ANDAMENTO",L225="PENDENTE APROVAÇÃO CANCELAMENTO NF"),TODAY()-O225,X225-O225)</f>
        <v/>
      </c>
      <c r="AA225" s="78">
        <f>IF(Y225="Aberto",Z225+ROW()/100000,"")</f>
        <v/>
      </c>
      <c r="AB225" s="2">
        <f>IF(ISNUMBER(FIND("@cielo.com.br",S225)),"Interno","Externo")</f>
        <v/>
      </c>
      <c r="AC225" t="inlineStr">
        <is>
          <t>Alterar ou prorrogar vencimento ou prazo de pagamento.</t>
        </is>
      </c>
      <c r="AD225" t="inlineStr">
        <is>
          <t>mudança + vencimento</t>
        </is>
      </c>
      <c r="AE225" t="inlineStr">
        <is>
          <t>Alteração de vencimento</t>
        </is>
      </c>
      <c r="AF225" t="inlineStr">
        <is>
          <t>Título Financeiro</t>
        </is>
      </c>
      <c r="AG225" t="inlineStr">
        <is>
          <t>Pagamentos, Boletos e Recebimentos</t>
        </is>
      </c>
      <c r="AI225" t="inlineStr">
        <is>
          <t>INT_PAG_VENCIMENTO</t>
        </is>
      </c>
      <c r="AJ225" t="inlineStr">
        <is>
          <t>Sugerida</t>
        </is>
      </c>
      <c r="AK225" t="b">
        <v>0</v>
      </c>
      <c r="AN225">
        <f>IF(OR(AG225="",AM225=""),"",IF(AG225=AM225,"SIM","NÃO"))</f>
        <v/>
      </c>
      <c r="AO225" t="inlineStr">
        <is>
          <t>CLASSIFIED_PATTERN</t>
        </is>
      </c>
    </row>
    <row r="226" ht="15.5" customHeight="1">
      <c r="A226" s="1" t="n"/>
      <c r="B226" s="67" t="inlineStr">
        <is>
          <t>Fabiana Lisboa</t>
        </is>
      </c>
      <c r="C226" s="70">
        <f>VLOOKUP(I:I,'Referencias '!H:I,2,0)</f>
        <v/>
      </c>
      <c r="D226" s="71" t="n">
        <v>23306536</v>
      </c>
      <c r="E226" s="71" t="n">
        <v>0</v>
      </c>
      <c r="F226" s="72" t="n">
        <v>2616109441135</v>
      </c>
      <c r="G226" s="72">
        <f>T226</f>
        <v/>
      </c>
      <c r="H226" s="72">
        <f>TRIM(_xlfn.TEXTBEFORE(_xlfn.TEXTAFTER(U226,"CNPJ/CPF:&lt;/strong&gt;"),"&lt;/p&gt;"))</f>
        <v/>
      </c>
      <c r="I226" s="70" t="inlineStr">
        <is>
          <t>Sem ação, encerrar</t>
        </is>
      </c>
      <c r="J226" s="72" t="n"/>
      <c r="K226" s="72" t="n"/>
      <c r="L226" s="70" t="inlineStr">
        <is>
          <t>FINALIZADO</t>
        </is>
      </c>
      <c r="M226" s="73" t="inlineStr">
        <is>
          <t>Médio</t>
        </is>
      </c>
      <c r="N226" s="71" t="inlineStr">
        <is>
          <t>1018 Financeiro | Desejo falar com o setor financeiro | Matheus Frade | matheus.frade@iter.com.br</t>
        </is>
      </c>
      <c r="O226" s="74" t="n">
        <v>46183</v>
      </c>
      <c r="P226" s="123" t="n">
        <v>46218</v>
      </c>
      <c r="Q226" s="177">
        <f>TEXT(O226,"mmm/aaaa")</f>
        <v/>
      </c>
      <c r="R226" s="71" t="inlineStr">
        <is>
          <t>ECOMMERCE BP SUPORTE FINANCEIRO N2</t>
        </is>
      </c>
      <c r="S226" s="71" t="inlineStr">
        <is>
          <t>matheus.frade@iter.com.br</t>
        </is>
      </c>
      <c r="T226" s="71" t="inlineStr">
        <is>
          <t>PARQUE DO CARACOL</t>
        </is>
      </c>
      <c r="U226" s="129" t="inlineStr">
        <is>
          <t>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Solicito o envio das notas fiscais emitidas em junho/26 para pagamento. Até o momento não recebemos os documentos. 
Tomador do Serviço  
NOVO CARACOL E TAINHAS S.A. 
48.255.552/0001-77&lt;/p&gt;&lt;p&gt;&lt;strong&gt;GA Client ID:&lt;/strong&gt; 2019939404.1755715981&lt;/p&gt;&lt;p&gt;&lt;strong&gt;Lead Hash ID:&lt;/strong&gt; 561b6c58c7163d17ac9508eb5069cf8a4372713e2d8779d827e5082ad0e8e496&lt;/p&gt;&lt;p&gt;&lt;strong&gt;Lead Form ID:&lt;/stro</t>
        </is>
      </c>
      <c r="V226" s="71">
        <f>IFERROR(_xlfn.TEXTBEFORE(_xlfn.TEXTAFTER(U226,"Descrição do problema:&lt;/strong"),"&lt;/p&gt;"),_xlfn.TEXTAFTER(U226,"Descrição do problema:&lt;/strong"))</f>
        <v/>
      </c>
      <c r="W226" s="76">
        <f>_xlfn.CONCAT(D226:E226)</f>
        <v/>
      </c>
      <c r="X226" s="77" t="n">
        <v>46245</v>
      </c>
      <c r="Y226" s="78">
        <f>IF(X226="","Aberto","Encerrado")</f>
        <v/>
      </c>
      <c r="Z226" s="78">
        <f>IF(OR(L226="PENDENTE",L226="EM ANDAMENTO",L226="PENDENTE APROVAÇÃO CANCELAMENTO NF"),TODAY()-O226,X226-O226)</f>
        <v/>
      </c>
      <c r="AA226" s="78">
        <f>IF(Y226="Aberto",Z226+ROW()/100000,"")</f>
        <v/>
      </c>
      <c r="AB226" s="2">
        <f>IF(ISNUMBER(FIND("@cielo.com.br",S226)),"Interno","Externo")</f>
        <v/>
      </c>
      <c r="AC226" t="inlineStr">
        <is>
          <t>Reenviar nota fiscal não recebida.</t>
        </is>
      </c>
      <c r="AD226" t="inlineStr">
        <is>
          <t>envio das notas fiscais; não recebemos + nf</t>
        </is>
      </c>
      <c r="AE226" t="inlineStr">
        <is>
          <t>Reenvio de NF</t>
        </is>
      </c>
      <c r="AF226" t="inlineStr">
        <is>
          <t>Parâmetro de Faturamento</t>
        </is>
      </c>
      <c r="AG226" t="inlineStr">
        <is>
          <t>Faturamento e Obrigações Fiscais</t>
        </is>
      </c>
      <c r="AI226" t="inlineStr">
        <is>
          <t>INT_FAT_REENVIO_NF</t>
        </is>
      </c>
      <c r="AJ226" t="inlineStr">
        <is>
          <t>Sugerida</t>
        </is>
      </c>
      <c r="AK226" t="b">
        <v>0</v>
      </c>
      <c r="AN226">
        <f>IF(OR(AG226="",AM226=""),"",IF(AG226=AM226,"SIM","NÃO"))</f>
        <v/>
      </c>
      <c r="AO226" t="inlineStr">
        <is>
          <t>CLASSIFIED_PATTERN</t>
        </is>
      </c>
    </row>
    <row r="227" ht="15.5" customHeight="1">
      <c r="A227" s="1" t="n"/>
      <c r="B227" s="67" t="inlineStr">
        <is>
          <t>Stephany Lima</t>
        </is>
      </c>
      <c r="C227" s="70">
        <f>VLOOKUP(I:I,'Referencias '!H:I,2,0)</f>
        <v/>
      </c>
      <c r="D227" s="129" t="n">
        <v>24820605</v>
      </c>
      <c r="E227" s="71" t="n">
        <v>0</v>
      </c>
      <c r="F227" s="72" t="n">
        <v>2619715420945</v>
      </c>
      <c r="G227" s="72">
        <f>VLOOKUP(H:H,'Referencias '!B:C,2,0)</f>
        <v/>
      </c>
      <c r="H227" s="72">
        <f>TRIM(_xlfn.TEXTBEFORE(_xlfn.TEXTAFTER(U227,"CNPJ/CPF:&lt;/strong&gt;"),"&lt;/p&gt;"))</f>
        <v/>
      </c>
      <c r="I227" s="70" t="inlineStr">
        <is>
          <t>Cancelamento de Nota Fiscal</t>
        </is>
      </c>
      <c r="J227" s="72" t="n"/>
      <c r="K227" s="72" t="inlineStr">
        <is>
          <t>Comercial</t>
        </is>
      </c>
      <c r="L227" s="70" t="inlineStr">
        <is>
          <t>EM ANDAMENTO</t>
        </is>
      </c>
      <c r="M227" s="73" t="inlineStr">
        <is>
          <t>Médio</t>
        </is>
      </c>
      <c r="N227" s="71" t="inlineStr">
        <is>
          <t>1018 Financeiro | Desejo falar com o setor financeiro | FRUITFY INTERMEDIACOES E PAGAMENTOS LTDA | ariane.pasilva@cielo.com.br</t>
        </is>
      </c>
      <c r="O227" s="74" t="n">
        <v>46219</v>
      </c>
      <c r="P227" s="123" t="n">
        <v>46219</v>
      </c>
      <c r="Q227" s="177">
        <f>TEXT(O227,"mmm/aaaa")</f>
        <v/>
      </c>
      <c r="R227" s="71" t="inlineStr">
        <is>
          <t>ECOMMERCE BP SUPORTE FINANCEIRO N2</t>
        </is>
      </c>
      <c r="S227" s="71" t="inlineStr">
        <is>
          <t>ariane.pasilva@cielo.com.br</t>
        </is>
      </c>
      <c r="T227" s="71" t="inlineStr">
        <is>
          <t>FRUITFY PAGAMENTOS</t>
        </is>
      </c>
      <c r="U227" s="71" t="inlineStr">
        <is>
          <t>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t>
        </is>
      </c>
      <c r="V227" s="71">
        <f>IFERROR(_xlfn.TEXTBEFORE(_xlfn.TEXTAFTER(U227,"Descrição do problema:&lt;/strong"),"&lt;/p&gt;"),_xlfn.TEXTAFTER(U227,"Descrição do problema:&lt;/strong"))</f>
        <v/>
      </c>
      <c r="W227" s="76">
        <f>_xlfn.CONCAT(D227:E227)</f>
        <v/>
      </c>
      <c r="X227" s="77" t="n"/>
      <c r="Y227" s="78">
        <f>IF(X227="","Aberto","Encerrado")</f>
        <v/>
      </c>
      <c r="Z227" s="78">
        <f>IF(OR(L227="PENDENTE",L227="EM ANDAMENTO",L227="PENDENTE APROVAÇÃO CANCELAMENTO NF"),TODAY()-O227,X227-O227)</f>
        <v/>
      </c>
      <c r="AA227" s="78">
        <f>IF(Y227="Aberto",Z227+ROW()/100000,"")</f>
        <v/>
      </c>
      <c r="AB227" s="2">
        <f>IF(ISNUMBER(FIND("@cielo.com.br",S227)),"Interno","Externo")</f>
        <v/>
      </c>
      <c r="AC227" t="inlineStr">
        <is>
          <t>Cancelar, substituir ou reemitir nota fiscal.</t>
        </is>
      </c>
      <c r="AD227" t="inlineStr">
        <is>
          <t>ACAO:CANCELAR; OBJETO:NOTA_FISCAL</t>
        </is>
      </c>
      <c r="AE227" t="inlineStr">
        <is>
          <t>Cancelamento de NF</t>
        </is>
      </c>
      <c r="AF227" t="inlineStr">
        <is>
          <t>Documento Fiscal</t>
        </is>
      </c>
      <c r="AG227" t="inlineStr">
        <is>
          <t>Cancelamento e Reemissão de Nota Fiscal</t>
        </is>
      </c>
      <c r="AI227" t="inlineStr">
        <is>
          <t>INT_NF_CANCEL_REEMISSAO</t>
        </is>
      </c>
      <c r="AJ227" t="inlineStr">
        <is>
          <t>Sugerida</t>
        </is>
      </c>
      <c r="AK227" t="b">
        <v>0</v>
      </c>
      <c r="AN227">
        <f>IF(OR(AG227="",AM227=""),"",IF(AG227=AM227,"SIM","NÃO"))</f>
        <v/>
      </c>
      <c r="AO227" t="inlineStr">
        <is>
          <t>CLASSIFIED_SIGNATURE</t>
        </is>
      </c>
    </row>
    <row r="228" ht="15.5" customHeight="1">
      <c r="A228" s="1" t="n"/>
      <c r="B228" s="67" t="inlineStr">
        <is>
          <t>Pamela de Sá</t>
        </is>
      </c>
      <c r="C228" s="70">
        <f>VLOOKUP(I:I,'Referencias '!H:I,2,0)</f>
        <v/>
      </c>
      <c r="D228" s="71" t="n">
        <v>23060590</v>
      </c>
      <c r="E228" s="71" t="n">
        <v>0</v>
      </c>
      <c r="F228" s="72" t="n">
        <v>2615410276736</v>
      </c>
      <c r="G228" s="72">
        <f>T228</f>
        <v/>
      </c>
      <c r="H228" s="72">
        <f>TRIM(_xlfn.TEXTBEFORE(_xlfn.TEXTAFTER(U228,"CNPJ/CPF:&lt;/strong&gt;"),"&lt;/p&gt;"))</f>
        <v/>
      </c>
      <c r="I228" s="70" t="inlineStr">
        <is>
          <t>Regularização Pendências Financeiras</t>
        </is>
      </c>
      <c r="J228" s="72" t="n"/>
      <c r="K228" s="72" t="n"/>
      <c r="L228" s="70" t="inlineStr">
        <is>
          <t>PENDENTE</t>
        </is>
      </c>
      <c r="M228" s="73" t="inlineStr">
        <is>
          <t>Médio</t>
        </is>
      </c>
      <c r="N228" s="71" t="inlineStr">
        <is>
          <t>1018 Financeiro | Desejo falar com o setor financeiro | Leonardo Meira | leonardomeira@madeiranit.com.br</t>
        </is>
      </c>
      <c r="O228" s="74" t="n">
        <v>46176</v>
      </c>
      <c r="P228" s="123" t="n">
        <v>46218</v>
      </c>
      <c r="Q228" s="177">
        <f>TEXT(O228,"mmm/aaaa")</f>
        <v/>
      </c>
      <c r="R228" s="71" t="inlineStr">
        <is>
          <t>ECOMMERCE BP SUPORTE FINANCEIRO N2</t>
        </is>
      </c>
      <c r="S228" s="71" t="inlineStr">
        <is>
          <t>leonardomeira@madeiranit.com.br</t>
        </is>
      </c>
      <c r="T228" s="71" t="inlineStr">
        <is>
          <t>MADEIRANIT MATERIAIS PARA CONSTRUCAO LTDA</t>
        </is>
      </c>
      <c r="U228" s="129" t="inlineStr">
        <is>
          <t>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
Vamos precisar iniciar novamente o uso, entretanto queremos entender o que motivou esse bloqueio e como resolver&lt;/p&gt;&lt;p&gt;&lt;strong&gt;GA Client ID:&lt;/strong&gt; &lt;/p&gt;&lt;p&gt;&lt;strong&gt;Lead Hash ID:&lt;/strong&gt; 7eacf38cad582e4c</t>
        </is>
      </c>
      <c r="V228" s="71">
        <f>IFERROR(_xlfn.TEXTBEFORE(_xlfn.TEXTAFTER(U228,"Descrição do problema:&lt;/strong"),"&lt;/p&gt;"),_xlfn.TEXTAFTER(U228,"Descrição do problema:&lt;/strong"))</f>
        <v/>
      </c>
      <c r="W228" s="76">
        <f>_xlfn.CONCAT(D228:E228)</f>
        <v/>
      </c>
      <c r="X228" s="77" t="n"/>
      <c r="Y228" s="78">
        <f>IF(X228="","Aberto","Encerrado")</f>
        <v/>
      </c>
      <c r="Z228" s="78">
        <f>IF(OR(L228="PENDENTE",L228="EM ANDAMENTO",L228="PENDENTE APROVAÇÃO CANCELAMENTO NF"),TODAY()-O228,X228-O228)</f>
        <v/>
      </c>
      <c r="AA228" s="78">
        <f>IF(Y228="Aberto",Z228+ROW()/100000,"")</f>
        <v/>
      </c>
      <c r="AB228" s="2">
        <f>IF(ISNUMBER(FIND("@cielo.com.br",S228)),"Interno","Externo")</f>
        <v/>
      </c>
      <c r="AC228" t="inlineStr">
        <is>
          <t>Consultar pagamentos, débitos, pendências ou recebíveis.</t>
        </is>
      </c>
      <c r="AD228" t="inlineStr">
        <is>
          <t>bloqueio por inadimplência</t>
        </is>
      </c>
      <c r="AE228" t="inlineStr">
        <is>
          <t>Consulta financeira</t>
        </is>
      </c>
      <c r="AF228" t="inlineStr">
        <is>
          <t>Título Financeiro</t>
        </is>
      </c>
      <c r="AG228" t="inlineStr">
        <is>
          <t>Pagamentos, Boletos e Recebimentos</t>
        </is>
      </c>
      <c r="AI228" t="inlineStr">
        <is>
          <t>INT_PAG_FINANCEIRO</t>
        </is>
      </c>
      <c r="AJ228" t="inlineStr">
        <is>
          <t>Sugerida</t>
        </is>
      </c>
      <c r="AK228" t="b">
        <v>0</v>
      </c>
      <c r="AN228">
        <f>IF(OR(AG228="",AM228=""),"",IF(AG228=AM228,"SIM","NÃO"))</f>
        <v/>
      </c>
      <c r="AO228" t="inlineStr">
        <is>
          <t>CLASSIFIED_PATTERN</t>
        </is>
      </c>
    </row>
    <row r="229" ht="15.5" customHeight="1">
      <c r="A229" s="1" t="n"/>
      <c r="B229" s="67" t="inlineStr">
        <is>
          <t>Stephany Lima</t>
        </is>
      </c>
      <c r="C229" s="70">
        <f>VLOOKUP(I:I,'Referencias '!H:I,2,0)</f>
        <v/>
      </c>
      <c r="D229" s="129" t="n">
        <v>22927989</v>
      </c>
      <c r="E229" s="71" t="n">
        <v>0</v>
      </c>
      <c r="F229" s="72" t="n">
        <v>2614916186114</v>
      </c>
      <c r="G229" s="72">
        <f>VLOOKUP(H:H,'Referencias '!B:C,2,0)</f>
        <v/>
      </c>
      <c r="H229" s="72">
        <f>TRIM(_xlfn.TEXTBEFORE(_xlfn.TEXTAFTER(U229,"CNPJ/CPF:&lt;/strong&gt;"),"&lt;/p&gt;"))</f>
        <v/>
      </c>
      <c r="I229" s="70" t="inlineStr">
        <is>
          <t>Contestação de cobrança</t>
        </is>
      </c>
      <c r="J229" s="72" t="n"/>
      <c r="K229" s="72" t="n"/>
      <c r="L229" s="70" t="inlineStr">
        <is>
          <t>FINALIZADO</t>
        </is>
      </c>
      <c r="M229" s="73" t="inlineStr">
        <is>
          <t>Médio</t>
        </is>
      </c>
      <c r="N229" s="71" t="inlineStr">
        <is>
          <t>1018 Financeiro | Desejo falar com o setor financeiro | Amanda David | amanda.xavier@grupocapiau.com.br</t>
        </is>
      </c>
      <c r="O229" s="74" t="n">
        <v>46171</v>
      </c>
      <c r="P229" s="123" t="n">
        <v>46218</v>
      </c>
      <c r="Q229" s="177">
        <f>TEXT(O229,"mmm/aaaa")</f>
        <v/>
      </c>
      <c r="R229" s="71" t="inlineStr">
        <is>
          <t>ECOMMERCE BP SUPORTE FINANCEIRO N2</t>
        </is>
      </c>
      <c r="S229" s="71" t="inlineStr">
        <is>
          <t>amanda.xavier@grupocapiau.com.br</t>
        </is>
      </c>
      <c r="T229" s="71" t="inlineStr"/>
      <c r="U229" s="129" t="inlineStr">
        <is>
          <t>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
Recebi a NF 0114908 informando ter 4280 transações, ao extrair o relatório dentro do portal, identifiquei apenas 4262.
Poderiam verificar essa divergência?&lt;/p&gt;&lt;p&gt;&lt;strong&gt;GA Client ID:&lt;/strong&gt; 71553294.1763995029&lt;/p&gt;&lt;p&gt;&lt;strong&gt;Lead Hash ID:&lt;/strong&gt; 79004c78924da60f242c6207efd45b87cff8886e771e8ca9017578b2f8d3e060&lt;/p&gt;&lt;p&gt;&lt;strong&gt;Lead Form ID:&lt;/strong&gt; 79004c78</t>
        </is>
      </c>
      <c r="V229" s="71">
        <f>IFERROR(_xlfn.TEXTBEFORE(_xlfn.TEXTAFTER(U229,"Descrição do problema:&lt;/strong"),"&lt;/p&gt;"),_xlfn.TEXTAFTER(U229,"Descrição do problema:&lt;/strong"))</f>
        <v/>
      </c>
      <c r="W229" s="76">
        <f>_xlfn.CONCAT(D229:E229)</f>
        <v/>
      </c>
      <c r="X229" s="77" t="n">
        <v>46269</v>
      </c>
      <c r="Y229" s="78">
        <f>IF(X229="","Aberto","Encerrado")</f>
        <v/>
      </c>
      <c r="Z229" s="78">
        <f>IF(OR(L229="PENDENTE",L229="EM ANDAMENTO",L229="PENDENTE APROVAÇÃO CANCELAMENTO NF"),TODAY()-O229,X229-O229)</f>
        <v/>
      </c>
      <c r="AA229" s="78">
        <f>IF(Y229="Aberto",Z229+ROW()/100000,"")</f>
        <v/>
      </c>
      <c r="AB229" s="2">
        <f>IF(ISNUMBER(FIND("@cielo.com.br",S229)),"Interno","Externo")</f>
        <v/>
      </c>
      <c r="AC229" t="inlineStr">
        <is>
          <t>Contestar divergência, valor ou critério de cobrança.</t>
        </is>
      </c>
      <c r="AD229" t="inlineStr">
        <is>
          <t>divergência + transações; relatório + nf + divergência</t>
        </is>
      </c>
      <c r="AE229" t="inlineStr">
        <is>
          <t>Contestação de cobrança</t>
        </is>
      </c>
      <c r="AF229" t="inlineStr">
        <is>
          <t>Valor Cobrado</t>
        </is>
      </c>
      <c r="AG229" t="inlineStr">
        <is>
          <t>Cobrança e Contestação</t>
        </is>
      </c>
      <c r="AI229" t="inlineStr">
        <is>
          <t>INT_COB_CONTESTACAO</t>
        </is>
      </c>
      <c r="AJ229" t="inlineStr">
        <is>
          <t>Sugerida</t>
        </is>
      </c>
      <c r="AK229" t="b">
        <v>0</v>
      </c>
      <c r="AN229">
        <f>IF(OR(AG229="",AM229=""),"",IF(AG229=AM229,"SIM","NÃO"))</f>
        <v/>
      </c>
      <c r="AO229" t="inlineStr">
        <is>
          <t>CLASSIFIED_PATTERN</t>
        </is>
      </c>
    </row>
    <row r="230" ht="15.5" customHeight="1">
      <c r="A230" s="1" t="n"/>
      <c r="B230" s="67" t="inlineStr">
        <is>
          <t>Emilly Maria</t>
        </is>
      </c>
      <c r="C230" s="70">
        <f>VLOOKUP(I:I,'Referencias '!H:I,2,0)</f>
        <v/>
      </c>
      <c r="D230" s="71" t="n">
        <v>22906012</v>
      </c>
      <c r="E230" s="71" t="n">
        <v>0</v>
      </c>
      <c r="F230" s="72" t="n">
        <v>2614911171796</v>
      </c>
      <c r="G230" s="72">
        <f>VLOOKUP(H:H,'Referencias '!B:C,2,0)</f>
        <v/>
      </c>
      <c r="H230" s="72">
        <f>TRIM(_xlfn.TEXTBEFORE(_xlfn.TEXTAFTER(U230,"CNPJ/CPF:&lt;/strong&gt;"),"&lt;/p&gt;"))</f>
        <v/>
      </c>
      <c r="I230" s="70" t="inlineStr">
        <is>
          <t>Cancelamento de NF / reemissão</t>
        </is>
      </c>
      <c r="J230" s="72" t="n"/>
      <c r="K230" s="72" t="n"/>
      <c r="L230" s="70" t="inlineStr">
        <is>
          <t>FINALIZADO</t>
        </is>
      </c>
      <c r="M230" s="73" t="inlineStr">
        <is>
          <t>Médio</t>
        </is>
      </c>
      <c r="N230" s="71" t="inlineStr">
        <is>
          <t>1018 Financeiro | Desejo falar com o setor financeiro | INOVE ONLINE LTDA | ariane.pasilva@cielo.com.br</t>
        </is>
      </c>
      <c r="O230" s="74" t="n">
        <v>46171</v>
      </c>
      <c r="P230" s="123" t="n">
        <v>46217</v>
      </c>
      <c r="Q230" s="177">
        <f>TEXT(O230,"mmm/aaaa")</f>
        <v/>
      </c>
      <c r="R230" s="71" t="inlineStr">
        <is>
          <t>ECOMMERCE BP SUPORTE FINANCEIRO N2</t>
        </is>
      </c>
      <c r="S230" s="71" t="inlineStr">
        <is>
          <t>ariane.pasilva@cielo.com.br</t>
        </is>
      </c>
      <c r="T230" s="71" t="inlineStr"/>
      <c r="U230" s="129" t="inlineStr">
        <is>
          <t>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
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t>
        </is>
      </c>
      <c r="V230" s="71">
        <f>IFERROR(_xlfn.TEXTBEFORE(_xlfn.TEXTAFTER(U230,"Descrição do problema:&lt;/strong"),"&lt;/p&gt;"),_xlfn.TEXTAFTER(U230,"Descrição do problema:&lt;/strong"))</f>
        <v/>
      </c>
      <c r="W230" s="76">
        <f>_xlfn.CONCAT(D230:E230)</f>
        <v/>
      </c>
      <c r="X230" s="77" t="n">
        <v>46217</v>
      </c>
      <c r="Y230" s="78">
        <f>IF(X230="","Aberto","Encerrado")</f>
        <v/>
      </c>
      <c r="Z230" s="78">
        <f>IF(OR(L230="PENDENTE",L230="EM ANDAMENTO",L230="PENDENTE APROVAÇÃO CANCELAMENTO NF"),TODAY()-O230,X230-O230)</f>
        <v/>
      </c>
      <c r="AA230" s="78">
        <f>IF(Y230="Aberto",Z230+ROW()/100000,"")</f>
        <v/>
      </c>
      <c r="AB230" s="2">
        <f>IF(ISNUMBER(FIND("@cielo.com.br",S230)),"Interno","Externo")</f>
        <v/>
      </c>
      <c r="AC230" t="inlineStr">
        <is>
          <t>Cancelar, substituir ou reemitir nota fiscal.</t>
        </is>
      </c>
      <c r="AD230" t="inlineStr">
        <is>
          <t>ACAO:CANCELAR; OBJETO:CONTRATO; OBJETO:NOTA_FISCAL</t>
        </is>
      </c>
      <c r="AE230" t="inlineStr">
        <is>
          <t>Cancelamento de NF</t>
        </is>
      </c>
      <c r="AF230" t="inlineStr">
        <is>
          <t>Documento Fiscal</t>
        </is>
      </c>
      <c r="AG230" t="inlineStr">
        <is>
          <t>Cancelamento e Reemissão de Nota Fiscal</t>
        </is>
      </c>
      <c r="AI230" t="inlineStr">
        <is>
          <t>INT_NF_CANCEL_REEMISSAO</t>
        </is>
      </c>
      <c r="AJ230" t="inlineStr">
        <is>
          <t>Sugerida</t>
        </is>
      </c>
      <c r="AK230" t="b">
        <v>0</v>
      </c>
      <c r="AN230">
        <f>IF(OR(AG230="",AM230=""),"",IF(AG230=AM230,"SIM","NÃO"))</f>
        <v/>
      </c>
      <c r="AO230" t="inlineStr">
        <is>
          <t>CLASSIFIED_SIGNATURE</t>
        </is>
      </c>
    </row>
    <row r="231" ht="15.5" customHeight="1">
      <c r="A231" s="1" t="n"/>
      <c r="B231" s="67" t="inlineStr">
        <is>
          <t>Emilly Maria</t>
        </is>
      </c>
      <c r="C231" s="70">
        <f>VLOOKUP(I:I,'Referencias '!H:I,2,0)</f>
        <v/>
      </c>
      <c r="D231" s="71" t="n">
        <v>22902586</v>
      </c>
      <c r="E231" s="71" t="n">
        <v>0</v>
      </c>
      <c r="F231" s="72" t="n">
        <v>2614911169550</v>
      </c>
      <c r="G231" s="72">
        <f>VLOOKUP(H:H,'Referencias '!B:C,2,0)</f>
        <v/>
      </c>
      <c r="H231" s="72">
        <f>TRIM(_xlfn.TEXTBEFORE(_xlfn.TEXTAFTER(U231,"CNPJ/CPF:&lt;/strong&gt;"),"&lt;/p&gt;"))</f>
        <v/>
      </c>
      <c r="I231" s="70" t="inlineStr">
        <is>
          <t>Cancelamento de NF / Reemissão (Incluir PO)</t>
        </is>
      </c>
      <c r="J231" s="72" t="n"/>
      <c r="K231" s="72" t="n"/>
      <c r="L231" s="70" t="inlineStr">
        <is>
          <t>FINALIZADO</t>
        </is>
      </c>
      <c r="M231" s="73" t="inlineStr">
        <is>
          <t>Médio</t>
        </is>
      </c>
      <c r="N231" s="71" t="inlineStr">
        <is>
          <t>1018 Financeiro | Desejo falar com o setor financeiro | 18033552000161 | ariane.pasilva@gmail.com.br</t>
        </is>
      </c>
      <c r="O231" s="74" t="n">
        <v>46171</v>
      </c>
      <c r="P231" s="123" t="n">
        <v>46217</v>
      </c>
      <c r="Q231" s="177">
        <f>TEXT(O231,"mmm/aaaa")</f>
        <v/>
      </c>
      <c r="R231" s="71" t="inlineStr">
        <is>
          <t>ECOMMERCE BP SUPORTE FINANCEIRO N2</t>
        </is>
      </c>
      <c r="S231" s="71" t="inlineStr">
        <is>
          <t>ariane.pasilva@gmail.com.br</t>
        </is>
      </c>
      <c r="T231" s="71" t="inlineStr">
        <is>
          <t>99 TAXIS DESENVOLVIMENTO DE SOFT</t>
        </is>
      </c>
      <c r="U231" s="129" t="inlineStr">
        <is>
          <t>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
Por gentileza, substituir a nota:104908
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t>
        </is>
      </c>
      <c r="V231" s="71">
        <f>IFERROR(_xlfn.TEXTBEFORE(_xlfn.TEXTAFTER(U231,"Descrição do problema:&lt;/strong"),"&lt;/p&gt;"),_xlfn.TEXTAFTER(U231,"Descrição do problema:&lt;/strong"))</f>
        <v/>
      </c>
      <c r="W231" s="76">
        <f>_xlfn.CONCAT(D231:E231)</f>
        <v/>
      </c>
      <c r="X231" s="77" t="n">
        <v>46258</v>
      </c>
      <c r="Y231" s="78">
        <f>IF(X231="","Aberto","Encerrado")</f>
        <v/>
      </c>
      <c r="Z231" s="78">
        <f>IF(OR(L231="PENDENTE",L231="EM ANDAMENTO",L231="PENDENTE APROVAÇÃO CANCELAMENTO NF"),TODAY()-O231,X231-O231)</f>
        <v/>
      </c>
      <c r="AA231" s="78">
        <f>IF(Y231="Aberto",Z231+ROW()/100000,"")</f>
        <v/>
      </c>
      <c r="AB231" s="2">
        <f>IF(ISNUMBER(FIND("@cielo.com.br",S231)),"Interno","Externo")</f>
        <v/>
      </c>
      <c r="AC231" t="inlineStr">
        <is>
          <t>Substituir ou reemitir NF com PO.</t>
        </is>
      </c>
      <c r="AD231" t="inlineStr">
        <is>
          <t>ACAO:PO; ACAO:SUBSTITUIR; OBJETO:NOTA_FISCAL; OBJETO:PO; CANAL:PO</t>
        </is>
      </c>
      <c r="AE231" t="inlineStr">
        <is>
          <t>Reemissão de NF com PO</t>
        </is>
      </c>
      <c r="AF231" t="inlineStr">
        <is>
          <t>Documento Fiscal</t>
        </is>
      </c>
      <c r="AG231" t="inlineStr">
        <is>
          <t>Cancelamento e Reemissão de Nota Fiscal</t>
        </is>
      </c>
      <c r="AI231" t="inlineStr">
        <is>
          <t>INT_NF_REEMISSAO_PO</t>
        </is>
      </c>
      <c r="AJ231" t="inlineStr">
        <is>
          <t>Sugerida</t>
        </is>
      </c>
      <c r="AK231" t="b">
        <v>0</v>
      </c>
      <c r="AN231">
        <f>IF(OR(AG231="",AM231=""),"",IF(AG231=AM231,"SIM","NÃO"))</f>
        <v/>
      </c>
      <c r="AO231" t="inlineStr">
        <is>
          <t>CLASSIFIED_SIGNATURE</t>
        </is>
      </c>
    </row>
    <row r="232" ht="15.5" customHeight="1">
      <c r="A232" s="1" t="n"/>
      <c r="B232" s="67" t="inlineStr">
        <is>
          <t>Stephany Lima</t>
        </is>
      </c>
      <c r="C232" s="70">
        <f>VLOOKUP(I:I,'Referencias '!H:I,2,0)</f>
        <v/>
      </c>
      <c r="D232" s="71" t="n">
        <v>22899316</v>
      </c>
      <c r="E232" s="71" t="n">
        <v>0</v>
      </c>
      <c r="F232" s="72" t="n">
        <v>2614910167401</v>
      </c>
      <c r="G232" s="72">
        <f>VLOOKUP(H:H,'Referencias '!B:C,2,0)</f>
        <v/>
      </c>
      <c r="H232" s="72">
        <f>TRIM(_xlfn.TEXTBEFORE(_xlfn.TEXTAFTER(U232,"CNPJ/CPF:&lt;/strong&gt;"),"&lt;/p&gt;"))</f>
        <v/>
      </c>
      <c r="I232" s="70" t="inlineStr">
        <is>
          <t>Cancelamento de NF / reemissão</t>
        </is>
      </c>
      <c r="J232" s="72" t="n"/>
      <c r="K232" s="72" t="n"/>
      <c r="L232" s="70" t="inlineStr">
        <is>
          <t>FINALIZADO</t>
        </is>
      </c>
      <c r="M232" s="73" t="inlineStr">
        <is>
          <t>Alta</t>
        </is>
      </c>
      <c r="N232" s="71" t="inlineStr">
        <is>
          <t>1018 Financeiro | Desejo falar com o setor financeiro | Damiana Barbosa | damiana.barbosa@sondadelivery.com.br</t>
        </is>
      </c>
      <c r="O232" s="74" t="n">
        <v>46171</v>
      </c>
      <c r="P232" s="123" t="n">
        <v>46217</v>
      </c>
      <c r="Q232" s="177">
        <f>TEXT(O232,"mmm/aaaa")</f>
        <v/>
      </c>
      <c r="R232" s="71" t="inlineStr">
        <is>
          <t>ECOMMERCE BP SUPORTE FINANCEIRO N2</t>
        </is>
      </c>
      <c r="S232" s="71" t="inlineStr">
        <is>
          <t>damiana.barbosa@sondadelivery.com.br</t>
        </is>
      </c>
      <c r="T232" s="71" t="inlineStr"/>
      <c r="U232" s="71" t="inlineStr">
        <is>
          <t>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
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t>
        </is>
      </c>
      <c r="V232" s="71">
        <f>IFERROR(_xlfn.TEXTBEFORE(_xlfn.TEXTAFTER(U232,"Descrição do problema:&lt;/strong"),"&lt;/p&gt;"),_xlfn.TEXTAFTER(U232,"Descrição do problema:&lt;/strong"))</f>
        <v/>
      </c>
      <c r="W232" s="76">
        <f>_xlfn.CONCAT(D232:E232)</f>
        <v/>
      </c>
      <c r="X232" s="77" t="n">
        <v>46217</v>
      </c>
      <c r="Y232" s="78">
        <f>IF(X232="","Aberto","Encerrado")</f>
        <v/>
      </c>
      <c r="Z232" s="78">
        <f>IF(OR(L232="PENDENTE",L232="EM ANDAMENTO",L232="PENDENTE APROVAÇÃO CANCELAMENTO NF"),TODAY()-O232,X232-O232)</f>
        <v/>
      </c>
      <c r="AA232" s="78">
        <f>IF(Y232="Aberto",Z232+ROW()/100000,"")</f>
        <v/>
      </c>
      <c r="AB232" s="2">
        <f>IF(ISNUMBER(FIND("@cielo.com.br",S232)),"Interno","Externo")</f>
        <v/>
      </c>
      <c r="AC232" t="inlineStr">
        <is>
          <t>Cancelar, substituir ou reemitir nota fiscal.</t>
        </is>
      </c>
      <c r="AD232" t="inlineStr">
        <is>
          <t>ACAO:CANCELAR; OBJETO:NOTA_FISCAL</t>
        </is>
      </c>
      <c r="AE232" t="inlineStr">
        <is>
          <t>Cancelamento de NF</t>
        </is>
      </c>
      <c r="AF232" t="inlineStr">
        <is>
          <t>Documento Fiscal</t>
        </is>
      </c>
      <c r="AG232" t="inlineStr">
        <is>
          <t>Cancelamento e Reemissão de Nota Fiscal</t>
        </is>
      </c>
      <c r="AI232" t="inlineStr">
        <is>
          <t>INT_NF_CANCEL_REEMISSAO</t>
        </is>
      </c>
      <c r="AJ232" t="inlineStr">
        <is>
          <t>Sugerida</t>
        </is>
      </c>
      <c r="AK232" t="b">
        <v>0</v>
      </c>
      <c r="AN232">
        <f>IF(OR(AG232="",AM232=""),"",IF(AG232=AM232,"SIM","NÃO"))</f>
        <v/>
      </c>
      <c r="AO232" t="inlineStr">
        <is>
          <t>CLASSIFIED_SIGNATURE</t>
        </is>
      </c>
    </row>
    <row r="233" ht="15.5" customHeight="1">
      <c r="A233" s="1" t="n"/>
      <c r="B233" s="67" t="inlineStr">
        <is>
          <t>Emilly Maria</t>
        </is>
      </c>
      <c r="C233" s="70">
        <f>VLOOKUP(I:I,'Referencias '!H:I,2,0)</f>
        <v/>
      </c>
      <c r="D233" s="71" t="n">
        <v>22891770</v>
      </c>
      <c r="E233" s="71" t="n">
        <v>0</v>
      </c>
      <c r="F233" s="72" t="n">
        <v>2614908162289</v>
      </c>
      <c r="G233" s="72">
        <f>VLOOKUP(H:H,'Referencias '!B:C,2,0)</f>
        <v/>
      </c>
      <c r="H233" s="72">
        <f>TRIM(_xlfn.TEXTBEFORE(_xlfn.TEXTAFTER(U233,"CNPJ/CPF:&lt;/strong&gt;"),"&lt;/p&gt;"))</f>
        <v/>
      </c>
      <c r="I233" s="70" t="inlineStr">
        <is>
          <t>Cancelamento de NF / reemissão</t>
        </is>
      </c>
      <c r="J233" s="72" t="n"/>
      <c r="K233" s="72" t="n"/>
      <c r="L233" s="70" t="inlineStr">
        <is>
          <t>FINALIZADO</t>
        </is>
      </c>
      <c r="M233" s="73" t="inlineStr">
        <is>
          <t>Alta</t>
        </is>
      </c>
      <c r="N233" s="71" t="inlineStr">
        <is>
          <t>1018 Financeiro | Desejo falar com o setor financeiro | felipe alvarez de carvalho sanches | felipe.sanches@supermercadospaguemenos.com.br</t>
        </is>
      </c>
      <c r="O233" s="74" t="n">
        <v>46171</v>
      </c>
      <c r="P233" s="123" t="n">
        <v>46217</v>
      </c>
      <c r="Q233" s="177">
        <f>TEXT(O233,"mmm/aaaa")</f>
        <v/>
      </c>
      <c r="R233" s="71" t="inlineStr">
        <is>
          <t>ECOMMERCE BP SUPORTE FINANCEIRO N2</t>
        </is>
      </c>
      <c r="S233" s="71" t="inlineStr">
        <is>
          <t>felipe.sanches@supermercadospaguemenos.com.br</t>
        </is>
      </c>
      <c r="T233" s="71" t="inlineStr"/>
      <c r="U233" s="71" t="inlineStr">
        <is>
          <t>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
Nossa data de corte é dia 20, então as notas fiscais precisam ser emitidas até essa data para conseguirmos lançar dentro do mesmo mês.
Nesse caso, seria possível cancelar a nota fiscal 115225, emitida em 26/05?&lt;/p&gt;&lt;p&gt;&lt;strong&gt;GA Client ID:&lt;/strong&gt; 645834960.1767633360&lt;/p&gt;&lt;p&gt;&lt;strong&gt;Lead Hash ID:&lt;/strong</t>
        </is>
      </c>
      <c r="V233" s="71">
        <f>IFERROR(_xlfn.TEXTBEFORE(_xlfn.TEXTAFTER(U233,"Descrição do problema:&lt;/strong"),"&lt;/p&gt;"),_xlfn.TEXTAFTER(U233,"Descrição do problema:&lt;/strong"))</f>
        <v/>
      </c>
      <c r="W233" s="76">
        <f>_xlfn.CONCAT(D233:E233)</f>
        <v/>
      </c>
      <c r="X233" s="77">
        <f>P233</f>
        <v/>
      </c>
      <c r="Y233" s="78">
        <f>IF(X233="","Aberto","Encerrado")</f>
        <v/>
      </c>
      <c r="Z233" s="78">
        <f>IF(OR(L233="PENDENTE",L233="EM ANDAMENTO",L233="PENDENTE APROVAÇÃO CANCELAMENTO NF"),TODAY()-O233,X233-O233)</f>
        <v/>
      </c>
      <c r="AA233" s="78">
        <f>IF(Y233="Aberto",Z233+ROW()/100000,"")</f>
        <v/>
      </c>
      <c r="AB233" s="2">
        <f>IF(ISNUMBER(FIND("@cielo.com.br",S233)),"Interno","Externo")</f>
        <v/>
      </c>
      <c r="AC233" t="inlineStr">
        <is>
          <t>Cancelar, substituir ou reemitir nota fiscal.</t>
        </is>
      </c>
      <c r="AD233" t="inlineStr">
        <is>
          <t>ACAO:CANCELAR; OBJETO:NOTA_FISCAL</t>
        </is>
      </c>
      <c r="AE233" t="inlineStr">
        <is>
          <t>Cancelamento de NF</t>
        </is>
      </c>
      <c r="AF233" t="inlineStr">
        <is>
          <t>Documento Fiscal</t>
        </is>
      </c>
      <c r="AG233" t="inlineStr">
        <is>
          <t>Cancelamento e Reemissão de Nota Fiscal</t>
        </is>
      </c>
      <c r="AI233" t="inlineStr">
        <is>
          <t>INT_NF_CANCEL_REEMISSAO</t>
        </is>
      </c>
      <c r="AJ233" t="inlineStr">
        <is>
          <t>Sugerida</t>
        </is>
      </c>
      <c r="AK233" t="b">
        <v>0</v>
      </c>
      <c r="AN233">
        <f>IF(OR(AG233="",AM233=""),"",IF(AG233=AM233,"SIM","NÃO"))</f>
        <v/>
      </c>
      <c r="AO233" t="inlineStr">
        <is>
          <t>CLASSIFIED_SIGNATURE</t>
        </is>
      </c>
    </row>
    <row r="234" ht="15.5" customHeight="1">
      <c r="A234" s="1" t="n"/>
      <c r="B234" s="67" t="inlineStr">
        <is>
          <t>Pamela de Sá</t>
        </is>
      </c>
      <c r="C234" s="70">
        <f>VLOOKUP(I:I,'Referencias '!H:I,2,0)</f>
        <v/>
      </c>
      <c r="D234" s="71" t="n">
        <v>22888561</v>
      </c>
      <c r="E234" s="71" t="n">
        <v>0</v>
      </c>
      <c r="F234" s="72" t="n">
        <v>2614818160038</v>
      </c>
      <c r="G234" s="72">
        <f>T234</f>
        <v/>
      </c>
      <c r="H234" s="72">
        <f>TRIM(_xlfn.TEXTBEFORE(_xlfn.TEXTAFTER(U234,"CNPJ/CPF:&lt;/strong&gt;"),"&lt;/p&gt;"))</f>
        <v/>
      </c>
      <c r="I234" s="70" t="inlineStr">
        <is>
          <t>Dúvidas sobre contrato / cobrança</t>
        </is>
      </c>
      <c r="J234" s="72" t="n"/>
      <c r="K234" s="72" t="n"/>
      <c r="L234" s="70" t="inlineStr">
        <is>
          <t>FINALIZADO</t>
        </is>
      </c>
      <c r="M234" s="73" t="inlineStr">
        <is>
          <t>Médio</t>
        </is>
      </c>
      <c r="N234" s="71" t="inlineStr">
        <is>
          <t>1003 Gateway de Pagamento | Estou em produção e tenho uma dúvida | Ronierison Sena | ronierison.sena@ext-onfly.com</t>
        </is>
      </c>
      <c r="O234" s="74" t="n">
        <v>46170</v>
      </c>
      <c r="P234" s="123" t="n">
        <v>46218</v>
      </c>
      <c r="Q234" s="177">
        <f>TEXT(O234,"mmm/aaaa")</f>
        <v/>
      </c>
      <c r="R234" s="71" t="inlineStr">
        <is>
          <t>ECOMMERCE BP SUPORTE FINANCEIRO N2</t>
        </is>
      </c>
      <c r="S234" s="71" t="inlineStr">
        <is>
          <t>ronierison.sena@ext-onfly.com</t>
        </is>
      </c>
      <c r="T234" s="71" t="inlineStr"/>
      <c r="U234" s="129" t="inlineStr">
        <is>
          <t>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
Sou desenvolvedor Senior do time financeiro da Onfly, e preciso levantar informaçoes sobre as taxas que a Onfly paga no gateway da Braspag.
Taxa fixa e percentual, pois estamos montando um painel com essa informaçoes.
Desde ja agradeço!&lt;/p&gt;&lt;p&gt;&lt;strong&gt;GA Client ID:&lt;/strong&gt; &lt;/p&gt;&lt;p&gt;&lt;strong&gt;Lead Hash ID:&lt;/strong&gt; e3b000c5a441060133ae2444dd4b1d491</t>
        </is>
      </c>
      <c r="V234" s="71">
        <f>IFERROR(_xlfn.TEXTBEFORE(_xlfn.TEXTAFTER(U234,"Descrição do problema:&lt;/strong"),"&lt;/p&gt;"),_xlfn.TEXTAFTER(U234,"Descrição do problema:&lt;/strong"))</f>
        <v/>
      </c>
      <c r="W234" s="76">
        <f>_xlfn.CONCAT(D234:E234)</f>
        <v/>
      </c>
      <c r="X234" s="77" t="n">
        <v>46259</v>
      </c>
      <c r="Y234" s="78">
        <f>IF(X234="","Aberto","Encerrado")</f>
        <v/>
      </c>
      <c r="Z234" s="78">
        <f>IF(OR(L234="PENDENTE",L234="EM ANDAMENTO",L234="PENDENTE APROVAÇÃO CANCELAMENTO NF"),TODAY()-O234,X234-O234)</f>
        <v/>
      </c>
      <c r="AA234" s="78">
        <f>IF(Y234="Aberto",Z234+ROW()/100000,"")</f>
        <v/>
      </c>
      <c r="AB234" s="2">
        <f>IF(ISNUMBER(FIND("@cielo.com.br",S234)),"Interno","Externo")</f>
        <v/>
      </c>
      <c r="AC234" t="inlineStr">
        <is>
          <t>Pedir informação sobre contrato ou condição comercial.</t>
        </is>
      </c>
      <c r="AD234" t="inlineStr">
        <is>
          <t>taxa fixa e percentual</t>
        </is>
      </c>
      <c r="AE234" t="inlineStr">
        <is>
          <t>Informação contratual/comercial</t>
        </is>
      </c>
      <c r="AF234" t="inlineStr">
        <is>
          <t>Contrato/Cadastro</t>
        </is>
      </c>
      <c r="AG234" t="inlineStr">
        <is>
          <t>Contratos, Comercial e Cadastro</t>
        </is>
      </c>
      <c r="AI234" t="inlineStr">
        <is>
          <t>INT_CON_INFORMACAO</t>
        </is>
      </c>
      <c r="AJ234" t="inlineStr">
        <is>
          <t>Sugerida</t>
        </is>
      </c>
      <c r="AK234" t="b">
        <v>0</v>
      </c>
      <c r="AN234">
        <f>IF(OR(AG234="",AM234=""),"",IF(AG234=AM234,"SIM","NÃO"))</f>
        <v/>
      </c>
      <c r="AO234" t="inlineStr">
        <is>
          <t>CLASSIFIED_PATTERN</t>
        </is>
      </c>
    </row>
    <row r="235" ht="15.5" customHeight="1">
      <c r="A235" s="1" t="n"/>
      <c r="B235" s="67" t="inlineStr">
        <is>
          <t>Fabiana Lisboa</t>
        </is>
      </c>
      <c r="C235" s="70">
        <f>VLOOKUP(I:I,'Referencias '!H:I,2,0)</f>
        <v/>
      </c>
      <c r="D235" s="71" t="n">
        <v>22886625</v>
      </c>
      <c r="E235" s="71" t="n">
        <v>0</v>
      </c>
      <c r="F235" s="72" t="n">
        <v>2614817158985</v>
      </c>
      <c r="G235" s="72">
        <f>VLOOKUP(H:H,'Referencias '!B:C,2,0)</f>
        <v/>
      </c>
      <c r="H235" s="72">
        <f>TRIM(_xlfn.TEXTBEFORE(_xlfn.TEXTAFTER(U235,"CNPJ/CPF:&lt;/strong&gt;"),"&lt;/p&gt;"))</f>
        <v/>
      </c>
      <c r="I235" s="70" t="inlineStr">
        <is>
          <t>Atualização cadastral (email)</t>
        </is>
      </c>
      <c r="J235" s="72" t="n"/>
      <c r="K235" s="72" t="n"/>
      <c r="L235" s="70" t="inlineStr">
        <is>
          <t>FINALIZADO</t>
        </is>
      </c>
      <c r="M235" s="73" t="inlineStr">
        <is>
          <t>Médio</t>
        </is>
      </c>
      <c r="N235" s="71" t="inlineStr">
        <is>
          <t>1018 Financeiro | Desejo falar com o setor financeiro | Wesley | ecommerce3@engepecas.com.br</t>
        </is>
      </c>
      <c r="O235" s="74" t="n">
        <v>46170</v>
      </c>
      <c r="P235" s="123" t="n">
        <v>46218</v>
      </c>
      <c r="Q235" s="177">
        <f>TEXT(O235,"mmm/aaaa")</f>
        <v/>
      </c>
      <c r="R235" s="71" t="inlineStr">
        <is>
          <t>ECOMMERCE BP SUPORTE FINANCEIRO N2</t>
        </is>
      </c>
      <c r="S235" s="71" t="inlineStr">
        <is>
          <t>ecommerce3@engepecas.com.br</t>
        </is>
      </c>
      <c r="T235" s="71" t="inlineStr"/>
      <c r="U235" s="129" t="inlineStr">
        <is>
          <t>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
Gostaria de adicionar mais um e-mail de recebimento de boletos, segue a baixo.  
ecommerce3@engepecas.com.br&lt;/p&gt;&lt;p&gt;&lt;strong&gt;GA Client ID:&lt;/strong&gt; 1594511533.1770136581&lt;/p&gt;&lt;p&gt;&lt;strong&gt;Lead Hash ID:&lt;/strong&gt; 13bff4e385842439b4b77fc67ae199aef7b13da49e359ffa88b3d5c2acfcfaca&lt;/p&gt;&lt;p&gt;&lt;strong&gt;Lead Form ID:&lt;/strong&gt; 13bff4e385842439b4b77fc67ae1</t>
        </is>
      </c>
      <c r="V235" s="71">
        <f>IFERROR(_xlfn.TEXTBEFORE(_xlfn.TEXTAFTER(U235,"Descrição do problema:&lt;/strong"),"&lt;/p&gt;"),_xlfn.TEXTAFTER(U235,"Descrição do problema:&lt;/strong"))</f>
        <v/>
      </c>
      <c r="W235" s="76">
        <f>_xlfn.CONCAT(D235:E235)</f>
        <v/>
      </c>
      <c r="X235" s="77" t="n">
        <v>46240</v>
      </c>
      <c r="Y235" s="78">
        <f>IF(X235="","Aberto","Encerrado")</f>
        <v/>
      </c>
      <c r="Z235" s="78">
        <f>IF(OR(L235="PENDENTE",L235="EM ANDAMENTO",L235="PENDENTE APROVAÇÃO CANCELAMENTO NF"),TODAY()-O235,X235-O235)</f>
        <v/>
      </c>
      <c r="AA235" s="78">
        <f>IF(Y235="Aberto",Z235+ROW()/100000,"")</f>
        <v/>
      </c>
      <c r="AB235" s="2">
        <f>IF(ISNUMBER(FIND("@cielo.com.br",S235)),"Interno","Externo")</f>
        <v/>
      </c>
      <c r="AC235" t="inlineStr">
        <is>
          <t>Atualizar dados cadastrais, e-mail ou telefone.</t>
        </is>
      </c>
      <c r="AD235" t="inlineStr">
        <is>
          <t>adicionar + email; adicionar e-mail para recebimento</t>
        </is>
      </c>
      <c r="AE235" t="inlineStr">
        <is>
          <t>Atualização cadastral</t>
        </is>
      </c>
      <c r="AF235" t="inlineStr">
        <is>
          <t>Contrato/Cadastro</t>
        </is>
      </c>
      <c r="AG235" t="inlineStr">
        <is>
          <t>Contratos, Comercial e Cadastro</t>
        </is>
      </c>
      <c r="AI235" t="inlineStr">
        <is>
          <t>INT_CON_CADASTRO</t>
        </is>
      </c>
      <c r="AJ235" t="inlineStr">
        <is>
          <t>Sugerida</t>
        </is>
      </c>
      <c r="AK235" t="b">
        <v>0</v>
      </c>
      <c r="AN235">
        <f>IF(OR(AG235="",AM235=""),"",IF(AG235=AM235,"SIM","NÃO"))</f>
        <v/>
      </c>
      <c r="AO235" t="inlineStr">
        <is>
          <t>CLASSIFIED_PATTERN</t>
        </is>
      </c>
    </row>
    <row r="236" ht="15.5" customHeight="1">
      <c r="A236" s="1" t="n"/>
      <c r="B236" s="67" t="inlineStr">
        <is>
          <t>Stephany Lima</t>
        </is>
      </c>
      <c r="C236" s="70">
        <f>VLOOKUP(I:I,'Referencias '!H:I,2,0)</f>
        <v/>
      </c>
      <c r="D236" s="71" t="n">
        <v>22884811</v>
      </c>
      <c r="E236" s="71" t="n">
        <v>0</v>
      </c>
      <c r="F236" s="72" t="n">
        <v>2614817157845</v>
      </c>
      <c r="G236" s="72">
        <f>VLOOKUP(H:H,'Referencias '!B:C,2,0)</f>
        <v/>
      </c>
      <c r="H236" s="72">
        <f>TRIM(_xlfn.TEXTBEFORE(_xlfn.TEXTAFTER(U236,"CNPJ/CPF:&lt;/strong&gt;"),"&lt;/p&gt;"))</f>
        <v/>
      </c>
      <c r="I236" s="70" t="inlineStr">
        <is>
          <t>Cancelamento de NF / reemissão</t>
        </is>
      </c>
      <c r="J236" s="72" t="inlineStr">
        <is>
          <t>A nota foi substituida e cliente incluido na lista de exceções. Chamado encerrado</t>
        </is>
      </c>
      <c r="K236" s="72" t="n"/>
      <c r="L236" s="70" t="inlineStr">
        <is>
          <t>FINALIZADO</t>
        </is>
      </c>
      <c r="M236" s="73" t="inlineStr">
        <is>
          <t>Alta</t>
        </is>
      </c>
      <c r="N236" s="71" t="inlineStr">
        <is>
          <t>1018 Financeiro | Desejo falar com o setor financeiro | André Menezes | andremenezes@bemol.com.br</t>
        </is>
      </c>
      <c r="O236" s="74" t="n">
        <v>46170</v>
      </c>
      <c r="P236" s="123" t="n">
        <v>46218</v>
      </c>
      <c r="Q236" s="177">
        <f>TEXT(O236,"mmm/aaaa")</f>
        <v/>
      </c>
      <c r="R236" s="71" t="inlineStr">
        <is>
          <t>ECOMMERCE BP SUPORTE FINANCEIRO N2</t>
        </is>
      </c>
      <c r="S236" s="71" t="inlineStr">
        <is>
          <t>andremenezes@bemol.com.br</t>
        </is>
      </c>
      <c r="T236" s="71" t="inlineStr">
        <is>
          <t>BEMOL</t>
        </is>
      </c>
      <c r="U236" s="71" t="inlineStr">
        <is>
          <t>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
Ambas as cobranças com o período de apuração de 26/04/2026 a 25/05/2026 e com vencimento para 10/06/2026.
Segundo o parágrafo que consta em contrato entre Bemol e Braspag, o faturamento e a emissão de nota devem ocorrer no mês subsequente a utilização do serviço e com vencimento em 30 dias.
Solicito por gentileza o cancel</t>
        </is>
      </c>
      <c r="V236" s="71">
        <f>IFERROR(_xlfn.TEXTBEFORE(_xlfn.TEXTAFTER(U236,"Descrição do problema:&lt;/strong"),"&lt;/p&gt;"),_xlfn.TEXTAFTER(U236,"Descrição do problema:&lt;/strong"))</f>
        <v/>
      </c>
      <c r="W236" s="76">
        <f>_xlfn.CONCAT(D236:E236)</f>
        <v/>
      </c>
      <c r="X236" s="77" t="n">
        <v>46218</v>
      </c>
      <c r="Y236" s="78">
        <f>IF(X236="","Aberto","Encerrado")</f>
        <v/>
      </c>
      <c r="Z236" s="78">
        <f>IF(OR(L236="PENDENTE",L236="EM ANDAMENTO",L236="PENDENTE APROVAÇÃO CANCELAMENTO NF"),TODAY()-O236,X236-O236)</f>
        <v/>
      </c>
      <c r="AA236" s="78">
        <f>IF(Y236="Aberto",Z236+ROW()/100000,"")</f>
        <v/>
      </c>
      <c r="AB236" s="2">
        <f>IF(ISNUMBER(FIND("@cielo.com.br",S236)),"Interno","Externo")</f>
        <v/>
      </c>
      <c r="AC236" t="inlineStr">
        <is>
          <t>Cancelar, substituir ou reemitir nota fiscal.</t>
        </is>
      </c>
      <c r="AD236" t="inlineStr">
        <is>
          <t>ACAO:CANCELAR; OBJETO:COBRANCA; OBJETO:CONTRATO; OBJETO:NOTA_FISCAL</t>
        </is>
      </c>
      <c r="AE236" t="inlineStr">
        <is>
          <t>Cancelamento de NF</t>
        </is>
      </c>
      <c r="AF236" t="inlineStr">
        <is>
          <t>Documento Fiscal</t>
        </is>
      </c>
      <c r="AG236" t="inlineStr">
        <is>
          <t>Cancelamento e Reemissão de Nota Fiscal</t>
        </is>
      </c>
      <c r="AI236" t="inlineStr">
        <is>
          <t>INT_NF_CANCEL_REEMISSAO</t>
        </is>
      </c>
      <c r="AJ236" t="inlineStr">
        <is>
          <t>Sugerida</t>
        </is>
      </c>
      <c r="AK236" t="b">
        <v>0</v>
      </c>
      <c r="AN236">
        <f>IF(OR(AG236="",AM236=""),"",IF(AG236=AM236,"SIM","NÃO"))</f>
        <v/>
      </c>
      <c r="AO236" t="inlineStr">
        <is>
          <t>CLASSIFIED_SIGNATURE</t>
        </is>
      </c>
    </row>
    <row r="237" ht="15.5" customHeight="1">
      <c r="A237" s="1" t="n"/>
      <c r="B237" s="67" t="inlineStr">
        <is>
          <t>Emilly Maria</t>
        </is>
      </c>
      <c r="C237" s="70">
        <f>VLOOKUP(I:I,'Referencias '!H:I,2,0)</f>
        <v/>
      </c>
      <c r="D237" s="71" t="n">
        <v>22884282</v>
      </c>
      <c r="E237" s="71" t="n">
        <v>0</v>
      </c>
      <c r="F237" s="72" t="n">
        <v>2614817157508</v>
      </c>
      <c r="G237" s="72">
        <f>T237</f>
        <v/>
      </c>
      <c r="H237" s="72">
        <f>TRIM(_xlfn.TEXTBEFORE(_xlfn.TEXTAFTER(U237,"CNPJ/CPF:&lt;/strong&gt;"),"&lt;/p&gt;"))</f>
        <v/>
      </c>
      <c r="I237" s="70" t="inlineStr">
        <is>
          <t>Alteração cadastral (telefone)</t>
        </is>
      </c>
      <c r="J237" s="72" t="n"/>
      <c r="K237" s="72" t="n"/>
      <c r="L237" s="70" t="inlineStr">
        <is>
          <t>FINALIZADO</t>
        </is>
      </c>
      <c r="M237" s="73" t="inlineStr">
        <is>
          <t>Médio</t>
        </is>
      </c>
      <c r="N237" s="71" t="inlineStr">
        <is>
          <t>1003 Gateway de Pagamento | Estou com um problema em produção e preciso de ajuda | Graciliene Borges da Silva | graciliene.silva@mbrf.com</t>
        </is>
      </c>
      <c r="O237" s="74" t="n">
        <v>46170</v>
      </c>
      <c r="P237" s="123" t="n">
        <v>46218</v>
      </c>
      <c r="Q237" s="177">
        <f>TEXT(O237,"mmm/aaaa")</f>
        <v/>
      </c>
      <c r="R237" s="71" t="inlineStr">
        <is>
          <t>ECOMMERCE BP SUPORTE FINANCEIRO N2</t>
        </is>
      </c>
      <c r="S237" s="71" t="inlineStr">
        <is>
          <t>graciliene.silva@mbrf.com</t>
        </is>
      </c>
      <c r="T237" s="71" t="inlineStr"/>
      <c r="U237" s="129" t="inlineStr">
        <is>
          <t xml:space="preserve">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
Realizamos a atualização do telefone 0800 do E-commerce, porém identificamos que o boleto gerado via Braspag/Cielo ainda está apresentando o número antigo no campo de instruções.
Atualmente consta no boleto:
&amp;quot;Em caso de dúvidas, ligue para 0800 721 7621&amp;quot;
Precisamos que seja atualizado para o novo </t>
        </is>
      </c>
      <c r="V237" s="71">
        <f>IFERROR(_xlfn.TEXTBEFORE(_xlfn.TEXTAFTER(U237,"Descrição do problema:&lt;/strong"),"&lt;/p&gt;"),_xlfn.TEXTAFTER(U237,"Descrição do problema:&lt;/strong"))</f>
        <v/>
      </c>
      <c r="W237" s="76">
        <f>_xlfn.CONCAT(D237:E237)</f>
        <v/>
      </c>
      <c r="X237" s="77" t="n">
        <v>46241</v>
      </c>
      <c r="Y237" s="78">
        <f>IF(X237="","Aberto","Encerrado")</f>
        <v/>
      </c>
      <c r="Z237" s="78">
        <f>IF(OR(L237="PENDENTE",L237="EM ANDAMENTO",L237="PENDENTE APROVAÇÃO CANCELAMENTO NF"),TODAY()-O237,X237-O237)</f>
        <v/>
      </c>
      <c r="AA237" s="78">
        <f>IF(Y237="Aberto",Z237+ROW()/100000,"")</f>
        <v/>
      </c>
      <c r="AB237" s="2">
        <f>IF(ISNUMBER(FIND("@cielo.com.br",S237)),"Interno","Externo")</f>
        <v/>
      </c>
      <c r="AC237" t="inlineStr">
        <is>
          <t>Solicitar segunda via, reenvio ou reemissão de boleto.</t>
        </is>
      </c>
      <c r="AD237" t="inlineStr">
        <is>
          <t>boleto + atualizado; novo + boleto</t>
        </is>
      </c>
      <c r="AE237" t="inlineStr">
        <is>
          <t>Reenvio de boleto</t>
        </is>
      </c>
      <c r="AF237" t="inlineStr">
        <is>
          <t>Título Financeiro</t>
        </is>
      </c>
      <c r="AG237" t="inlineStr">
        <is>
          <t>Pagamentos, Boletos e Recebimentos</t>
        </is>
      </c>
      <c r="AI237" t="inlineStr">
        <is>
          <t>INT_PAG_BOLETO_REENVIO</t>
        </is>
      </c>
      <c r="AJ237" t="inlineStr">
        <is>
          <t>Sugerida</t>
        </is>
      </c>
      <c r="AK237" t="b">
        <v>0</v>
      </c>
      <c r="AN237">
        <f>IF(OR(AG237="",AM237=""),"",IF(AG237=AM237,"SIM","NÃO"))</f>
        <v/>
      </c>
      <c r="AO237" t="inlineStr">
        <is>
          <t>CLASSIFIED_PATTERN</t>
        </is>
      </c>
    </row>
    <row r="238" ht="15.5" customHeight="1">
      <c r="A238" s="1" t="n"/>
      <c r="B238" s="67" t="inlineStr">
        <is>
          <t>Amanda Silva</t>
        </is>
      </c>
      <c r="C238" s="70">
        <f>VLOOKUP(I:I,'Referencias '!H:I,2,0)</f>
        <v/>
      </c>
      <c r="D238" s="71" t="n">
        <v>22878539</v>
      </c>
      <c r="E238" s="71" t="n">
        <v>0</v>
      </c>
      <c r="F238" s="72" t="n">
        <v>2614816153717</v>
      </c>
      <c r="G238" s="72">
        <f>VLOOKUP(H:H,'Referencias '!B:C,2,0)</f>
        <v/>
      </c>
      <c r="H238" s="72">
        <f>TRIM(_xlfn.TEXTBEFORE(_xlfn.TEXTAFTER(U238,"CNPJ/CPF:&lt;/strong&gt;"),"&lt;/p&gt;"))</f>
        <v/>
      </c>
      <c r="I238" s="70" t="inlineStr">
        <is>
          <t>Alteração de vencimento / Prorrogação / Reenvio de boleto</t>
        </is>
      </c>
      <c r="J238" s="72" t="n"/>
      <c r="K238" s="72" t="n"/>
      <c r="L238" s="70" t="inlineStr">
        <is>
          <t>FINALIZADO</t>
        </is>
      </c>
      <c r="M238" s="73" t="inlineStr">
        <is>
          <t>Alta</t>
        </is>
      </c>
      <c r="N238" s="71" t="inlineStr">
        <is>
          <t>1018 Financeiro | Desejo falar com o setor financeiro | Fabio Novais | fabiobn@bauducco.com.br</t>
        </is>
      </c>
      <c r="O238" s="74" t="n">
        <v>46170</v>
      </c>
      <c r="P238" s="123" t="n">
        <v>46217</v>
      </c>
      <c r="Q238" s="177">
        <f>TEXT(O238,"mmm/aaaa")</f>
        <v/>
      </c>
      <c r="R238" s="71" t="inlineStr">
        <is>
          <t>ECOMMERCE BP SUPORTE FINANCEIRO N2</t>
        </is>
      </c>
      <c r="S238" s="71" t="inlineStr">
        <is>
          <t>fabiobn@bauducco.com.br</t>
        </is>
      </c>
      <c r="T238" s="71" t="inlineStr"/>
      <c r="U238" s="129" t="inlineStr">
        <is>
          <t>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
As regras de emissão de boleto são sempre até dia 10 do mês, e é necessário ter o vencimento de 45 dias.
Conseguem nos ajudar, por favor?
Obrigado!&lt;/p&gt;&lt;p&gt;&lt;strong&gt;GA Client ID:&lt;/strong&gt; 1324974709.1764694782&lt;/p&gt;&lt;p&gt;&lt;strong&gt;Lead Hash ID:&lt;/strong&gt; 5828d74843488e39d266c193758669792138bf534ef02c79f4d9f9a668f498a9&lt;/p&gt;&lt;p&gt;&lt;strong&gt;Lead Form ID:&lt;/str</t>
        </is>
      </c>
      <c r="V238" s="71">
        <f>IFERROR(_xlfn.TEXTBEFORE(_xlfn.TEXTAFTER(U238,"Descrição do problema:&lt;/strong"),"&lt;/p&gt;"),_xlfn.TEXTAFTER(U238,"Descrição do problema:&lt;/strong"))</f>
        <v/>
      </c>
      <c r="W238" s="76">
        <f>_xlfn.CONCAT(D238:E238)</f>
        <v/>
      </c>
      <c r="X238" s="77" t="n">
        <v>46283</v>
      </c>
      <c r="Y238" s="78">
        <f>IF(X238="","Aberto","Encerrado")</f>
        <v/>
      </c>
      <c r="Z238" s="78">
        <f>IF(OR(L238="PENDENTE",L238="EM ANDAMENTO",L238="PENDENTE APROVAÇÃO CANCELAMENTO NF"),TODAY()-O238,X238-O238)</f>
        <v/>
      </c>
      <c r="AA238" s="78">
        <f>IF(Y238="Aberto",Z238+ROW()/100000,"")</f>
        <v/>
      </c>
      <c r="AB238" s="2">
        <f>IF(ISNUMBER(FIND("@cielo.com.br",S238)),"Interno","Externo")</f>
        <v/>
      </c>
      <c r="AC238" t="inlineStr">
        <is>
          <t>Alterar ou prorrogar vencimento ou prazo de pagamento.</t>
        </is>
      </c>
      <c r="AD238" t="inlineStr">
        <is>
          <t>alteração + vencimento; vencimento + 45 dias</t>
        </is>
      </c>
      <c r="AE238" t="inlineStr">
        <is>
          <t>Alteração de vencimento</t>
        </is>
      </c>
      <c r="AF238" t="inlineStr">
        <is>
          <t>Título Financeiro</t>
        </is>
      </c>
      <c r="AG238" t="inlineStr">
        <is>
          <t>Pagamentos, Boletos e Recebimentos</t>
        </is>
      </c>
      <c r="AI238" t="inlineStr">
        <is>
          <t>INT_PAG_VENCIMENTO</t>
        </is>
      </c>
      <c r="AJ238" t="inlineStr">
        <is>
          <t>Sugerida</t>
        </is>
      </c>
      <c r="AK238" t="b">
        <v>0</v>
      </c>
      <c r="AN238">
        <f>IF(OR(AG238="",AM238=""),"",IF(AG238=AM238,"SIM","NÃO"))</f>
        <v/>
      </c>
      <c r="AO238" t="inlineStr">
        <is>
          <t>CLASSIFIED_PATTERN</t>
        </is>
      </c>
    </row>
    <row r="239" ht="15.5" customHeight="1">
      <c r="A239" s="1" t="n"/>
      <c r="B239" s="67" t="inlineStr">
        <is>
          <t>Stephany Lima</t>
        </is>
      </c>
      <c r="C239" s="70">
        <f>VLOOKUP(I:I,'Referencias '!H:I,2,0)</f>
        <v/>
      </c>
      <c r="D239" s="129" t="n">
        <v>22877934</v>
      </c>
      <c r="E239" s="71" t="n">
        <v>0</v>
      </c>
      <c r="F239" s="72" t="n">
        <v>2614816153291</v>
      </c>
      <c r="G239" s="72">
        <f>T239</f>
        <v/>
      </c>
      <c r="H239" s="72">
        <f>TRIM(_xlfn.TEXTBEFORE(_xlfn.TEXTAFTER(U239,"CNPJ/CPF:&lt;/strong&gt;"),"&lt;/p&gt;"))</f>
        <v/>
      </c>
      <c r="I239" s="70" t="inlineStr">
        <is>
          <t>Contestação de cobrança</t>
        </is>
      </c>
      <c r="J239" s="72" t="n"/>
      <c r="K239" s="72" t="n"/>
      <c r="L239" s="70" t="inlineStr">
        <is>
          <t>FINALIZADO</t>
        </is>
      </c>
      <c r="M239" s="73" t="inlineStr">
        <is>
          <t>Médio</t>
        </is>
      </c>
      <c r="N239" s="71" t="inlineStr">
        <is>
          <t>1018 Financeiro | Desejo falar com o setor financeiro | Vanessa | vanessa@sixpel.com.br</t>
        </is>
      </c>
      <c r="O239" s="74" t="n">
        <v>46170</v>
      </c>
      <c r="P239" s="123" t="n">
        <v>46218</v>
      </c>
      <c r="Q239" s="177">
        <f>TEXT(O239,"mmm/aaaa")</f>
        <v/>
      </c>
      <c r="R239" s="71" t="inlineStr">
        <is>
          <t>ECOMMERCE BP SUPORTE FINANCEIRO N2</t>
        </is>
      </c>
      <c r="S239" s="71" t="inlineStr">
        <is>
          <t>vanessa@sixpel.com.br</t>
        </is>
      </c>
      <c r="T239" s="71" t="inlineStr">
        <is>
          <t>13A INFORMATICA E MATE</t>
        </is>
      </c>
      <c r="U239" s="129" t="inlineStr">
        <is>
          <t>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t>
        </is>
      </c>
      <c r="V239" s="71">
        <f>IFERROR(_xlfn.TEXTBEFORE(_xlfn.TEXTAFTER(U239,"Descrição do problema:&lt;/strong"),"&lt;/p&gt;"),_xlfn.TEXTAFTER(U239,"Descrição do problema:&lt;/strong"))</f>
        <v/>
      </c>
      <c r="W239" s="76">
        <f>_xlfn.CONCAT(D239:E239)</f>
        <v/>
      </c>
      <c r="X239" s="77" t="n">
        <v>46273</v>
      </c>
      <c r="Y239" s="78">
        <f>IF(X239="","Aberto","Encerrado")</f>
        <v/>
      </c>
      <c r="Z239" s="78">
        <f>IF(OR(L239="PENDENTE",L239="EM ANDAMENTO",L239="PENDENTE APROVAÇÃO CANCELAMENTO NF"),TODAY()-O239,X239-O239)</f>
        <v/>
      </c>
      <c r="AA239" s="78">
        <f>IF(Y239="Aberto",Z239+ROW()/100000,"")</f>
        <v/>
      </c>
      <c r="AB239" s="2">
        <f>IF(ISNUMBER(FIND("@cielo.com.br",S239)),"Interno","Externo")</f>
        <v/>
      </c>
      <c r="AC239" t="inlineStr">
        <is>
          <t>Cancelar boleto ou interromper cobranças futuras ligadas a boleto.</t>
        </is>
      </c>
      <c r="AD239" t="inlineStr">
        <is>
          <t>ACAO:CANCELAR; OBJETO:BOLETO; OBJETO:COBRANCA; CONTEXTO:DIVERGENCIA</t>
        </is>
      </c>
      <c r="AE239" t="inlineStr">
        <is>
          <t>Cancelamento de boleto</t>
        </is>
      </c>
      <c r="AF239" t="inlineStr">
        <is>
          <t>Título Financeiro</t>
        </is>
      </c>
      <c r="AG239" t="inlineStr">
        <is>
          <t>Pagamentos, Boletos e Recebimentos</t>
        </is>
      </c>
      <c r="AI239" t="inlineStr">
        <is>
          <t>INT_PAG_BOLETO_CANCELAMENTO</t>
        </is>
      </c>
      <c r="AJ239" t="inlineStr">
        <is>
          <t>Sugerida</t>
        </is>
      </c>
      <c r="AK239" t="b">
        <v>0</v>
      </c>
      <c r="AN239">
        <f>IF(OR(AG239="",AM239=""),"",IF(AG239=AM239,"SIM","NÃO"))</f>
        <v/>
      </c>
      <c r="AO239" t="inlineStr">
        <is>
          <t>CLASSIFIED_SIGNATURE</t>
        </is>
      </c>
    </row>
    <row r="240" ht="15.5" customHeight="1">
      <c r="A240" s="1" t="n"/>
      <c r="B240" s="67" t="inlineStr">
        <is>
          <t>Stephany Lima</t>
        </is>
      </c>
      <c r="C240" s="70">
        <f>VLOOKUP(I:I,'Referencias '!H:I,2,0)</f>
        <v/>
      </c>
      <c r="D240" s="71" t="n">
        <v>22831321</v>
      </c>
      <c r="E240" s="71" t="n">
        <v>0</v>
      </c>
      <c r="F240" s="72" t="n">
        <v>2614717122471</v>
      </c>
      <c r="G240" s="72">
        <f>VLOOKUP(H:H,'Referencias '!B:C,2,0)</f>
        <v/>
      </c>
      <c r="H240" s="72">
        <f>TRIM(_xlfn.TEXTBEFORE(_xlfn.TEXTAFTER(U240,"CNPJ/CPF:&lt;/strong&gt;"),"&lt;/p&gt;"))</f>
        <v/>
      </c>
      <c r="I240" s="70" t="inlineStr">
        <is>
          <t>Reenvio de boleto</t>
        </is>
      </c>
      <c r="J240" s="72" t="n"/>
      <c r="K240" s="72" t="n"/>
      <c r="L240" s="70" t="inlineStr">
        <is>
          <t>FINALIZADO</t>
        </is>
      </c>
      <c r="M240" s="73" t="inlineStr">
        <is>
          <t>Médio</t>
        </is>
      </c>
      <c r="N240" s="71" t="inlineStr">
        <is>
          <t>1018 Financeiro | Desejo falar com o setor financeiro | Mitchel | mitchel.lima92@gmail.com</t>
        </is>
      </c>
      <c r="O240" s="74" t="n">
        <v>46169</v>
      </c>
      <c r="P240" s="123" t="n">
        <v>46217</v>
      </c>
      <c r="Q240" s="177">
        <f>TEXT(O240,"mmm/aaaa")</f>
        <v/>
      </c>
      <c r="R240" s="71" t="inlineStr">
        <is>
          <t>ECOMMERCE BP SUPORTE FINANCEIRO N2</t>
        </is>
      </c>
      <c r="S240" s="71" t="inlineStr">
        <is>
          <t>mitchel.lima92@gmail.com</t>
        </is>
      </c>
      <c r="T240" s="71" t="inlineStr"/>
      <c r="U240" s="129" t="inlineStr">
        <is>
          <t>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t>
        </is>
      </c>
      <c r="V240" s="71">
        <f>IFERROR(_xlfn.TEXTBEFORE(_xlfn.TEXTAFTER(U240,"Descrição do problema:&lt;/strong"),"&lt;/p&gt;"),_xlfn.TEXTAFTER(U240,"Descrição do problema:&lt;/strong"))</f>
        <v/>
      </c>
      <c r="W240" s="76">
        <f>_xlfn.CONCAT(D240:E240)</f>
        <v/>
      </c>
      <c r="X240" s="77" t="n">
        <v>46244</v>
      </c>
      <c r="Y240" s="78">
        <f>IF(X240="","Aberto","Encerrado")</f>
        <v/>
      </c>
      <c r="Z240" s="78">
        <f>IF(OR(L240="PENDENTE",L240="EM ANDAMENTO",L240="PENDENTE APROVAÇÃO CANCELAMENTO NF"),TODAY()-O240,X240-O240)</f>
        <v/>
      </c>
      <c r="AA240" s="78">
        <f>IF(Y240="Aberto",Z240+ROW()/100000,"")</f>
        <v/>
      </c>
      <c r="AB240" s="2">
        <f>IF(ISNUMBER(FIND("@cielo.com.br",S240)),"Interno","Externo")</f>
        <v/>
      </c>
      <c r="AC240" t="inlineStr">
        <is>
          <t>Solicitar segunda via, reenvio ou reemissão de boleto.</t>
        </is>
      </c>
      <c r="AD240" t="inlineStr">
        <is>
          <t>encaminhar o boleto; não recebemos o boleto; não recebemos + boleto</t>
        </is>
      </c>
      <c r="AE240" t="inlineStr">
        <is>
          <t>Reenvio de boleto</t>
        </is>
      </c>
      <c r="AF240" t="inlineStr">
        <is>
          <t>Título Financeiro</t>
        </is>
      </c>
      <c r="AG240" t="inlineStr">
        <is>
          <t>Pagamentos, Boletos e Recebimentos</t>
        </is>
      </c>
      <c r="AI240" t="inlineStr">
        <is>
          <t>INT_PAG_BOLETO_REENVIO</t>
        </is>
      </c>
      <c r="AJ240" t="inlineStr">
        <is>
          <t>Sugerida</t>
        </is>
      </c>
      <c r="AK240" t="b">
        <v>0</v>
      </c>
      <c r="AN240">
        <f>IF(OR(AG240="",AM240=""),"",IF(AG240=AM240,"SIM","NÃO"))</f>
        <v/>
      </c>
      <c r="AO240" t="inlineStr">
        <is>
          <t>CLASSIFIED_PATTERN</t>
        </is>
      </c>
    </row>
    <row r="241" ht="15.5" customHeight="1">
      <c r="A241" s="1" t="n"/>
      <c r="B241" s="67" t="inlineStr">
        <is>
          <t>Pamela de Sá</t>
        </is>
      </c>
      <c r="C241" s="70">
        <f>VLOOKUP(I:I,'Referencias '!H:I,2,0)</f>
        <v/>
      </c>
      <c r="D241" s="71" t="n">
        <v>22819696</v>
      </c>
      <c r="E241" s="71" t="n">
        <v>0</v>
      </c>
      <c r="F241" s="72" t="n">
        <v>2614714114917</v>
      </c>
      <c r="G241" s="72">
        <f>T241</f>
        <v/>
      </c>
      <c r="H241" s="72">
        <f>TRIM(_xlfn.TEXTBEFORE(_xlfn.TEXTAFTER(U241,"CNPJ/CPF:&lt;/strong&gt;"),"&lt;/p&gt;"))</f>
        <v/>
      </c>
      <c r="I241" s="70" t="inlineStr">
        <is>
          <t>Mudança conta recebimento</t>
        </is>
      </c>
      <c r="J241" s="72" t="n"/>
      <c r="K241" s="72" t="n"/>
      <c r="L241" s="70" t="inlineStr">
        <is>
          <t>PENDENTE</t>
        </is>
      </c>
      <c r="M241" s="73" t="inlineStr">
        <is>
          <t>Médio</t>
        </is>
      </c>
      <c r="N241" s="71" t="inlineStr">
        <is>
          <t>1018 Financeiro | Desejo falar com o setor financeiro | Francielle dos Santos Pereira | sac.millionspay@gmail.com</t>
        </is>
      </c>
      <c r="O241" s="74" t="n">
        <v>46169</v>
      </c>
      <c r="P241" s="123" t="n">
        <v>46218</v>
      </c>
      <c r="Q241" s="177">
        <f>TEXT(O241,"mmm/aaaa")</f>
        <v/>
      </c>
      <c r="R241" s="71" t="inlineStr">
        <is>
          <t>ECOMMERCE BP SUPORTE FINANCEIRO N2</t>
        </is>
      </c>
      <c r="S241" s="71" t="inlineStr">
        <is>
          <t>sac.millionspay@gmail.com</t>
        </is>
      </c>
      <c r="T241" s="71" t="inlineStr"/>
      <c r="U241" s="129" t="inlineStr">
        <is>
          <t>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t>
        </is>
      </c>
      <c r="V241" s="71">
        <f>IFERROR(_xlfn.TEXTBEFORE(_xlfn.TEXTAFTER(U241,"Descrição do problema:&lt;/strong"),"&lt;/p&gt;"),_xlfn.TEXTAFTER(U241,"Descrição do problema:&lt;/strong"))</f>
        <v/>
      </c>
      <c r="W241" s="76">
        <f>_xlfn.CONCAT(D241:E241)</f>
        <v/>
      </c>
      <c r="X241" s="77" t="n"/>
      <c r="Y241" s="78">
        <f>IF(X241="","Aberto","Encerrado")</f>
        <v/>
      </c>
      <c r="Z241" s="78">
        <f>IF(OR(L241="PENDENTE",L241="EM ANDAMENTO",L241="PENDENTE APROVAÇÃO CANCELAMENTO NF"),TODAY()-O241,X241-O241)</f>
        <v/>
      </c>
      <c r="AA241" s="78">
        <f>IF(Y241="Aberto",Z241+ROW()/100000,"")</f>
        <v/>
      </c>
      <c r="AB241" s="2">
        <f>IF(ISNUMBER(FIND("@cielo.com.br",S241)),"Interno","Externo")</f>
        <v/>
      </c>
      <c r="AC241" t="inlineStr">
        <is>
          <t>Alterar conta, domicílio ou forma de recebimento.</t>
        </is>
      </c>
      <c r="AD241" t="inlineStr">
        <is>
          <t>trocar a conta bancária</t>
        </is>
      </c>
      <c r="AE241" t="inlineStr">
        <is>
          <t>Troca de conta para depósito</t>
        </is>
      </c>
      <c r="AF241" t="inlineStr">
        <is>
          <t>Título Financeiro</t>
        </is>
      </c>
      <c r="AG241" t="inlineStr">
        <is>
          <t>Pagamentos, Boletos e Recebimentos</t>
        </is>
      </c>
      <c r="AI241" t="inlineStr">
        <is>
          <t>INT_PAG_CONTA</t>
        </is>
      </c>
      <c r="AJ241" t="inlineStr">
        <is>
          <t>Sugerida</t>
        </is>
      </c>
      <c r="AK241" t="b">
        <v>0</v>
      </c>
      <c r="AN241">
        <f>IF(OR(AG241="",AM241=""),"",IF(AG241=AM241,"SIM","NÃO"))</f>
        <v/>
      </c>
      <c r="AO241" t="inlineStr">
        <is>
          <t>CLASSIFIED_PATTERN</t>
        </is>
      </c>
    </row>
    <row r="242" ht="15.5" customHeight="1">
      <c r="A242" s="1" t="n"/>
      <c r="B242" s="67" t="inlineStr">
        <is>
          <t>Emilly Maria</t>
        </is>
      </c>
      <c r="C242" s="70">
        <f>VLOOKUP(I:I,'Referencias '!H:I,2,0)</f>
        <v/>
      </c>
      <c r="D242" s="71" t="n">
        <v>22722766</v>
      </c>
      <c r="E242" s="71" t="n">
        <v>0</v>
      </c>
      <c r="F242" s="72" t="n">
        <v>2614516051755</v>
      </c>
      <c r="G242" s="72">
        <f>VLOOKUP(H:H,'Referencias '!B:C,2,0)</f>
        <v/>
      </c>
      <c r="H242" s="72">
        <f>TRIM(_xlfn.TEXTBEFORE(_xlfn.TEXTAFTER(U242,"CNPJ/CPF:&lt;/strong&gt;"),"&lt;/p&gt;"))</f>
        <v/>
      </c>
      <c r="I242" s="70" t="inlineStr">
        <is>
          <t>Cancelamento de NF / reemissão</t>
        </is>
      </c>
      <c r="J242" s="72" t="n"/>
      <c r="K242" s="72" t="n"/>
      <c r="L242" s="70" t="inlineStr">
        <is>
          <t>FINALIZADO</t>
        </is>
      </c>
      <c r="M242" s="73" t="inlineStr">
        <is>
          <t>Alta</t>
        </is>
      </c>
      <c r="N242" s="71" t="inlineStr">
        <is>
          <t>1018 Financeiro | Desejo falar com o setor financeiro | Felipe Alvarez de Carvalho Sanches | felipe.sanches@supermercadospaguemenos.com.br</t>
        </is>
      </c>
      <c r="O242" s="74" t="n">
        <v>46167</v>
      </c>
      <c r="P242" s="123" t="n">
        <v>46217</v>
      </c>
      <c r="Q242" s="177">
        <f>TEXT(O242,"mmm/aaaa")</f>
        <v/>
      </c>
      <c r="R242" s="71" t="inlineStr">
        <is>
          <t>ECOMMERCE BP SUPORTE FINANCEIRO N2</t>
        </is>
      </c>
      <c r="S242" s="71" t="inlineStr">
        <is>
          <t>felipe.sanches@supermercadospaguemenos.com.br</t>
        </is>
      </c>
      <c r="T242" s="71" t="inlineStr"/>
      <c r="U242" s="71" t="inlineStr">
        <is>
          <t>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
Por gentileza, solicito a emissão da NFS referente ao Código de Serviço 01.03.01, com data de emissão em 01/06.
Ressalto que nosso prazo para faturamento foi encerrado em 20/05. Considerando que a apuração do m</t>
        </is>
      </c>
      <c r="V242" s="71">
        <f>IFERROR(_xlfn.TEXTBEFORE(_xlfn.TEXTAFTER(U242,"Descrição do problema:&lt;/strong"),"&lt;/p&gt;"),_xlfn.TEXTAFTER(U242,"Descrição do problema:&lt;/strong"))</f>
        <v/>
      </c>
      <c r="W242" s="76">
        <f>_xlfn.CONCAT(D242:E242)</f>
        <v/>
      </c>
      <c r="X242" s="77" t="n">
        <v>46234</v>
      </c>
      <c r="Y242" s="78">
        <f>IF(X242="","Aberto","Encerrado")</f>
        <v/>
      </c>
      <c r="Z242" s="78">
        <f>IF(OR(L242="PENDENTE",L242="EM ANDAMENTO",L242="PENDENTE APROVAÇÃO CANCELAMENTO NF"),TODAY()-O242,X242-O242)</f>
        <v/>
      </c>
      <c r="AA242" s="78">
        <f>IF(Y242="Aberto",Z242+ROW()/100000,"")</f>
        <v/>
      </c>
      <c r="AB242" s="2">
        <f>IF(ISNUMBER(FIND("@cielo.com.br",S242)),"Interno","Externo")</f>
        <v/>
      </c>
      <c r="AD242" t="inlineStr"/>
      <c r="AJ242" t="inlineStr">
        <is>
          <t>Sem correspondência</t>
        </is>
      </c>
      <c r="AK242" t="b">
        <v>0</v>
      </c>
      <c r="AN242">
        <f>IF(OR(AG242="",AM242=""),"",IF(AG242=AM242,"SIM","NÃO"))</f>
        <v/>
      </c>
      <c r="AO242" t="inlineStr">
        <is>
          <t>NO_PATTERN</t>
        </is>
      </c>
    </row>
    <row r="243" ht="15.5" customHeight="1">
      <c r="A243" s="1" t="n"/>
      <c r="B243" s="67" t="inlineStr">
        <is>
          <t>Emilly Maria</t>
        </is>
      </c>
      <c r="C243" s="70">
        <f>VLOOKUP(I:I,'Referencias '!H:I,2,0)</f>
        <v/>
      </c>
      <c r="D243" s="71" t="n">
        <v>22696395</v>
      </c>
      <c r="E243" s="71" t="n">
        <v>0</v>
      </c>
      <c r="F243" s="72" t="n">
        <v>2614511034778</v>
      </c>
      <c r="G243" s="72">
        <f>T243</f>
        <v/>
      </c>
      <c r="H243" s="72" t="n"/>
      <c r="I243" s="70" t="inlineStr">
        <is>
          <t>Atualização cadastral</t>
        </is>
      </c>
      <c r="J243" s="72" t="n"/>
      <c r="K243" s="72" t="n"/>
      <c r="L243" s="70" t="inlineStr">
        <is>
          <t>FINALIZADO</t>
        </is>
      </c>
      <c r="M243" s="73" t="inlineStr">
        <is>
          <t>Médio</t>
        </is>
      </c>
      <c r="N243" s="71" t="inlineStr">
        <is>
          <t>1018 Financeiro | Desejo falar com o setor financeiro | MV INFORMATICA NORDESTE LTDA | bordini@cielo.com.br</t>
        </is>
      </c>
      <c r="O243" s="74" t="n">
        <v>46167</v>
      </c>
      <c r="P243" s="123" t="n">
        <v>46217</v>
      </c>
      <c r="Q243" s="177">
        <f>TEXT(O243,"mmm/aaaa")</f>
        <v/>
      </c>
      <c r="R243" s="71" t="inlineStr">
        <is>
          <t>ECOMMERCE BP SUPORTE FINANCEIRO N2</t>
        </is>
      </c>
      <c r="S243" s="71" t="inlineStr">
        <is>
          <t>bordini@cielo.com.br</t>
        </is>
      </c>
      <c r="T243" s="71" t="inlineStr"/>
      <c r="U243" s="129" t="inlineStr">
        <is>
          <t>Olá, segue formulário enviado para Cielo E-commerce:&lt;p&gt;&lt;strong&gt;Qual seu nome?:&lt;/strong&gt; MV INFORMATICA NORDESTE LTDA&lt;/p&gt;&lt;p&gt;&lt;strong&gt;Descrição do problema:&lt;/strong&gt; Bom dia, time! Espero que estejam bem.
Gostaria de compartilhar que fechamos com o cliente Grupo MV, e para darmos continuidade ao processo de faturamento, o cliente possui algumas exigências específicas relacionadas ao envio das notas fiscais.
Encaminho em anexo o e-mail do cliente com todas as orientações necessárias, incluindo as informações e o contato responsável pelo recebimento das notas ( contratos@mv.com.br).
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
Conto com o apoio de todos para seguirmos com e</t>
        </is>
      </c>
      <c r="V243" s="71">
        <f>IFERROR(_xlfn.TEXTBEFORE(_xlfn.TEXTAFTER(U243,"Descrição do problema:&lt;/strong"),"&lt;/p&gt;"),_xlfn.TEXTAFTER(U243,"Descrição do problema:&lt;/strong"))</f>
        <v/>
      </c>
      <c r="W243" s="76">
        <f>_xlfn.CONCAT(D243:E243)</f>
        <v/>
      </c>
      <c r="X243" s="77" t="n">
        <v>46273</v>
      </c>
      <c r="Y243" s="78">
        <f>IF(X243="","Aberto","Encerrado")</f>
        <v/>
      </c>
      <c r="Z243" s="78">
        <f>IF(OR(L243="PENDENTE",L243="EM ANDAMENTO",L243="PENDENTE APROVAÇÃO CANCELAMENTO NF"),TODAY()-O243,X243-O243)</f>
        <v/>
      </c>
      <c r="AA243" s="78">
        <f>IF(Y243="Aberto",Z243+ROW()/100000,"")</f>
        <v/>
      </c>
      <c r="AB243" s="2">
        <f>IF(ISNUMBER(FIND("@cielo.com.br",S243)),"Interno","Externo")</f>
        <v/>
      </c>
      <c r="AC243" t="inlineStr">
        <is>
          <t>Reenviar nota fiscal não recebida.</t>
        </is>
      </c>
      <c r="AD243" t="inlineStr">
        <is>
          <t>envio das notas fiscais</t>
        </is>
      </c>
      <c r="AE243" t="inlineStr">
        <is>
          <t>Reenvio de NF</t>
        </is>
      </c>
      <c r="AF243" t="inlineStr">
        <is>
          <t>Parâmetro de Faturamento</t>
        </is>
      </c>
      <c r="AG243" t="inlineStr">
        <is>
          <t>Faturamento e Obrigações Fiscais</t>
        </is>
      </c>
      <c r="AI243" t="inlineStr">
        <is>
          <t>INT_FAT_REENVIO_NF</t>
        </is>
      </c>
      <c r="AJ243" t="inlineStr">
        <is>
          <t>Sugerida</t>
        </is>
      </c>
      <c r="AK243" t="b">
        <v>0</v>
      </c>
      <c r="AN243">
        <f>IF(OR(AG243="",AM243=""),"",IF(AG243=AM243,"SIM","NÃO"))</f>
        <v/>
      </c>
      <c r="AO243" t="inlineStr">
        <is>
          <t>CLASSIFIED_PATTERN</t>
        </is>
      </c>
    </row>
    <row r="244" ht="15.5" customHeight="1">
      <c r="A244" s="1" t="n"/>
      <c r="B244" s="67" t="inlineStr">
        <is>
          <t>Fabiana Lisboa</t>
        </is>
      </c>
      <c r="C244" s="70">
        <f>VLOOKUP(I:I,'Referencias '!H:I,2,0)</f>
        <v/>
      </c>
      <c r="D244" s="71" t="n">
        <v>22692172</v>
      </c>
      <c r="E244" s="71" t="n">
        <v>0</v>
      </c>
      <c r="F244" s="72" t="n">
        <v>2614510031891</v>
      </c>
      <c r="G244" s="72">
        <f>VLOOKUP(H:H,'Referencias '!B:C,2,0)</f>
        <v/>
      </c>
      <c r="H244" s="72">
        <f>TRIM(_xlfn.TEXTBEFORE(_xlfn.TEXTAFTER(U244,"CNPJ/CPF:&lt;/strong&gt;"),"&lt;/p&gt;"))</f>
        <v/>
      </c>
      <c r="I244" s="70" t="inlineStr">
        <is>
          <t>Reenvio de boleto</t>
        </is>
      </c>
      <c r="J244" s="72" t="n"/>
      <c r="K244" s="72" t="n"/>
      <c r="L244" s="70" t="inlineStr">
        <is>
          <t>FINALIZADO</t>
        </is>
      </c>
      <c r="M244" s="73" t="inlineStr">
        <is>
          <t>Médio</t>
        </is>
      </c>
      <c r="N244" s="71" t="inlineStr">
        <is>
          <t>1018 Financeiro | Desejo falar com o setor financeiro | Matheus Frade | matheus.frade@iter.com.br</t>
        </is>
      </c>
      <c r="O244" s="74" t="n">
        <v>46167</v>
      </c>
      <c r="P244" s="123" t="n">
        <v>46216</v>
      </c>
      <c r="Q244" s="177">
        <f>TEXT(O244,"mmm/aaaa")</f>
        <v/>
      </c>
      <c r="R244" s="71" t="inlineStr">
        <is>
          <t>ECOMMERCE BP SUPORTE FINANCEIRO N2</t>
        </is>
      </c>
      <c r="S244" s="71" t="inlineStr">
        <is>
          <t>matheus.frade@iter.com.br</t>
        </is>
      </c>
      <c r="T244" s="71" t="inlineStr">
        <is>
          <t>BONDINHO PAO DE ACUCAR</t>
        </is>
      </c>
      <c r="U244" s="129" t="inlineStr">
        <is>
          <t xml:space="preserve">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
  </t>
        </is>
      </c>
      <c r="V244" s="71">
        <f>IFERROR(_xlfn.TEXTBEFORE(_xlfn.TEXTAFTER(U244,"Descrição do problema:&lt;/strong"),"&lt;/p&gt;"),_xlfn.TEXTAFTER(U244,"Descrição do problema:&lt;/strong"))</f>
        <v/>
      </c>
      <c r="W244" s="76">
        <f>_xlfn.CONCAT(D244:E244)</f>
        <v/>
      </c>
      <c r="X244" s="77" t="n">
        <v>46245</v>
      </c>
      <c r="Y244" s="78">
        <f>IF(X244="","Aberto","Encerrado")</f>
        <v/>
      </c>
      <c r="Z244" s="78">
        <f>IF(OR(L244="PENDENTE",L244="EM ANDAMENTO",L244="PENDENTE APROVAÇÃO CANCELAMENTO NF"),TODAY()-O244,X244-O244)</f>
        <v/>
      </c>
      <c r="AA244" s="78">
        <f>IF(Y244="Aberto",Z244+ROW()/100000,"")</f>
        <v/>
      </c>
      <c r="AB244" s="2">
        <f>IF(ISNUMBER(FIND("@cielo.com.br",S244)),"Interno","Externo")</f>
        <v/>
      </c>
      <c r="AC244" t="inlineStr">
        <is>
          <t>Solicitar segunda via, reenvio ou reemissão de boleto.</t>
        </is>
      </c>
      <c r="AD244" t="inlineStr">
        <is>
          <t>boleto atualizado; solicito boleto atualizado; boleto + atualizado</t>
        </is>
      </c>
      <c r="AE244" t="inlineStr">
        <is>
          <t>Reenvio de boleto</t>
        </is>
      </c>
      <c r="AF244" t="inlineStr">
        <is>
          <t>Título Financeiro</t>
        </is>
      </c>
      <c r="AG244" t="inlineStr">
        <is>
          <t>Pagamentos, Boletos e Recebimentos</t>
        </is>
      </c>
      <c r="AI244" t="inlineStr">
        <is>
          <t>INT_PAG_BOLETO_REENVIO</t>
        </is>
      </c>
      <c r="AJ244" t="inlineStr">
        <is>
          <t>Sugerida</t>
        </is>
      </c>
      <c r="AK244" t="b">
        <v>0</v>
      </c>
      <c r="AN244">
        <f>IF(OR(AG244="",AM244=""),"",IF(AG244=AM244,"SIM","NÃO"))</f>
        <v/>
      </c>
      <c r="AO244" t="inlineStr">
        <is>
          <t>CLASSIFIED_PATTERN</t>
        </is>
      </c>
    </row>
    <row r="245" ht="15.5" customHeight="1">
      <c r="A245" s="1" t="n"/>
      <c r="B245" s="67" t="inlineStr">
        <is>
          <t>Emilly Maria</t>
        </is>
      </c>
      <c r="C245" s="70">
        <f>VLOOKUP(I:I,'Referencias '!H:I,2,0)</f>
        <v/>
      </c>
      <c r="D245" s="129" t="n">
        <v>22682610</v>
      </c>
      <c r="E245" s="71" t="n">
        <v>0</v>
      </c>
      <c r="F245" s="72" t="n">
        <v>2614508025411</v>
      </c>
      <c r="G245" s="72">
        <f>T245</f>
        <v/>
      </c>
      <c r="H245" s="72">
        <f>TRIM(_xlfn.TEXTBEFORE(_xlfn.TEXTAFTER(U245,"CNPJ/CPF:&lt;/strong&gt;"),"&lt;/p&gt;"))</f>
        <v/>
      </c>
      <c r="I245" s="70" t="inlineStr">
        <is>
          <t>Restrição no Serasa</t>
        </is>
      </c>
      <c r="J245" s="72" t="n"/>
      <c r="K245" s="72" t="n"/>
      <c r="L245" s="70" t="inlineStr">
        <is>
          <t>PENDENTE</t>
        </is>
      </c>
      <c r="M245" s="73" t="inlineStr">
        <is>
          <t>Médio</t>
        </is>
      </c>
      <c r="N245" s="71" t="inlineStr">
        <is>
          <t>1018 Financeiro | Desejo falar com o setor financeiro | Maria Eduarda Fernandes de Morais | igorramon_25@icloud.com</t>
        </is>
      </c>
      <c r="O245" s="74" t="n">
        <v>46167</v>
      </c>
      <c r="P245" s="123" t="n">
        <v>46219</v>
      </c>
      <c r="Q245" s="177">
        <f>TEXT(O245,"mmm/aaaa")</f>
        <v/>
      </c>
      <c r="R245" s="71" t="inlineStr">
        <is>
          <t>ECOMMERCE BP SUPORTE FINANCEIRO N2</t>
        </is>
      </c>
      <c r="S245" s="71" t="inlineStr">
        <is>
          <t>igorramon_25@icloud.com</t>
        </is>
      </c>
      <c r="T245" s="71" t="inlineStr">
        <is>
          <t>MARIA EDUARDA FERNANDES DE MORAI</t>
        </is>
      </c>
      <c r="U245" s="129" t="inlineStr">
        <is>
          <t>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
    "infoClientes</t>
        </is>
      </c>
      <c r="V245" s="71">
        <f>IFERROR(_xlfn.TEXTBEFORE(_xlfn.TEXTAFTER(U245,"Descrição do problema:&lt;/strong"),"&lt;/p&gt;"),_xlfn.TEXTAFTER(U245,"Descrição do problema:&lt;/strong"))</f>
        <v/>
      </c>
      <c r="W245" s="76">
        <f>_xlfn.CONCAT(D245:E245)</f>
        <v/>
      </c>
      <c r="X245" s="77" t="n"/>
      <c r="Y245" s="78">
        <f>IF(X245="","Aberto","Encerrado")</f>
        <v/>
      </c>
      <c r="Z245" s="78">
        <f>IF(OR(L245="PENDENTE",L245="EM ANDAMENTO",L245="PENDENTE APROVAÇÃO CANCELAMENTO NF"),TODAY()-O245,X245-O245)</f>
        <v/>
      </c>
      <c r="AA245" s="78">
        <f>IF(Y245="Aberto",Z245+ROW()/100000,"")</f>
        <v/>
      </c>
      <c r="AB245" s="2">
        <f>IF(ISNUMBER(FIND("@cielo.com.br",S245)),"Interno","Externo")</f>
        <v/>
      </c>
      <c r="AC245" t="inlineStr">
        <is>
          <t>Solicitar acesso ou encaminhamento administrativo.</t>
        </is>
      </c>
      <c r="AD245" t="inlineStr">
        <is>
          <t>dívida paga e não saiu do serasa; não saiu do serasa</t>
        </is>
      </c>
      <c r="AE245" t="inlineStr">
        <is>
          <t>Encaminhamento comercial</t>
        </is>
      </c>
      <c r="AF245" t="inlineStr">
        <is>
          <t>Informação/Atendimento</t>
        </is>
      </c>
      <c r="AG245" t="inlineStr">
        <is>
          <t>Atendimento Administrativo e Suporte</t>
        </is>
      </c>
      <c r="AI245" t="inlineStr">
        <is>
          <t>INT_ADM_ACESSO</t>
        </is>
      </c>
      <c r="AJ245" t="inlineStr">
        <is>
          <t>Sugerida</t>
        </is>
      </c>
      <c r="AK245" t="b">
        <v>0</v>
      </c>
      <c r="AN245">
        <f>IF(OR(AG245="",AM245=""),"",IF(AG245=AM245,"SIM","NÃO"))</f>
        <v/>
      </c>
      <c r="AO245" t="inlineStr">
        <is>
          <t>CLASSIFIED_PATTERN</t>
        </is>
      </c>
    </row>
    <row r="246" ht="15.5" customHeight="1">
      <c r="A246" s="1" t="n"/>
      <c r="B246" s="67" t="inlineStr">
        <is>
          <t>Stephany Lima</t>
        </is>
      </c>
      <c r="C246" s="70">
        <f>VLOOKUP(I:I,'Referencias '!H:I,2,0)</f>
        <v/>
      </c>
      <c r="D246" s="129" t="n">
        <v>22677747</v>
      </c>
      <c r="E246" s="71" t="n">
        <v>0</v>
      </c>
      <c r="F246" s="72" t="n">
        <v>2614312021526</v>
      </c>
      <c r="G246" s="72">
        <f>T246</f>
        <v/>
      </c>
      <c r="H246" s="72">
        <f>TRIM(_xlfn.TEXTBEFORE(_xlfn.TEXTAFTER(U246,"CNPJ/CPF:&lt;/strong&gt;"),"&lt;/p&gt;"))</f>
        <v/>
      </c>
      <c r="I246" s="70" t="inlineStr">
        <is>
          <t>Contestação de cobrança</t>
        </is>
      </c>
      <c r="J246" s="72" t="n"/>
      <c r="K246" s="72" t="n"/>
      <c r="L246" s="70" t="inlineStr">
        <is>
          <t>FINALIZADO</t>
        </is>
      </c>
      <c r="M246" s="73" t="inlineStr">
        <is>
          <t>Médio</t>
        </is>
      </c>
      <c r="N246" s="71" t="inlineStr">
        <is>
          <t>1018 Financeiro | Desejo falar com o setor financeiro | ANA CAROLINA FERREIRA | afontebrands@gmail.com</t>
        </is>
      </c>
      <c r="O246" s="74" t="n">
        <v>46165</v>
      </c>
      <c r="P246" s="123" t="n">
        <v>46217</v>
      </c>
      <c r="Q246" s="177">
        <f>TEXT(O246,"mmm/aaaa")</f>
        <v/>
      </c>
      <c r="R246" s="71" t="inlineStr">
        <is>
          <t>ECOMMERCE BP SUPORTE FINANCEIRO N2</t>
        </is>
      </c>
      <c r="S246" s="71" t="inlineStr">
        <is>
          <t>afontebrands@gmail.com</t>
        </is>
      </c>
      <c r="T246" s="71" t="inlineStr"/>
      <c r="U246" s="129" t="inlineStr">
        <is>
          <t>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
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t>
        </is>
      </c>
      <c r="V246" s="71">
        <f>IFERROR(_xlfn.TEXTBEFORE(_xlfn.TEXTAFTER(U246,"Descrição do problema:&lt;/strong"),"&lt;/p&gt;"),_xlfn.TEXTAFTER(U246,"Descrição do problema:&lt;/strong"))</f>
        <v/>
      </c>
      <c r="W246" s="76">
        <f>_xlfn.CONCAT(D246:E246)</f>
        <v/>
      </c>
      <c r="X246" s="77" t="n">
        <v>46273</v>
      </c>
      <c r="Y246" s="78">
        <f>IF(X246="","Aberto","Encerrado")</f>
        <v/>
      </c>
      <c r="Z246" s="78">
        <f>IF(OR(L246="PENDENTE",L246="EM ANDAMENTO",L246="PENDENTE APROVAÇÃO CANCELAMENTO NF"),TODAY()-O246,X246-O246)</f>
        <v/>
      </c>
      <c r="AA246" s="78">
        <f>IF(Y246="Aberto",Z246+ROW()/100000,"")</f>
        <v/>
      </c>
      <c r="AB246" s="2">
        <f>IF(ISNUMBER(FIND("@cielo.com.br",S246)),"Interno","Externo")</f>
        <v/>
      </c>
      <c r="AC246" t="inlineStr">
        <is>
          <t>Contestar divergência, valor ou critério de cobrança.</t>
        </is>
      </c>
      <c r="AD246" t="inlineStr">
        <is>
          <t>cobranças indevidas; cobrança + indevida; cobrança + indevida</t>
        </is>
      </c>
      <c r="AE246" t="inlineStr">
        <is>
          <t>Contestação de cobrança</t>
        </is>
      </c>
      <c r="AF246" t="inlineStr">
        <is>
          <t>Valor Cobrado</t>
        </is>
      </c>
      <c r="AG246" t="inlineStr">
        <is>
          <t>Cobrança e Contestação</t>
        </is>
      </c>
      <c r="AI246" t="inlineStr">
        <is>
          <t>INT_COB_CONTESTACAO</t>
        </is>
      </c>
      <c r="AJ246" t="inlineStr">
        <is>
          <t>Sugerida</t>
        </is>
      </c>
      <c r="AK246" t="b">
        <v>0</v>
      </c>
      <c r="AN246">
        <f>IF(OR(AG246="",AM246=""),"",IF(AG246=AM246,"SIM","NÃO"))</f>
        <v/>
      </c>
      <c r="AO246" t="inlineStr">
        <is>
          <t>CLASSIFIED_PATTERN</t>
        </is>
      </c>
    </row>
    <row r="247" ht="15.5" customHeight="1">
      <c r="A247" s="1" t="n"/>
      <c r="B247" s="67" t="inlineStr">
        <is>
          <t>Pamela de Sá</t>
        </is>
      </c>
      <c r="C247" s="70">
        <f>VLOOKUP(I:I,'Referencias '!H:I,2,0)</f>
        <v/>
      </c>
      <c r="D247" s="129" t="n">
        <v>22447668</v>
      </c>
      <c r="E247" s="71" t="n">
        <v>0</v>
      </c>
      <c r="F247" s="72" t="n">
        <v>2613813866530</v>
      </c>
      <c r="G247" s="72">
        <f>T247</f>
        <v/>
      </c>
      <c r="H247" s="72">
        <f>TRIM(_xlfn.TEXTBEFORE(_xlfn.TEXTAFTER(U247,"CNPJ/CPF:&lt;/strong&gt;"),"&lt;/p&gt;"))</f>
        <v/>
      </c>
      <c r="I247" s="70" t="inlineStr">
        <is>
          <t>Carta de quitação / circularização</t>
        </is>
      </c>
      <c r="J247" s="72" t="n"/>
      <c r="K247" s="72" t="n"/>
      <c r="L247" s="70" t="inlineStr">
        <is>
          <t>FINALIZADO</t>
        </is>
      </c>
      <c r="M247" s="73" t="inlineStr">
        <is>
          <t>Médio</t>
        </is>
      </c>
      <c r="N247" s="71" t="inlineStr">
        <is>
          <t>1018 Financeiro | Desejo falar com o setor financeiro | ATP TECNOLOGIA E PRODUTOS S/A | faturasgetec@datalinkbpo.com.br</t>
        </is>
      </c>
      <c r="O247" s="74" t="n">
        <v>46160</v>
      </c>
      <c r="P247" s="123" t="n">
        <v>46216</v>
      </c>
      <c r="Q247" s="177">
        <f>TEXT(O247,"mmm/aaaa")</f>
        <v/>
      </c>
      <c r="R247" s="71" t="inlineStr">
        <is>
          <t>ECOMMERCE BP SUPORTE FINANCEIRO N2</t>
        </is>
      </c>
      <c r="S247" s="71" t="inlineStr">
        <is>
          <t>faturasgetec@datalinkbpo.com.br</t>
        </is>
      </c>
      <c r="T247" s="71" t="inlineStr">
        <is>
          <t>ATP S A</t>
        </is>
      </c>
      <c r="U247" s="129" t="inlineStr">
        <is>
          <t>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t>
        </is>
      </c>
      <c r="V247" s="71">
        <f>IFERROR(_xlfn.TEXTBEFORE(_xlfn.TEXTAFTER(U247,"Descrição do problema:&lt;/strong"),"&lt;/p&gt;"),_xlfn.TEXTAFTER(U247,"Descrição do problema:&lt;/strong"))</f>
        <v/>
      </c>
      <c r="W247" s="76">
        <f>_xlfn.CONCAT(D247:E247)</f>
        <v/>
      </c>
      <c r="X247" s="77" t="n">
        <v>46267</v>
      </c>
      <c r="Y247" s="78">
        <f>IF(X247="","Aberto","Encerrado")</f>
        <v/>
      </c>
      <c r="Z247" s="78">
        <f>IF(OR(L247="PENDENTE",L247="EM ANDAMENTO",L247="PENDENTE APROVAÇÃO CANCELAMENTO NF"),TODAY()-O247,X247-O247)</f>
        <v/>
      </c>
      <c r="AA247" s="78">
        <f>IF(Y247="Aberto",Z247+ROW()/100000,"")</f>
        <v/>
      </c>
      <c r="AB247" s="2">
        <f>IF(ISNUMBER(FIND("@cielo.com.br",S247)),"Interno","Externo")</f>
        <v/>
      </c>
      <c r="AC247" t="inlineStr">
        <is>
          <t>Solicitar documento administrativo.</t>
        </is>
      </c>
      <c r="AD247" t="inlineStr">
        <is>
          <t>carta de quitação</t>
        </is>
      </c>
      <c r="AE247" t="inlineStr">
        <is>
          <t>Reenvio de informação</t>
        </is>
      </c>
      <c r="AF247" t="inlineStr">
        <is>
          <t>Informação/Atendimento</t>
        </is>
      </c>
      <c r="AG247" t="inlineStr">
        <is>
          <t>Atendimento Administrativo e Suporte</t>
        </is>
      </c>
      <c r="AI247" t="inlineStr">
        <is>
          <t>INT_ADM_DOCUMENTOS</t>
        </is>
      </c>
      <c r="AJ247" t="inlineStr">
        <is>
          <t>Sugerida</t>
        </is>
      </c>
      <c r="AK247" t="b">
        <v>0</v>
      </c>
      <c r="AN247">
        <f>IF(OR(AG247="",AM247=""),"",IF(AG247=AM247,"SIM","NÃO"))</f>
        <v/>
      </c>
      <c r="AO247" t="inlineStr">
        <is>
          <t>CLASSIFIED_PATTERN</t>
        </is>
      </c>
    </row>
    <row r="248" ht="15.5" customHeight="1">
      <c r="A248" s="1" t="n"/>
      <c r="B248" s="67" t="inlineStr">
        <is>
          <t>Pamela de Sá</t>
        </is>
      </c>
      <c r="C248" s="70">
        <f>VLOOKUP(I:I,'Referencias '!H:I,2,0)</f>
        <v/>
      </c>
      <c r="D248" s="71" t="n">
        <v>25085849</v>
      </c>
      <c r="E248" s="71" t="n">
        <v>22457206</v>
      </c>
      <c r="F248" s="72" t="n">
        <v>2620409593623</v>
      </c>
      <c r="G248" s="72" t="inlineStr">
        <is>
          <t>pluxeegroup</t>
        </is>
      </c>
      <c r="H248" s="72" t="inlineStr">
        <is>
          <t>69.034.668/0001-56</t>
        </is>
      </c>
      <c r="I248" s="70" t="inlineStr">
        <is>
          <t>Cancelamento de Nota Fiscal / Reemissão</t>
        </is>
      </c>
      <c r="J248" s="72" t="n"/>
      <c r="K248" s="72" t="inlineStr">
        <is>
          <t>Cliente</t>
        </is>
      </c>
      <c r="L248" s="70" t="inlineStr">
        <is>
          <t>PENDENTE</t>
        </is>
      </c>
      <c r="M248" s="73" t="inlineStr">
        <is>
          <t>Médio</t>
        </is>
      </c>
      <c r="N248" s="71" t="inlineStr">
        <is>
          <t>1018 Financeiro | Desejo falar com o setor financeiro | Jonas Mussa da Silva | jonas.silva@pluxeegroup.com</t>
        </is>
      </c>
      <c r="O248" s="74" t="n">
        <v>46226</v>
      </c>
      <c r="P248" s="123" t="n">
        <v>46226</v>
      </c>
      <c r="Q248" s="177">
        <f>TEXT(O248,"mmm/aaaa")</f>
        <v/>
      </c>
      <c r="R248" s="71" t="inlineStr">
        <is>
          <t>ECOMMERCE BP SUPORTE FINANCEIRO N2</t>
        </is>
      </c>
      <c r="S248" s="71" t="inlineStr"/>
      <c r="T248" s="71" t="inlineStr"/>
      <c r="U248" s="129" t="inlineStr">
        <is>
          <t xml:space="preserve">Outros </t>
        </is>
      </c>
      <c r="V248" s="71">
        <f>U248</f>
        <v/>
      </c>
      <c r="W248" s="76">
        <f>_xlfn.CONCAT(D248:E248)</f>
        <v/>
      </c>
      <c r="X248" s="77" t="n"/>
      <c r="Y248" s="78">
        <f>IF(X248="","Aberto","Encerrado")</f>
        <v/>
      </c>
      <c r="Z248" s="78">
        <f>IF(OR(L248="PENDENTE",L248="EM ANDAMENTO",L248="PENDENTE APROVAÇÃO CANCELAMENTO NF"),TODAY()-O248,X248-O248)</f>
        <v/>
      </c>
      <c r="AA248" s="78">
        <f>IF(Y248="Aberto",Z248+ROW()/100000,"")</f>
        <v/>
      </c>
      <c r="AB248" s="2">
        <f>IF(ISNUMBER(FIND("@cielo.com.br",S248)),"Interno","Externo")</f>
        <v/>
      </c>
      <c r="AD248" t="inlineStr"/>
      <c r="AJ248" t="inlineStr">
        <is>
          <t>Sem correspondência</t>
        </is>
      </c>
      <c r="AK248" t="b">
        <v>0</v>
      </c>
      <c r="AN248">
        <f>IF(OR(AG248="",AM248=""),"",IF(AG248=AM248,"SIM","NÃO"))</f>
        <v/>
      </c>
      <c r="AO248" t="inlineStr">
        <is>
          <t>NO_PATTERN</t>
        </is>
      </c>
    </row>
    <row r="249" ht="15.5" customHeight="1">
      <c r="A249" s="1" t="n"/>
      <c r="B249" s="67" t="inlineStr">
        <is>
          <t>Emilly Maria</t>
        </is>
      </c>
      <c r="C249" s="70">
        <f>VLOOKUP(I:I,'Referencias '!H:I,2,0)</f>
        <v/>
      </c>
      <c r="D249" s="71" t="n">
        <v>25067405</v>
      </c>
      <c r="E249" s="71" t="n">
        <v>0</v>
      </c>
      <c r="F249" s="72" t="n">
        <v>2620316581441</v>
      </c>
      <c r="G249" s="72">
        <f>VLOOKUP(H:H,'Referencias '!B:C,2,0)</f>
        <v/>
      </c>
      <c r="H249" s="72">
        <f>TRIM(_xlfn.TEXTBEFORE(_xlfn.TEXTAFTER(U249,"CNPJ/CPF:&lt;/strong&gt;"),"&lt;/p&gt;"))</f>
        <v/>
      </c>
      <c r="I249" s="70" t="inlineStr">
        <is>
          <t>Alteração de vencimento</t>
        </is>
      </c>
      <c r="J249" s="72" t="inlineStr">
        <is>
          <t>Comercial solicitou avaliação do Financeiro para essa tratativa. Solicitamos ajuste contratual e DA da Supex para seguir com exceção.</t>
        </is>
      </c>
      <c r="K249" s="72" t="n"/>
      <c r="L249" s="70" t="inlineStr">
        <is>
          <t>FINALIZADO</t>
        </is>
      </c>
      <c r="M249" s="73" t="inlineStr">
        <is>
          <t>Alta</t>
        </is>
      </c>
      <c r="N249" s="71" t="inlineStr">
        <is>
          <t>1018 Financeiro | Desejo falar com o setor financeiro | Mariane Oliveira dos Santos | mariane.santos@cielo.com.br</t>
        </is>
      </c>
      <c r="O249" s="74" t="n">
        <v>46225</v>
      </c>
      <c r="P249" s="123" t="n">
        <v>46225</v>
      </c>
      <c r="Q249" s="177">
        <f>TEXT(O249,"mmm/aaaa")</f>
        <v/>
      </c>
      <c r="R249" s="71" t="inlineStr">
        <is>
          <t>ECOMMERCE BP SUPORTE FINANCEIRO N2</t>
        </is>
      </c>
      <c r="S249" s="71" t="inlineStr">
        <is>
          <t>mariane.santos@cielo.com.br</t>
        </is>
      </c>
      <c r="T249" s="71" t="inlineStr"/>
      <c r="U249" s="129" t="inlineStr">
        <is>
          <t>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
A MadeiraMadeira solicitou a alteração do prazo de pagamento de suas faturas passando de 60 para 65 dias.
Enviei um e-mail para a Eliandra questionando sobre a possibilidade e ela me pediu para validar com o financeiro quais seriam os impactos dessa alteração.
Vou enviar a thread em anexo e marcar vocês no e-mail&lt;/p&gt;&lt;p&gt;&lt;stron</t>
        </is>
      </c>
      <c r="V249" s="71">
        <f>IFERROR(_xlfn.TEXTBEFORE(_xlfn.TEXTAFTER(U249,"Descrição do problema:&lt;/strong"),"&lt;/p&gt;"),_xlfn.TEXTAFTER(U249,"Descrição do problema:&lt;/strong"))</f>
        <v/>
      </c>
      <c r="W249" s="76">
        <f>_xlfn.CONCAT(D249:E249)</f>
        <v/>
      </c>
      <c r="X249" s="77" t="n">
        <v>46248</v>
      </c>
      <c r="Y249" s="78">
        <f>IF(X249="","Aberto","Encerrado")</f>
        <v/>
      </c>
      <c r="Z249" s="78">
        <f>IF(OR(L249="PENDENTE",L249="EM ANDAMENTO",L249="PENDENTE APROVAÇÃO CANCELAMENTO NF"),TODAY()-O249,X249-O249)</f>
        <v/>
      </c>
      <c r="AA249" s="78">
        <f>IF(Y249="Aberto",Z249+ROW()/100000,"")</f>
        <v/>
      </c>
      <c r="AB249" s="2">
        <f>IF(ISNUMBER(FIND("@cielo.com.br",S249)),"Interno","Externo")</f>
        <v/>
      </c>
      <c r="AC249" t="inlineStr">
        <is>
          <t>Consultar pagamentos, débitos, pendências ou recebíveis.</t>
        </is>
      </c>
      <c r="AD249" t="inlineStr">
        <is>
          <t>prazo de pagamento</t>
        </is>
      </c>
      <c r="AE249" t="inlineStr">
        <is>
          <t>Consulta financeira</t>
        </is>
      </c>
      <c r="AF249" t="inlineStr">
        <is>
          <t>Título Financeiro</t>
        </is>
      </c>
      <c r="AG249" t="inlineStr">
        <is>
          <t>Pagamentos, Boletos e Recebimentos</t>
        </is>
      </c>
      <c r="AI249" t="inlineStr">
        <is>
          <t>INT_PAG_FINANCEIRO</t>
        </is>
      </c>
      <c r="AJ249" t="inlineStr">
        <is>
          <t>Sugerida</t>
        </is>
      </c>
      <c r="AK249" t="b">
        <v>0</v>
      </c>
      <c r="AN249">
        <f>IF(OR(AG249="",AM249=""),"",IF(AG249=AM249,"SIM","NÃO"))</f>
        <v/>
      </c>
      <c r="AO249" t="inlineStr">
        <is>
          <t>CLASSIFIED_PATTERN</t>
        </is>
      </c>
    </row>
    <row r="250" ht="15.5" customHeight="1">
      <c r="A250" s="1" t="n"/>
      <c r="B250" s="67" t="inlineStr">
        <is>
          <t>Pamela de Sá</t>
        </is>
      </c>
      <c r="C250" s="70">
        <f>VLOOKUP(I:I,'Referencias '!H:I,2,0)</f>
        <v/>
      </c>
      <c r="D250" s="71" t="n">
        <v>25065394</v>
      </c>
      <c r="E250" s="71" t="n">
        <v>22801322</v>
      </c>
      <c r="F250" s="72" t="n">
        <v>2620316580073</v>
      </c>
      <c r="G250" s="72">
        <f>VLOOKUP(H:H,'Referencias '!B:C,2,0)</f>
        <v/>
      </c>
      <c r="H250" s="126" t="inlineStr">
        <is>
          <t>04.789.159/0001-98</t>
        </is>
      </c>
      <c r="I250" s="70" t="inlineStr">
        <is>
          <t>Cancelamento de Nota Fiscal</t>
        </is>
      </c>
      <c r="J250" s="72" t="n"/>
      <c r="K250" s="72" t="inlineStr">
        <is>
          <t>Comercial</t>
        </is>
      </c>
      <c r="L250" s="70" t="inlineStr">
        <is>
          <t>PENDENTE</t>
        </is>
      </c>
      <c r="M250" s="73" t="inlineStr">
        <is>
          <t>Médio</t>
        </is>
      </c>
      <c r="N250" s="71" t="inlineStr">
        <is>
          <t>RES: Recebemos sua solicitação "1018 Financeiro | Desejo falar com o setor financeiro | Joice Rosa | joice.dsilva@cielo.com.br"</t>
        </is>
      </c>
      <c r="O250" s="74" t="n">
        <v>46225</v>
      </c>
      <c r="P250" s="123" t="n">
        <v>46225</v>
      </c>
      <c r="Q250" s="177">
        <f>TEXT(O250,"mmm/aaaa")</f>
        <v/>
      </c>
      <c r="R250" s="71" t="inlineStr">
        <is>
          <t>ECOMMERCE BP SUPORTE FINANCEIRO N2</t>
        </is>
      </c>
      <c r="S250" s="71" t="inlineStr">
        <is>
          <t>joice.dsilva@cielo.com.br</t>
        </is>
      </c>
      <c r="T250" s="71" t="inlineStr"/>
      <c r="U250" s="129" t="inlineStr">
        <is>
          <t xml:space="preserve">Outros </t>
        </is>
      </c>
      <c r="V250" s="71">
        <f>U250</f>
        <v/>
      </c>
      <c r="W250" s="76">
        <f>_xlfn.CONCAT(D250:E250)</f>
        <v/>
      </c>
      <c r="X250" s="77" t="n"/>
      <c r="Y250" s="78">
        <f>IF(X250="","Aberto","Encerrado")</f>
        <v/>
      </c>
      <c r="Z250" s="78">
        <f>IF(OR(L250="PENDENTE",L250="EM ANDAMENTO",L250="PENDENTE APROVAÇÃO CANCELAMENTO NF"),TODAY()-O250,X250-O250)</f>
        <v/>
      </c>
      <c r="AA250" s="78">
        <f>IF(Y250="Aberto",Z250+ROW()/100000,"")</f>
        <v/>
      </c>
      <c r="AB250" s="2">
        <f>IF(ISNUMBER(FIND("@cielo.com.br",S250)),"Interno","Externo")</f>
        <v/>
      </c>
      <c r="AD250" t="inlineStr"/>
      <c r="AJ250" t="inlineStr">
        <is>
          <t>Sem correspondência</t>
        </is>
      </c>
      <c r="AK250" t="b">
        <v>0</v>
      </c>
      <c r="AN250">
        <f>IF(OR(AG250="",AM250=""),"",IF(AG250=AM250,"SIM","NÃO"))</f>
        <v/>
      </c>
      <c r="AO250" t="inlineStr">
        <is>
          <t>NO_PATTERN</t>
        </is>
      </c>
    </row>
    <row r="251" ht="15.5" customHeight="1">
      <c r="A251" s="1" t="n"/>
      <c r="B251" s="67" t="inlineStr">
        <is>
          <t>Stephany Lima</t>
        </is>
      </c>
      <c r="C251" s="70">
        <f>VLOOKUP(I:I,'Referencias '!H:I,2,0)</f>
        <v/>
      </c>
      <c r="D251" s="71" t="n">
        <v>25001569</v>
      </c>
      <c r="E251" s="71" t="n">
        <v>0</v>
      </c>
      <c r="F251" s="72" t="n">
        <v>2620215538552</v>
      </c>
      <c r="G251" s="72">
        <f>VLOOKUP(H:H,'Referencias '!B:C,2,0)</f>
        <v/>
      </c>
      <c r="H251" s="72">
        <f>TRIM(_xlfn.TEXTBEFORE(_xlfn.TEXTAFTER(U251,"CNPJ/CPF:&lt;/strong&gt;"),"&lt;/p&gt;"))</f>
        <v/>
      </c>
      <c r="I251" s="70" t="inlineStr">
        <is>
          <t>Alterar data de emissão da NF</t>
        </is>
      </c>
      <c r="J251" s="72" t="n"/>
      <c r="K251" s="72" t="n"/>
      <c r="L251" s="70" t="inlineStr">
        <is>
          <t>PENDENTE</t>
        </is>
      </c>
      <c r="M251" s="73" t="inlineStr">
        <is>
          <t>Médio</t>
        </is>
      </c>
      <c r="N251" s="71" t="inlineStr">
        <is>
          <t>1018 Financeiro | Desejo falar com o setor financeiro | Suelen Thums | suelen.thums@bertolini.com.br</t>
        </is>
      </c>
      <c r="O251" s="74" t="n">
        <v>46224</v>
      </c>
      <c r="P251" s="123" t="n">
        <v>46224</v>
      </c>
      <c r="Q251" s="177">
        <f>TEXT(O251,"mmm/aaaa")</f>
        <v/>
      </c>
      <c r="R251" s="71" t="inlineStr">
        <is>
          <t>ECOMMERCE BP SUPORTE FINANCEIRO N2</t>
        </is>
      </c>
      <c r="S251" s="71" t="inlineStr">
        <is>
          <t>suelen.thums@bertolini.com.br</t>
        </is>
      </c>
      <c r="T251" s="71" t="inlineStr"/>
      <c r="U251" s="129" t="inlineStr">
        <is>
          <t>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
Precisamos que as NFs sejam emitidas até o dia 25 de cada mês, ou somente no mês seguinte, pois o fiscal não irá mais aceitar notas de serviço após essa data.
Agradeço a compreensão desde já e fico no aguardo.&lt;/p&gt;&lt;p&gt;&lt;strong&gt;ID da tra</t>
        </is>
      </c>
      <c r="V251" s="71">
        <f>IFERROR(_xlfn.TEXTBEFORE(_xlfn.TEXTAFTER(U251,"Descrição do problema:&lt;/strong"),"&lt;/p&gt;"),_xlfn.TEXTAFTER(U251,"Descrição do problema:&lt;/strong"))</f>
        <v/>
      </c>
      <c r="W251" s="76">
        <f>_xlfn.CONCAT(D251:E251)</f>
        <v/>
      </c>
      <c r="X251" s="77" t="n"/>
      <c r="Y251" s="78">
        <f>IF(X251="","Aberto","Encerrado")</f>
        <v/>
      </c>
      <c r="Z251" s="78">
        <f>IF(OR(L251="PENDENTE",L251="EM ANDAMENTO",L251="PENDENTE APROVAÇÃO CANCELAMENTO NF"),TODAY()-O251,X251-O251)</f>
        <v/>
      </c>
      <c r="AA251" s="78">
        <f>IF(Y251="Aberto",Z251+ROW()/100000,"")</f>
        <v/>
      </c>
      <c r="AB251" s="2">
        <f>IF(ISNUMBER(FIND("@cielo.com.br",S251)),"Interno","Externo")</f>
        <v/>
      </c>
      <c r="AC251" t="inlineStr">
        <is>
          <t>Alterar a data de emissão da nota fiscal.</t>
        </is>
      </c>
      <c r="AD251" t="inlineStr">
        <is>
          <t>emitidas + dia; emissão + dia</t>
        </is>
      </c>
      <c r="AE251" t="inlineStr">
        <is>
          <t>Alteração de data de emissão da NF</t>
        </is>
      </c>
      <c r="AF251" t="inlineStr">
        <is>
          <t>Documento Fiscal</t>
        </is>
      </c>
      <c r="AG251" t="inlineStr">
        <is>
          <t>Cancelamento e Reemissão de Nota Fiscal</t>
        </is>
      </c>
      <c r="AI251" t="inlineStr">
        <is>
          <t>INT_NF_DATA_EMISSAO</t>
        </is>
      </c>
      <c r="AJ251" t="inlineStr">
        <is>
          <t>Sugerida</t>
        </is>
      </c>
      <c r="AK251" t="b">
        <v>0</v>
      </c>
      <c r="AN251">
        <f>IF(OR(AG251="",AM251=""),"",IF(AG251=AM251,"SIM","NÃO"))</f>
        <v/>
      </c>
      <c r="AO251" t="inlineStr">
        <is>
          <t>CLASSIFIED_PATTERN</t>
        </is>
      </c>
    </row>
    <row r="252" ht="15.5" customHeight="1">
      <c r="A252" s="1" t="n"/>
      <c r="B252" s="67" t="inlineStr">
        <is>
          <t>Emilly Maria</t>
        </is>
      </c>
      <c r="C252" s="70">
        <f>VLOOKUP(I:I,'Referencias '!H:I,2,0)</f>
        <v/>
      </c>
      <c r="D252" s="71" t="n">
        <v>25000127</v>
      </c>
      <c r="E252" s="71" t="n">
        <v>0</v>
      </c>
      <c r="F252" s="72" t="n">
        <v>2620215537614</v>
      </c>
      <c r="G252" s="72">
        <f>VLOOKUP(H:H,'Referencias '!B:C,2,0)</f>
        <v/>
      </c>
      <c r="H252" s="72">
        <f>TRIM(_xlfn.TEXTBEFORE(_xlfn.TEXTAFTER(U252,"CNPJ/CPF:&lt;/strong&gt;"),"&lt;/p&gt;"))</f>
        <v/>
      </c>
      <c r="I252" s="70" t="inlineStr">
        <is>
          <t>Atualização cadastral</t>
        </is>
      </c>
      <c r="J252" s="72" t="n"/>
      <c r="K252" s="72" t="n"/>
      <c r="L252" s="70" t="inlineStr">
        <is>
          <t>FINALIZADO</t>
        </is>
      </c>
      <c r="M252" s="73" t="inlineStr">
        <is>
          <t>Médio</t>
        </is>
      </c>
      <c r="N252" s="71" t="inlineStr">
        <is>
          <t>1003 Gateway de Pagamento | Estou com um problema em produção e preciso de ajuda | Fernanda Labes | fernanda.labes@mbrf.com</t>
        </is>
      </c>
      <c r="O252" s="74" t="n">
        <v>46224</v>
      </c>
      <c r="P252" s="123" t="n">
        <v>46225</v>
      </c>
      <c r="Q252" s="177">
        <f>TEXT(O252,"mmm/aaaa")</f>
        <v/>
      </c>
      <c r="R252" s="71" t="inlineStr">
        <is>
          <t>ECOMMERCE BP SUPORTE FINANCEIRO N2</t>
        </is>
      </c>
      <c r="S252" s="71" t="inlineStr">
        <is>
          <t>fernanda.labes@mbrf.com</t>
        </is>
      </c>
      <c r="T252" s="71" t="inlineStr">
        <is>
          <t>EMPORIO CHAP</t>
        </is>
      </c>
      <c r="U252" s="129" t="inlineStr">
        <is>
          <t>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t>
        </is>
      </c>
      <c r="V252" s="71">
        <f>IFERROR(_xlfn.TEXTBEFORE(_xlfn.TEXTAFTER(U252,"Descrição do problema:&lt;/strong"),"&lt;/p&gt;"),_xlfn.TEXTAFTER(U252,"Descrição do problema:&lt;/strong"))</f>
        <v/>
      </c>
      <c r="W252" s="76">
        <f>_xlfn.CONCAT(D252:E252)</f>
        <v/>
      </c>
      <c r="X252" s="77" t="n">
        <v>46240</v>
      </c>
      <c r="Y252" s="78">
        <f>IF(X252="","Aberto","Encerrado")</f>
        <v/>
      </c>
      <c r="Z252" s="78">
        <f>IF(OR(L252="PENDENTE",L252="EM ANDAMENTO",L252="PENDENTE APROVAÇÃO CANCELAMENTO NF"),TODAY()-O252,X252-O252)</f>
        <v/>
      </c>
      <c r="AA252" s="78">
        <f>IF(Y252="Aberto",Z252+ROW()/100000,"")</f>
        <v/>
      </c>
      <c r="AB252" s="2">
        <f>IF(ISNUMBER(FIND("@cielo.com.br",S252)),"Interno","Externo")</f>
        <v/>
      </c>
      <c r="AC252" t="inlineStr">
        <is>
          <t>Reenviar nota fiscal não recebida.</t>
        </is>
      </c>
      <c r="AD252" t="inlineStr">
        <is>
          <t>envio das notas fiscais</t>
        </is>
      </c>
      <c r="AE252" t="inlineStr">
        <is>
          <t>Reenvio de NF</t>
        </is>
      </c>
      <c r="AF252" t="inlineStr">
        <is>
          <t>Parâmetro de Faturamento</t>
        </is>
      </c>
      <c r="AG252" t="inlineStr">
        <is>
          <t>Faturamento e Obrigações Fiscais</t>
        </is>
      </c>
      <c r="AI252" t="inlineStr">
        <is>
          <t>INT_FAT_REENVIO_NF</t>
        </is>
      </c>
      <c r="AJ252" t="inlineStr">
        <is>
          <t>Sugerida</t>
        </is>
      </c>
      <c r="AK252" t="b">
        <v>0</v>
      </c>
      <c r="AN252">
        <f>IF(OR(AG252="",AM252=""),"",IF(AG252=AM252,"SIM","NÃO"))</f>
        <v/>
      </c>
      <c r="AO252" t="inlineStr">
        <is>
          <t>CLASSIFIED_PATTERN</t>
        </is>
      </c>
    </row>
    <row r="253" ht="15.5" customHeight="1">
      <c r="A253" s="1" t="n"/>
      <c r="B253" s="67" t="inlineStr">
        <is>
          <t>Stephany Lima</t>
        </is>
      </c>
      <c r="C253" s="70">
        <f>VLOOKUP(I:I,'Referencias '!H:I,2,0)</f>
        <v/>
      </c>
      <c r="D253" s="71" t="n">
        <v>24967125</v>
      </c>
      <c r="E253" s="71" t="n">
        <v>0</v>
      </c>
      <c r="F253" s="72" t="n">
        <v>2620209516381</v>
      </c>
      <c r="G253" s="72">
        <f>VLOOKUP(H:H,'Referencias '!B:C,2,0)</f>
        <v/>
      </c>
      <c r="H253" s="72">
        <f>TRIM(_xlfn.TEXTBEFORE(_xlfn.TEXTAFTER(U253,"CNPJ/CPF:&lt;/strong&gt;"),"&lt;/p&gt;"))</f>
        <v/>
      </c>
      <c r="I253" s="70" t="inlineStr">
        <is>
          <t>Alteração de vencimento</t>
        </is>
      </c>
      <c r="J253" s="72" t="n"/>
      <c r="K253" s="72" t="n"/>
      <c r="L253" s="70" t="inlineStr">
        <is>
          <t>PENDENTE</t>
        </is>
      </c>
      <c r="M253" s="73" t="inlineStr">
        <is>
          <t>Médio</t>
        </is>
      </c>
      <c r="N253" s="71" t="inlineStr">
        <is>
          <t>1018 Financeiro | Desejo falar com o setor financeiro | Monique Carvalho | monique.carvalho@minervafoods.com</t>
        </is>
      </c>
      <c r="O253" s="74" t="n">
        <v>46224</v>
      </c>
      <c r="P253" s="123" t="n">
        <v>46224</v>
      </c>
      <c r="Q253" s="177">
        <f>TEXT(O253,"mmm/aaaa")</f>
        <v/>
      </c>
      <c r="R253" s="71" t="inlineStr">
        <is>
          <t>ECOMMERCE BP SUPORTE FINANCEIRO N2</t>
        </is>
      </c>
      <c r="S253" s="71" t="inlineStr">
        <is>
          <t>monique.carvalho@minervafoods.com</t>
        </is>
      </c>
      <c r="T253" s="71" t="inlineStr"/>
      <c r="U253" s="129" t="inlineStr">
        <is>
          <t>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t>
        </is>
      </c>
      <c r="V253" s="71">
        <f>IFERROR(_xlfn.TEXTBEFORE(_xlfn.TEXTAFTER(U253,"Descrição do problema:&lt;/strong"),"&lt;/p&gt;"),_xlfn.TEXTAFTER(U253,"Descrição do problema:&lt;/strong"))</f>
        <v/>
      </c>
      <c r="W253" s="76">
        <f>_xlfn.CONCAT(D253:E253)</f>
        <v/>
      </c>
      <c r="X253" s="77" t="n"/>
      <c r="Y253" s="78">
        <f>IF(X253="","Aberto","Encerrado")</f>
        <v/>
      </c>
      <c r="Z253" s="78">
        <f>IF(OR(L253="PENDENTE",L253="EM ANDAMENTO",L253="PENDENTE APROVAÇÃO CANCELAMENTO NF"),TODAY()-O253,X253-O253)</f>
        <v/>
      </c>
      <c r="AA253" s="78">
        <f>IF(Y253="Aberto",Z253+ROW()/100000,"")</f>
        <v/>
      </c>
      <c r="AB253" s="2">
        <f>IF(ISNUMBER(FIND("@cielo.com.br",S253)),"Interno","Externo")</f>
        <v/>
      </c>
      <c r="AC253" t="inlineStr">
        <is>
          <t>Alterar ou prorrogar vencimento ou prazo de pagamento.</t>
        </is>
      </c>
      <c r="AD253" t="inlineStr">
        <is>
          <t>aumento no prazo de pagamento; aumento no prazo para pagamento; prazo + pagamento</t>
        </is>
      </c>
      <c r="AE253" t="inlineStr">
        <is>
          <t>Alteração de vencimento</t>
        </is>
      </c>
      <c r="AF253" t="inlineStr">
        <is>
          <t>Título Financeiro</t>
        </is>
      </c>
      <c r="AG253" t="inlineStr">
        <is>
          <t>Pagamentos, Boletos e Recebimentos</t>
        </is>
      </c>
      <c r="AI253" t="inlineStr">
        <is>
          <t>INT_PAG_VENCIMENTO</t>
        </is>
      </c>
      <c r="AJ253" t="inlineStr">
        <is>
          <t>Sugerida</t>
        </is>
      </c>
      <c r="AK253" t="b">
        <v>0</v>
      </c>
      <c r="AN253">
        <f>IF(OR(AG253="",AM253=""),"",IF(AG253=AM253,"SIM","NÃO"))</f>
        <v/>
      </c>
      <c r="AO253" t="inlineStr">
        <is>
          <t>CLASSIFIED_PATTERN</t>
        </is>
      </c>
    </row>
    <row r="254" ht="15.5" customHeight="1">
      <c r="A254" s="1" t="n"/>
      <c r="B254" s="67" t="inlineStr">
        <is>
          <t>Stephany Lima</t>
        </is>
      </c>
      <c r="C254" s="70">
        <f>VLOOKUP(I:I,'Referencias '!H:I,2,0)</f>
        <v/>
      </c>
      <c r="D254" s="71" t="n">
        <v>24965285</v>
      </c>
      <c r="E254" s="71" t="n">
        <v>0</v>
      </c>
      <c r="F254" s="72" t="n">
        <v>2620209515150</v>
      </c>
      <c r="G254" s="72">
        <f>VLOOKUP(H:H,'Referencias '!B:C,2,0)</f>
        <v/>
      </c>
      <c r="H254" s="72">
        <f>TRIM(_xlfn.TEXTBEFORE(_xlfn.TEXTAFTER(U254,"CNPJ/CPF:&lt;/strong&gt;"),"&lt;/p&gt;"))</f>
        <v/>
      </c>
      <c r="I254" s="70" t="inlineStr">
        <is>
          <t>Cancelamento de Nota Fiscal</t>
        </is>
      </c>
      <c r="J254" s="72" t="n"/>
      <c r="K254" s="72" t="inlineStr">
        <is>
          <t>Comercial</t>
        </is>
      </c>
      <c r="L254" s="70" t="inlineStr">
        <is>
          <t>PENDENTE</t>
        </is>
      </c>
      <c r="M254" s="73" t="inlineStr">
        <is>
          <t>Médio</t>
        </is>
      </c>
      <c r="N254" s="71" t="inlineStr">
        <is>
          <t>1018 Financeiro | Desejo falar com o setor financeiro | Joice Rosa | joice.dsilva@cielo.com.br</t>
        </is>
      </c>
      <c r="O254" s="74" t="n">
        <v>46224</v>
      </c>
      <c r="P254" s="123" t="n">
        <v>46224</v>
      </c>
      <c r="Q254" s="177">
        <f>TEXT(O254,"mmm/aaaa")</f>
        <v/>
      </c>
      <c r="R254" s="71" t="inlineStr">
        <is>
          <t>ECOMMERCE BP SUPORTE FINANCEIRO N2</t>
        </is>
      </c>
      <c r="S254" s="71" t="inlineStr">
        <is>
          <t>joice.dsilva@cielo.com.br</t>
        </is>
      </c>
      <c r="T254" s="71" t="inlineStr"/>
      <c r="U254" s="129" t="inlineStr">
        <is>
          <t>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
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
    "infoClien</t>
        </is>
      </c>
      <c r="V254" s="71">
        <f>IFERROR(_xlfn.TEXTBEFORE(_xlfn.TEXTAFTER(U254,"Descrição do problema:&lt;/strong"),"&lt;/p&gt;"),_xlfn.TEXTAFTER(U254,"Descrição do problema:&lt;/strong"))</f>
        <v/>
      </c>
      <c r="W254" s="76">
        <f>_xlfn.CONCAT(D254:E254)</f>
        <v/>
      </c>
      <c r="X254" s="77" t="n"/>
      <c r="Y254" s="78">
        <f>IF(X254="","Aberto","Encerrado")</f>
        <v/>
      </c>
      <c r="Z254" s="78">
        <f>IF(OR(L254="PENDENTE",L254="EM ANDAMENTO",L254="PENDENTE APROVAÇÃO CANCELAMENTO NF"),TODAY()-O254,X254-O254)</f>
        <v/>
      </c>
      <c r="AA254" s="78">
        <f>IF(Y254="Aberto",Z254+ROW()/100000,"")</f>
        <v/>
      </c>
      <c r="AB254" s="2">
        <f>IF(ISNUMBER(FIND("@cielo.com.br",S254)),"Interno","Externo")</f>
        <v/>
      </c>
      <c r="AC254" t="inlineStr">
        <is>
          <t>Cancelar, substituir ou reemitir nota fiscal.</t>
        </is>
      </c>
      <c r="AD254" t="inlineStr">
        <is>
          <t>cancelamento de nota; cancelamento de notas</t>
        </is>
      </c>
      <c r="AE254" t="inlineStr">
        <is>
          <t>Cancelamento de NF</t>
        </is>
      </c>
      <c r="AF254" t="inlineStr">
        <is>
          <t>Documento Fiscal</t>
        </is>
      </c>
      <c r="AG254" t="inlineStr">
        <is>
          <t>Cancelamento e Reemissão de Nota Fiscal</t>
        </is>
      </c>
      <c r="AI254" t="inlineStr">
        <is>
          <t>INT_NF_CANCEL_REEMISSAO</t>
        </is>
      </c>
      <c r="AJ254" t="inlineStr">
        <is>
          <t>Sugerida</t>
        </is>
      </c>
      <c r="AK254" t="b">
        <v>0</v>
      </c>
      <c r="AN254">
        <f>IF(OR(AG254="",AM254=""),"",IF(AG254=AM254,"SIM","NÃO"))</f>
        <v/>
      </c>
      <c r="AO254" t="inlineStr">
        <is>
          <t>CLASSIFIED_PATTERN</t>
        </is>
      </c>
    </row>
    <row r="255" ht="15.5" customHeight="1">
      <c r="A255" s="1" t="n"/>
      <c r="B255" s="67" t="inlineStr">
        <is>
          <t>Stephany Lima</t>
        </is>
      </c>
      <c r="C255" s="70">
        <f>VLOOKUP(I:I,'Referencias '!H:I,2,0)</f>
        <v/>
      </c>
      <c r="D255" s="71" t="n">
        <v>24962733</v>
      </c>
      <c r="E255" s="71" t="n">
        <v>0</v>
      </c>
      <c r="F255" s="72" t="n">
        <v>2620208513329</v>
      </c>
      <c r="G255" s="72">
        <f>T255</f>
        <v/>
      </c>
      <c r="H255" s="72">
        <f>TRIM(_xlfn.TEXTBEFORE(_xlfn.TEXTAFTER(U255,"CNPJ/CPF:&lt;/strong&gt;"),"&lt;/p&gt;"))</f>
        <v/>
      </c>
      <c r="I255" s="70" t="inlineStr">
        <is>
          <t>Cancelamento de Nota Fiscal</t>
        </is>
      </c>
      <c r="J255" s="72" t="n"/>
      <c r="K255" s="72" t="inlineStr">
        <is>
          <t>Comercial</t>
        </is>
      </c>
      <c r="L255" s="70" t="inlineStr">
        <is>
          <t>PENDENTE</t>
        </is>
      </c>
      <c r="M255" s="73" t="inlineStr">
        <is>
          <t>Médio</t>
        </is>
      </c>
      <c r="N255" s="71" t="inlineStr">
        <is>
          <t>1018 Financeiro | Desejo falar com o setor financeiro | DROGARIA SAO GONCALO LTDA | ariane.pasilva@cielo.com.br</t>
        </is>
      </c>
      <c r="O255" s="74" t="n">
        <v>46224</v>
      </c>
      <c r="P255" s="123" t="n">
        <v>46224</v>
      </c>
      <c r="Q255" s="177">
        <f>TEXT(O255,"mmm/aaaa")</f>
        <v/>
      </c>
      <c r="R255" s="71" t="inlineStr">
        <is>
          <t>ECOMMERCE BP SUPORTE FINANCEIRO N2</t>
        </is>
      </c>
      <c r="S255" s="71" t="inlineStr">
        <is>
          <t>ariane.pasilva@cielo.com.br</t>
        </is>
      </c>
      <c r="T255" s="71" t="inlineStr"/>
      <c r="U255" s="129" t="inlineStr">
        <is>
          <t>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t>
        </is>
      </c>
      <c r="V255" s="71">
        <f>IFERROR(_xlfn.TEXTBEFORE(_xlfn.TEXTAFTER(U255,"Descrição do problema:&lt;/strong"),"&lt;/p&gt;"),_xlfn.TEXTAFTER(U255,"Descrição do problema:&lt;/strong"))</f>
        <v/>
      </c>
      <c r="W255" s="76">
        <f>_xlfn.CONCAT(D255:E255)</f>
        <v/>
      </c>
      <c r="X255" s="77" t="n"/>
      <c r="Y255" s="78">
        <f>IF(X255="","Aberto","Encerrado")</f>
        <v/>
      </c>
      <c r="Z255" s="78">
        <f>IF(OR(L255="PENDENTE",L255="EM ANDAMENTO",L255="PENDENTE APROVAÇÃO CANCELAMENTO NF"),TODAY()-O255,X255-O255)</f>
        <v/>
      </c>
      <c r="AA255" s="78">
        <f>IF(Y255="Aberto",Z255+ROW()/100000,"")</f>
        <v/>
      </c>
      <c r="AB255" s="2">
        <f>IF(ISNUMBER(FIND("@cielo.com.br",S255)),"Interno","Externo")</f>
        <v/>
      </c>
      <c r="AC255" t="inlineStr">
        <is>
          <t>Cancelar, substituir ou reemitir nota fiscal.</t>
        </is>
      </c>
      <c r="AD255" t="inlineStr">
        <is>
          <t>ACAO:CANCELAR; OBJETO:NOTA_FISCAL</t>
        </is>
      </c>
      <c r="AE255" t="inlineStr">
        <is>
          <t>Cancelamento de NF</t>
        </is>
      </c>
      <c r="AF255" t="inlineStr">
        <is>
          <t>Documento Fiscal</t>
        </is>
      </c>
      <c r="AG255" t="inlineStr">
        <is>
          <t>Cancelamento e Reemissão de Nota Fiscal</t>
        </is>
      </c>
      <c r="AI255" t="inlineStr">
        <is>
          <t>INT_NF_CANCEL_REEMISSAO</t>
        </is>
      </c>
      <c r="AJ255" t="inlineStr">
        <is>
          <t>Sugerida</t>
        </is>
      </c>
      <c r="AK255" t="b">
        <v>0</v>
      </c>
      <c r="AN255">
        <f>IF(OR(AG255="",AM255=""),"",IF(AG255=AM255,"SIM","NÃO"))</f>
        <v/>
      </c>
      <c r="AO255" t="inlineStr">
        <is>
          <t>CLASSIFIED_SIGNATURE</t>
        </is>
      </c>
    </row>
    <row r="256" ht="15.5" customHeight="1">
      <c r="A256" s="1" t="n"/>
      <c r="B256" s="67" t="inlineStr">
        <is>
          <t>Stephany Lima</t>
        </is>
      </c>
      <c r="C256" s="70">
        <f>VLOOKUP(I:I,'Referencias '!H:I,2,0)</f>
        <v/>
      </c>
      <c r="D256" s="71" t="n">
        <v>24962638</v>
      </c>
      <c r="E256" s="71" t="n">
        <v>0</v>
      </c>
      <c r="F256" s="72" t="n">
        <v>2620208513261</v>
      </c>
      <c r="G256" s="72">
        <f>VLOOKUP(H:H,'Referencias '!B:C,2,0)</f>
        <v/>
      </c>
      <c r="H256" s="72">
        <f>TRIM(_xlfn.TEXTBEFORE(_xlfn.TEXTAFTER(U256,"CNPJ/CPF:&lt;/strong&gt;"),"&lt;/p&gt;"))</f>
        <v/>
      </c>
      <c r="I256" s="70" t="inlineStr">
        <is>
          <t>Cancelamento de Nota Fiscal</t>
        </is>
      </c>
      <c r="J256" s="72" t="n"/>
      <c r="K256" s="72" t="inlineStr">
        <is>
          <t>Comercial</t>
        </is>
      </c>
      <c r="L256" s="70" t="inlineStr">
        <is>
          <t>PENDENTE</t>
        </is>
      </c>
      <c r="M256" s="73" t="inlineStr">
        <is>
          <t>Médio</t>
        </is>
      </c>
      <c r="N256" s="71" t="inlineStr">
        <is>
          <t>1018 Financeiro | Desejo falar com o setor financeiro | VIDA FARMACIAS COLINA SORRISO COMERCIO DE MEDICAMENTOS LTDA | ariane.pasilva@cielo.com.br</t>
        </is>
      </c>
      <c r="O256" s="74" t="n">
        <v>46224</v>
      </c>
      <c r="P256" s="123" t="n">
        <v>46224</v>
      </c>
      <c r="Q256" s="177">
        <f>TEXT(O256,"mmm/aaaa")</f>
        <v/>
      </c>
      <c r="R256" s="71" t="inlineStr">
        <is>
          <t>ECOMMERCE BP SUPORTE FINANCEIRO N2</t>
        </is>
      </c>
      <c r="S256" s="71" t="inlineStr">
        <is>
          <t>ariane.pasilva@cielo.com.br</t>
        </is>
      </c>
      <c r="T256" s="71" t="inlineStr"/>
      <c r="U256" s="129" t="inlineStr">
        <is>
          <t>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
        </is>
      </c>
      <c r="V256" s="71">
        <f>IFERROR(_xlfn.TEXTBEFORE(_xlfn.TEXTAFTER(U256,"Descrição do problema:&lt;/strong"),"&lt;/p&gt;"),_xlfn.TEXTAFTER(U256,"Descrição do problema:&lt;/strong"))</f>
        <v/>
      </c>
      <c r="W256" s="76">
        <f>_xlfn.CONCAT(D256:E256)</f>
        <v/>
      </c>
      <c r="X256" s="77" t="n"/>
      <c r="Y256" s="78">
        <f>IF(X256="","Aberto","Encerrado")</f>
        <v/>
      </c>
      <c r="Z256" s="78">
        <f>IF(OR(L256="PENDENTE",L256="EM ANDAMENTO",L256="PENDENTE APROVAÇÃO CANCELAMENTO NF"),TODAY()-O256,X256-O256)</f>
        <v/>
      </c>
      <c r="AA256" s="78">
        <f>IF(Y256="Aberto",Z256+ROW()/100000,"")</f>
        <v/>
      </c>
      <c r="AB256" s="2">
        <f>IF(ISNUMBER(FIND("@cielo.com.br",S256)),"Interno","Externo")</f>
        <v/>
      </c>
      <c r="AC256" t="inlineStr">
        <is>
          <t>Cancelar, substituir ou reemitir nota fiscal.</t>
        </is>
      </c>
      <c r="AD256" t="inlineStr">
        <is>
          <t>ACAO:CANCELAR; OBJETO:NOTA_FISCAL</t>
        </is>
      </c>
      <c r="AE256" t="inlineStr">
        <is>
          <t>Cancelamento de NF</t>
        </is>
      </c>
      <c r="AF256" t="inlineStr">
        <is>
          <t>Documento Fiscal</t>
        </is>
      </c>
      <c r="AG256" t="inlineStr">
        <is>
          <t>Cancelamento e Reemissão de Nota Fiscal</t>
        </is>
      </c>
      <c r="AI256" t="inlineStr">
        <is>
          <t>INT_NF_CANCEL_REEMISSAO</t>
        </is>
      </c>
      <c r="AJ256" t="inlineStr">
        <is>
          <t>Sugerida</t>
        </is>
      </c>
      <c r="AK256" t="b">
        <v>0</v>
      </c>
      <c r="AN256">
        <f>IF(OR(AG256="",AM256=""),"",IF(AG256=AM256,"SIM","NÃO"))</f>
        <v/>
      </c>
      <c r="AO256" t="inlineStr">
        <is>
          <t>CLASSIFIED_SIGNATURE</t>
        </is>
      </c>
    </row>
    <row r="257" ht="15.5" customHeight="1">
      <c r="A257" s="1" t="n"/>
      <c r="B257" s="67" t="inlineStr">
        <is>
          <t>Stephany Lima</t>
        </is>
      </c>
      <c r="C257" s="70">
        <f>VLOOKUP(I:I,'Referencias '!H:I,2,0)</f>
        <v/>
      </c>
      <c r="D257" s="129" t="n">
        <v>24930082</v>
      </c>
      <c r="E257" s="71" t="n">
        <v>0</v>
      </c>
      <c r="F257" s="72" t="n">
        <v>2620113492394</v>
      </c>
      <c r="G257" s="72">
        <f>T257</f>
        <v/>
      </c>
      <c r="H257" s="72">
        <f>TRIM(_xlfn.TEXTBEFORE(_xlfn.TEXTAFTER(U257,"CNPJ/CPF:&lt;/strong&gt;"),"&lt;/p&gt;"))</f>
        <v/>
      </c>
      <c r="I257" s="70" t="inlineStr">
        <is>
          <t>Contestação de cobrança</t>
        </is>
      </c>
      <c r="J257" s="72" t="n"/>
      <c r="K257" s="72" t="n"/>
      <c r="L257" s="70" t="inlineStr">
        <is>
          <t>FINALIZADO</t>
        </is>
      </c>
      <c r="M257" s="73" t="inlineStr">
        <is>
          <t>Médio</t>
        </is>
      </c>
      <c r="N257" s="71" t="inlineStr">
        <is>
          <t>1018 Financeiro | Desejo falar com o setor financeiro | APARECIDA SOARES BARBAIS | evertonbarbaismarques@yahoo.com.br</t>
        </is>
      </c>
      <c r="O257" s="74" t="n">
        <v>46223</v>
      </c>
      <c r="P257" s="123" t="n">
        <v>46223</v>
      </c>
      <c r="Q257" s="177">
        <f>TEXT(O257,"mmm/aaaa")</f>
        <v/>
      </c>
      <c r="R257" s="71" t="inlineStr">
        <is>
          <t>ECOMMERCE BP SUPORTE FINANCEIRO N2</t>
        </is>
      </c>
      <c r="S257" s="71" t="inlineStr">
        <is>
          <t>evertonbarbaismarques@yahoo.com.br</t>
        </is>
      </c>
      <c r="T257" s="71" t="inlineStr"/>
      <c r="U257" s="129" t="inlineStr">
        <is>
          <t>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t>
        </is>
      </c>
      <c r="V257" s="71">
        <f>IFERROR(_xlfn.TEXTBEFORE(_xlfn.TEXTAFTER(U257,"Descrição do problema:&lt;/strong"),"&lt;/p&gt;"),_xlfn.TEXTAFTER(U257,"Descrição do problema:&lt;/strong"))</f>
        <v/>
      </c>
      <c r="W257" s="76">
        <f>_xlfn.CONCAT(D257:E257)</f>
        <v/>
      </c>
      <c r="X257" s="77" t="n">
        <v>46273</v>
      </c>
      <c r="Y257" s="78">
        <f>IF(X257="","Aberto","Encerrado")</f>
        <v/>
      </c>
      <c r="Z257" s="78">
        <f>IF(OR(L257="PENDENTE",L257="EM ANDAMENTO",L257="PENDENTE APROVAÇÃO CANCELAMENTO NF"),TODAY()-O257,X257-O257)</f>
        <v/>
      </c>
      <c r="AA257" s="78">
        <f>IF(Y257="Aberto",Z257+ROW()/100000,"")</f>
        <v/>
      </c>
      <c r="AB257" s="2">
        <f>IF(ISNUMBER(FIND("@cielo.com.br",S257)),"Interno","Externo")</f>
        <v/>
      </c>
      <c r="AD257" t="inlineStr"/>
      <c r="AJ257" t="inlineStr">
        <is>
          <t>Sem correspondência</t>
        </is>
      </c>
      <c r="AK257" t="b">
        <v>0</v>
      </c>
      <c r="AN257">
        <f>IF(OR(AG257="",AM257=""),"",IF(AG257=AM257,"SIM","NÃO"))</f>
        <v/>
      </c>
      <c r="AO257" t="inlineStr">
        <is>
          <t>NO_PATTERN</t>
        </is>
      </c>
    </row>
    <row r="258" ht="15.5" customHeight="1">
      <c r="A258" s="1" t="n"/>
      <c r="B258" s="67" t="inlineStr">
        <is>
          <t>Stephany Lima</t>
        </is>
      </c>
      <c r="C258" s="70">
        <f>VLOOKUP(I:I,'Referencias '!H:I,2,0)</f>
        <v/>
      </c>
      <c r="D258" s="71" t="n">
        <v>24912277</v>
      </c>
      <c r="E258" s="71" t="n">
        <v>0</v>
      </c>
      <c r="F258" s="72" t="n">
        <v>2620110481154</v>
      </c>
      <c r="G258" s="72">
        <f>VLOOKUP(H:H,'Referencias '!B:C,2,0)</f>
        <v/>
      </c>
      <c r="H258" s="72">
        <f>TRIM(_xlfn.TEXTBEFORE(_xlfn.TEXTAFTER(U258,"CNPJ/CPF:&lt;/strong&gt;"),"&lt;/p&gt;"))</f>
        <v/>
      </c>
      <c r="I258" s="70" t="inlineStr">
        <is>
          <t>Cancelamento de Nota Fiscal</t>
        </is>
      </c>
      <c r="J258" s="72" t="n"/>
      <c r="K258" s="72" t="inlineStr">
        <is>
          <t>Financeiro</t>
        </is>
      </c>
      <c r="L258" s="70" t="inlineStr">
        <is>
          <t>FINALIZADO</t>
        </is>
      </c>
      <c r="M258" s="73" t="inlineStr">
        <is>
          <t>Alta</t>
        </is>
      </c>
      <c r="N258" s="71" t="inlineStr">
        <is>
          <t>1018 Financeiro | Desejo falar com o setor financeiro | GIORDANI TURISMO LTDA | ariane.pasilva@cielo.com.br</t>
        </is>
      </c>
      <c r="O258" s="74" t="n">
        <v>46223</v>
      </c>
      <c r="P258" s="123" t="n">
        <v>46223</v>
      </c>
      <c r="Q258" s="177">
        <f>TEXT(O258,"mmm/aaaa")</f>
        <v/>
      </c>
      <c r="R258" s="71" t="inlineStr">
        <is>
          <t>ECOMMERCE BP SUPORTE FINANCEIRO N2</t>
        </is>
      </c>
      <c r="S258" s="71" t="inlineStr">
        <is>
          <t>ariane.pasilva@cielo.com.br</t>
        </is>
      </c>
      <c r="T258" s="71" t="inlineStr"/>
      <c r="U258" s="129" t="inlineStr">
        <is>
          <t>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t>
        </is>
      </c>
      <c r="V258" s="71">
        <f>IFERROR(_xlfn.TEXTBEFORE(_xlfn.TEXTAFTER(U258,"Descrição do problema:&lt;/strong"),"&lt;/p&gt;"),_xlfn.TEXTAFTER(U258,"Descrição do problema:&lt;/strong"))</f>
        <v/>
      </c>
      <c r="W258" s="76">
        <f>_xlfn.CONCAT(D258:E258)</f>
        <v/>
      </c>
      <c r="X258" s="77" t="n">
        <v>46254</v>
      </c>
      <c r="Y258" s="78">
        <f>IF(X258="","Aberto","Encerrado")</f>
        <v/>
      </c>
      <c r="Z258" s="78">
        <f>IF(OR(L258="PENDENTE",L258="EM ANDAMENTO",L258="PENDENTE APROVAÇÃO CANCELAMENTO NF"),TODAY()-O258,X258-O258)</f>
        <v/>
      </c>
      <c r="AA258" s="78">
        <f>IF(Y258="Aberto",Z258+ROW()/100000,"")</f>
        <v/>
      </c>
      <c r="AB258" s="2">
        <f>IF(ISNUMBER(FIND("@cielo.com.br",S258)),"Interno","Externo")</f>
        <v/>
      </c>
      <c r="AC258" t="inlineStr">
        <is>
          <t>Cancelar, substituir ou reemitir nota fiscal.</t>
        </is>
      </c>
      <c r="AD258" t="inlineStr">
        <is>
          <t>ACAO:CANCELAR; OBJETO:NOTA_FISCAL; CONTEXTO:DUPLICIDADE</t>
        </is>
      </c>
      <c r="AE258" t="inlineStr">
        <is>
          <t>Cancelamento de NF</t>
        </is>
      </c>
      <c r="AF258" t="inlineStr">
        <is>
          <t>Documento Fiscal</t>
        </is>
      </c>
      <c r="AG258" t="inlineStr">
        <is>
          <t>Cancelamento e Reemissão de Nota Fiscal</t>
        </is>
      </c>
      <c r="AI258" t="inlineStr">
        <is>
          <t>INT_NF_CANCEL_REEMISSAO</t>
        </is>
      </c>
      <c r="AJ258" t="inlineStr">
        <is>
          <t>Sugerida</t>
        </is>
      </c>
      <c r="AK258" t="b">
        <v>0</v>
      </c>
      <c r="AN258">
        <f>IF(OR(AG258="",AM258=""),"",IF(AG258=AM258,"SIM","NÃO"))</f>
        <v/>
      </c>
      <c r="AO258" t="inlineStr">
        <is>
          <t>CLASSIFIED_SIGNATURE</t>
        </is>
      </c>
    </row>
    <row r="259" ht="15.5" customHeight="1">
      <c r="A259" s="1" t="n"/>
      <c r="B259" s="67" t="inlineStr">
        <is>
          <t>Emilly Maria</t>
        </is>
      </c>
      <c r="C259" s="70">
        <f>VLOOKUP(I:I,'Referencias '!H:I,2,0)</f>
        <v/>
      </c>
      <c r="D259" s="71" t="n">
        <v>24873432</v>
      </c>
      <c r="E259" s="71" t="n">
        <v>0</v>
      </c>
      <c r="F259" s="72" t="n">
        <v>2619814455032</v>
      </c>
      <c r="G259" s="72">
        <f>VLOOKUP(H:H,'Referencias '!B:C,2,0)</f>
        <v/>
      </c>
      <c r="H259" s="72">
        <f>TRIM(_xlfn.TEXTBEFORE(_xlfn.TEXTAFTER(U259,"CNPJ/CPF:&lt;/strong&gt;"),"&lt;/p&gt;"))</f>
        <v/>
      </c>
      <c r="I259" s="70" t="inlineStr">
        <is>
          <t>Contestação de cobrança</t>
        </is>
      </c>
      <c r="J259" s="72" t="n"/>
      <c r="K259" s="72" t="n"/>
      <c r="L259" s="70" t="inlineStr">
        <is>
          <t>PENDENTE</t>
        </is>
      </c>
      <c r="M259" s="73" t="inlineStr">
        <is>
          <t>Médio</t>
        </is>
      </c>
      <c r="N259" s="71" t="inlineStr">
        <is>
          <t>1018 Financeiro | Desejo falar com o setor financeiro | Bruna Tatielli da Silva | contasapagar@giordaniturismo.com.br</t>
        </is>
      </c>
      <c r="O259" s="74" t="n">
        <v>46220</v>
      </c>
      <c r="P259" s="123" t="n">
        <v>46220</v>
      </c>
      <c r="Q259" s="177">
        <f>TEXT(O259,"mmm/aaaa")</f>
        <v/>
      </c>
      <c r="R259" s="71" t="inlineStr">
        <is>
          <t>ECOMMERCE BP SUPORTE FINANCEIRO N2</t>
        </is>
      </c>
      <c r="S259" s="71" t="inlineStr">
        <is>
          <t>contasapagar@giordaniturismo.com.br</t>
        </is>
      </c>
      <c r="T259" s="71" t="inlineStr"/>
      <c r="U259" s="129" t="inlineStr">
        <is>
          <t>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
A nf correta é a 118002.
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t>
        </is>
      </c>
      <c r="V259" s="71">
        <f>IFERROR(_xlfn.TEXTBEFORE(_xlfn.TEXTAFTER(U259,"Descrição do problema:&lt;/strong"),"&lt;/p&gt;"),_xlfn.TEXTAFTER(U259,"Descrição do problema:&lt;/strong"))</f>
        <v/>
      </c>
      <c r="W259" s="76">
        <f>_xlfn.CONCAT(D259:E259)</f>
        <v/>
      </c>
      <c r="X259" s="77" t="n"/>
      <c r="Y259" s="78">
        <f>IF(X259="","Aberto","Encerrado")</f>
        <v/>
      </c>
      <c r="Z259" s="78">
        <f>IF(OR(L259="PENDENTE",L259="EM ANDAMENTO",L259="PENDENTE APROVAÇÃO CANCELAMENTO NF"),TODAY()-O259,X259-O259)</f>
        <v/>
      </c>
      <c r="AA259" s="78">
        <f>IF(Y259="Aberto",Z259+ROW()/100000,"")</f>
        <v/>
      </c>
      <c r="AB259" s="2">
        <f>IF(ISNUMBER(FIND("@cielo.com.br",S259)),"Interno","Externo")</f>
        <v/>
      </c>
      <c r="AD259" t="inlineStr">
        <is>
          <t>ACAO:BAIXAR; ACAO:CANCELAR; OBJETO:BOLETO; OBJETO:NOTA_FISCAL; CONTEXTO:DIVERGENCIA</t>
        </is>
      </c>
      <c r="AJ259" t="inlineStr">
        <is>
          <t>Ambígua</t>
        </is>
      </c>
      <c r="AK259" t="b">
        <v>1</v>
      </c>
      <c r="AN259">
        <f>IF(OR(AG259="",AM259=""),"",IF(AG259=AM259,"SIM","NÃO"))</f>
        <v/>
      </c>
      <c r="AO259" t="inlineStr">
        <is>
          <t>AMBIGUOUS_CAUSE</t>
        </is>
      </c>
    </row>
    <row r="260" ht="15.5" customHeight="1">
      <c r="A260" s="1" t="n"/>
      <c r="B260" s="67" t="inlineStr">
        <is>
          <t>Emilly Maria</t>
        </is>
      </c>
      <c r="C260" s="70">
        <f>VLOOKUP(I:I,'Referencias '!H:I,2,0)</f>
        <v/>
      </c>
      <c r="D260" s="71" t="n">
        <v>24208444</v>
      </c>
      <c r="E260" s="71" t="n">
        <v>0</v>
      </c>
      <c r="F260" s="72" t="n">
        <v>2618310025090</v>
      </c>
      <c r="G260" s="72">
        <f>T260</f>
        <v/>
      </c>
      <c r="H260" s="72" t="n"/>
      <c r="I260" s="70" t="inlineStr">
        <is>
          <t>Solicitação de documentos (contrato, NF, histórico)</t>
        </is>
      </c>
      <c r="J260" s="72" t="n"/>
      <c r="K260" s="72" t="n"/>
      <c r="L260" s="70" t="inlineStr">
        <is>
          <t>EM ANDAMENTO</t>
        </is>
      </c>
      <c r="M260" s="73" t="inlineStr">
        <is>
          <t>Médio</t>
        </is>
      </c>
      <c r="N260" s="71" t="inlineStr">
        <is>
          <t>1018 Financeiro | Desejo falar com o setor financeiro | Robson Serafini | leonardo.bicca.roseira@gmail.com</t>
        </is>
      </c>
      <c r="O260" s="74" t="n">
        <v>46205</v>
      </c>
      <c r="P260" s="123" t="n">
        <v>46223</v>
      </c>
      <c r="Q260" s="177">
        <f>TEXT(O260,"mmm/aaaa")</f>
        <v/>
      </c>
      <c r="R260" s="71" t="inlineStr">
        <is>
          <t>ECOMMERCE BP SUPORTE FINANCEIRO N2</t>
        </is>
      </c>
      <c r="S260" s="71" t="inlineStr">
        <is>
          <t>leonardo.bicca.roseira@gmail.com</t>
        </is>
      </c>
      <c r="T260" s="71" t="inlineStr">
        <is>
          <t>KOCH SUPERMERCADOS</t>
        </is>
      </c>
      <c r="U260" s="129" t="inlineStr">
        <is>
          <t>Olá, segue formulário enviado para Cielo E-commerce:&lt;p&gt;&lt;strong&gt;Qual seu nome?:&lt;/strong&gt; Robson Serafini&lt;/p&gt;&lt;p&gt;&lt;strong&gt;Endereço de e-mail:&lt;/strong&gt; leonardo.bicca.roseira@gmail.com&lt;/p&gt;&lt;p&gt;&lt;strong&gt;Descrição do problema:&lt;/strong&gt; Boa tarde,
Estamos realizando uma conferência dos reajustes aplicados ao nosso contrato de gateway de pagamentos e gostaríamos de solicitar o histórico completo dos reajustes realizados desde a assinatura do contrato, em 14/06/2019.
Atualmente estamos enquadrados na faixa de 1.001 a 5.000 transações por mês e identificamos que o valor por transação passou de R$ 0,2980 para R$ 0,5068.
Poderiam, por gentileza, encaminhar o detalhamento dos reajustes aplicados ano a ano, contendo, se possível, as seguintes informações?
Data de aplicação de cada reajuste;
Índice utilizado (IGP-10, IGP-M ou outro);
Percentual aplicado em cada ano;
Valor da transação antes e após cada reajuste;
Memória de cálculo ou forma utilizada para chegar ao valor vigente de R$ 0,5068.
Realiza</t>
        </is>
      </c>
      <c r="V260" s="71">
        <f>IFERROR(_xlfn.TEXTBEFORE(_xlfn.TEXTAFTER(U260,"Descrição do problema:&lt;/strong"),"&lt;/p&gt;"),_xlfn.TEXTAFTER(U260,"Descrição do problema:&lt;/strong"))</f>
        <v/>
      </c>
      <c r="W260" s="76">
        <f>_xlfn.CONCAT(D260:E260)</f>
        <v/>
      </c>
      <c r="X260" s="77" t="n"/>
      <c r="Y260" s="78">
        <f>IF(X260="","Aberto","Encerrado")</f>
        <v/>
      </c>
      <c r="Z260" s="78">
        <f>IF(OR(L260="PENDENTE",L260="EM ANDAMENTO",L260="PENDENTE APROVAÇÃO CANCELAMENTO NF"),TODAY()-O260,X260-O260)</f>
        <v/>
      </c>
      <c r="AA260" s="78">
        <f>IF(Y260="Aberto",Z260+ROW()/100000,"")</f>
        <v/>
      </c>
      <c r="AB260" s="2">
        <f>IF(ISNUMBER(FIND("@cielo.com.br",S260)),"Interno","Externo")</f>
        <v/>
      </c>
      <c r="AC260" t="inlineStr">
        <is>
          <t>Solicitar documento administrativo.</t>
        </is>
      </c>
      <c r="AD260" t="inlineStr">
        <is>
          <t>histórico completo dos reajustes</t>
        </is>
      </c>
      <c r="AE260" t="inlineStr">
        <is>
          <t>Reenvio de informação</t>
        </is>
      </c>
      <c r="AF260" t="inlineStr">
        <is>
          <t>Informação/Atendimento</t>
        </is>
      </c>
      <c r="AG260" t="inlineStr">
        <is>
          <t>Atendimento Administrativo e Suporte</t>
        </is>
      </c>
      <c r="AI260" t="inlineStr">
        <is>
          <t>INT_ADM_DOCUMENTOS</t>
        </is>
      </c>
      <c r="AJ260" t="inlineStr">
        <is>
          <t>Sugerida</t>
        </is>
      </c>
      <c r="AK260" t="b">
        <v>0</v>
      </c>
      <c r="AN260">
        <f>IF(OR(AG260="",AM260=""),"",IF(AG260=AM260,"SIM","NÃO"))</f>
        <v/>
      </c>
      <c r="AO260" t="inlineStr">
        <is>
          <t>CLASSIFIED_PATTERN</t>
        </is>
      </c>
    </row>
    <row r="261" ht="15.5" customHeight="1">
      <c r="A261" s="1" t="n"/>
      <c r="B261" s="67" t="inlineStr">
        <is>
          <t>Stephany Lima</t>
        </is>
      </c>
      <c r="C261" s="70">
        <f>VLOOKUP(I:I,'Referencias '!H:I,2,0)</f>
        <v/>
      </c>
      <c r="D261" s="129" t="n">
        <v>23032472</v>
      </c>
      <c r="E261" s="71" t="n">
        <v>0</v>
      </c>
      <c r="F261" s="72" t="n">
        <v>2615315258153</v>
      </c>
      <c r="G261" s="72">
        <f>T261</f>
        <v/>
      </c>
      <c r="H261" s="72">
        <f>TRIM(_xlfn.TEXTBEFORE(_xlfn.TEXTAFTER(U261,"CNPJ/CPF:&lt;/strong&gt;"),"&lt;/p&gt;"))</f>
        <v/>
      </c>
      <c r="I261" s="70" t="inlineStr">
        <is>
          <t>Contestação de cobrança</t>
        </is>
      </c>
      <c r="J261" s="72" t="n"/>
      <c r="K261" s="72" t="n"/>
      <c r="L261" s="70" t="inlineStr">
        <is>
          <t>FINALIZADO</t>
        </is>
      </c>
      <c r="M261" s="73" t="inlineStr">
        <is>
          <t>Médio</t>
        </is>
      </c>
      <c r="N261" s="71" t="inlineStr">
        <is>
          <t>1018 Financeiro | Desejo falar com o setor financeiro | Júlia Angelozzi | julia.djesus@cielo.com.br</t>
        </is>
      </c>
      <c r="O261" s="74" t="n">
        <v>46175</v>
      </c>
      <c r="P261" s="123" t="n">
        <v>46223</v>
      </c>
      <c r="Q261" s="177">
        <f>TEXT(O261,"mmm/aaaa")</f>
        <v/>
      </c>
      <c r="R261" s="71" t="inlineStr">
        <is>
          <t>ECOMMERCE BP SUPORTE FINANCEIRO N2</t>
        </is>
      </c>
      <c r="S261" s="71" t="inlineStr">
        <is>
          <t>julia.djesus@cielo.com.br</t>
        </is>
      </c>
      <c r="T261" s="71" t="inlineStr"/>
      <c r="U261" s="129"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Estamos emitindo uma cobrança indevida para o cliente Razão Social
PATAGONIA COMERCIO DIGITAL LTDA, CNPJ
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t>
        </is>
      </c>
      <c r="V261" s="71">
        <f>IFERROR(_xlfn.TEXTBEFORE(_xlfn.TEXTAFTER(U261,"Descrição do problema:&lt;/strong"),"&lt;/p&gt;"),_xlfn.TEXTAFTER(U261,"Descrição do problema:&lt;/strong"))</f>
        <v/>
      </c>
      <c r="W261" s="76">
        <f>_xlfn.CONCAT(D261:E261)</f>
        <v/>
      </c>
      <c r="X261" s="77">
        <f>P261</f>
        <v/>
      </c>
      <c r="Y261" s="78">
        <f>IF(X261="","Aberto","Encerrado")</f>
        <v/>
      </c>
      <c r="Z261" s="78">
        <f>IF(OR(L261="PENDENTE",L261="EM ANDAMENTO",L261="PENDENTE APROVAÇÃO CANCELAMENTO NF"),TODAY()-O261,X261-O261)</f>
        <v/>
      </c>
      <c r="AA261" s="78">
        <f>IF(Y261="Aberto",Z261+ROW()/100000,"")</f>
        <v/>
      </c>
      <c r="AB261" s="2">
        <f>IF(ISNUMBER(FIND("@cielo.com.br",S261)),"Interno","Externo")</f>
        <v/>
      </c>
      <c r="AC261" t="inlineStr">
        <is>
          <t>Contestar divergência, valor ou critério de cobrança.</t>
        </is>
      </c>
      <c r="AD261" t="inlineStr">
        <is>
          <t>OBJETO:COBRANCA; OBJETO:CONTRATO; OBJETO:NOTA_FISCAL; CONTEXTO:DIVERGENCIA</t>
        </is>
      </c>
      <c r="AE261" t="inlineStr">
        <is>
          <t>Contestação de cobrança</t>
        </is>
      </c>
      <c r="AF261" t="inlineStr">
        <is>
          <t>Valor Cobrado</t>
        </is>
      </c>
      <c r="AG261" t="inlineStr">
        <is>
          <t>Cobrança e Contestação</t>
        </is>
      </c>
      <c r="AI261" t="inlineStr">
        <is>
          <t>INT_COB_CONTESTACAO</t>
        </is>
      </c>
      <c r="AJ261" t="inlineStr">
        <is>
          <t>Sugerida</t>
        </is>
      </c>
      <c r="AK261" t="b">
        <v>0</v>
      </c>
      <c r="AN261">
        <f>IF(OR(AG261="",AM261=""),"",IF(AG261=AM261,"SIM","NÃO"))</f>
        <v/>
      </c>
      <c r="AO261" t="inlineStr">
        <is>
          <t>CLASSIFIED_SIGNATURE</t>
        </is>
      </c>
    </row>
    <row r="262" ht="15.5" customHeight="1">
      <c r="A262" s="1" t="n"/>
      <c r="B262" s="67" t="inlineStr">
        <is>
          <t>Emilly Maria</t>
        </is>
      </c>
      <c r="C262" s="70">
        <f>VLOOKUP(I:I,'Referencias '!H:I,2,0)</f>
        <v/>
      </c>
      <c r="D262" s="71" t="n">
        <v>22599187</v>
      </c>
      <c r="E262" s="71" t="n">
        <v>0</v>
      </c>
      <c r="F262" s="72" t="n">
        <v>2614112968781</v>
      </c>
      <c r="G262" s="72">
        <f>VLOOKUP(H:H,'Referencias '!B:C,2,0)</f>
        <v/>
      </c>
      <c r="H262" s="72">
        <f>TRIM(_xlfn.TEXTBEFORE(_xlfn.TEXTAFTER(U262,"CNPJ/CPF:&lt;/strong&gt;"),"&lt;/p&gt;"))</f>
        <v/>
      </c>
      <c r="I262" s="70" t="inlineStr">
        <is>
          <t>Cancelamento de NF</t>
        </is>
      </c>
      <c r="J262" s="72" t="n"/>
      <c r="K262" s="72" t="n"/>
      <c r="L262" s="70" t="inlineStr">
        <is>
          <t>PENDENTE</t>
        </is>
      </c>
      <c r="M262" s="73" t="inlineStr">
        <is>
          <t>Médio</t>
        </is>
      </c>
      <c r="N262" s="71" t="inlineStr">
        <is>
          <t>1018 Financeiro | Desejo falar com o setor financeiro | Joice Rosa | joice.dsilva@cielo.com.br</t>
        </is>
      </c>
      <c r="O262" s="74" t="n">
        <v>46163</v>
      </c>
      <c r="P262" s="123" t="n">
        <v>46225</v>
      </c>
      <c r="Q262" s="177">
        <f>TEXT(O262,"mmm/aaaa")</f>
        <v/>
      </c>
      <c r="R262" s="71" t="inlineStr">
        <is>
          <t>ECOMMERCE BP SUPORTE FINANCEIRO N2</t>
        </is>
      </c>
      <c r="S262" s="71" t="inlineStr">
        <is>
          <t>joice.dsilva@cielo.com.br</t>
        </is>
      </c>
      <c r="T262" s="71" t="inlineStr">
        <is>
          <t>Lojas MOR</t>
        </is>
      </c>
      <c r="U262" s="129" t="inlineStr">
        <is>
          <t>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
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t>
        </is>
      </c>
      <c r="V262" s="71">
        <f>IFERROR(_xlfn.TEXTBEFORE(_xlfn.TEXTAFTER(U262,"Descrição do problema:&lt;/strong"),"&lt;/p&gt;"),_xlfn.TEXTAFTER(U262,"Descrição do problema:&lt;/strong"))</f>
        <v/>
      </c>
      <c r="W262" s="76">
        <f>_xlfn.CONCAT(D262:E262)</f>
        <v/>
      </c>
      <c r="X262" s="77" t="n"/>
      <c r="Y262" s="78">
        <f>IF(X262="","Aberto","Encerrado")</f>
        <v/>
      </c>
      <c r="Z262" s="78">
        <f>IF(OR(L262="PENDENTE",L262="EM ANDAMENTO",L262="PENDENTE APROVAÇÃO CANCELAMENTO NF"),TODAY()-O262,X262-O262)</f>
        <v/>
      </c>
      <c r="AA262" s="78">
        <f>IF(Y262="Aberto",Z262+ROW()/100000,"")</f>
        <v/>
      </c>
      <c r="AB262" s="2">
        <f>IF(ISNUMBER(FIND("@cielo.com.br",S262)),"Interno","Externo")</f>
        <v/>
      </c>
      <c r="AC262" t="inlineStr">
        <is>
          <t>Cancelar boleto ou interromper cobranças futuras ligadas a boleto.</t>
        </is>
      </c>
      <c r="AD262" t="inlineStr">
        <is>
          <t>ACAO:CANCELAR; OBJETO:BOLETO</t>
        </is>
      </c>
      <c r="AE262" t="inlineStr">
        <is>
          <t>Cancelamento de boleto</t>
        </is>
      </c>
      <c r="AF262" t="inlineStr">
        <is>
          <t>Título Financeiro</t>
        </is>
      </c>
      <c r="AG262" t="inlineStr">
        <is>
          <t>Pagamentos, Boletos e Recebimentos</t>
        </is>
      </c>
      <c r="AI262" t="inlineStr">
        <is>
          <t>INT_PAG_BOLETO_CANCELAMENTO</t>
        </is>
      </c>
      <c r="AJ262" t="inlineStr">
        <is>
          <t>Sugerida</t>
        </is>
      </c>
      <c r="AK262" t="b">
        <v>0</v>
      </c>
      <c r="AN262">
        <f>IF(OR(AG262="",AM262=""),"",IF(AG262=AM262,"SIM","NÃO"))</f>
        <v/>
      </c>
      <c r="AO262" t="inlineStr">
        <is>
          <t>CLASSIFIED_SIGNATURE</t>
        </is>
      </c>
    </row>
    <row r="263" ht="15.5" customHeight="1">
      <c r="A263" s="1" t="n"/>
      <c r="B263" s="67" t="inlineStr">
        <is>
          <t>Emilly Maria</t>
        </is>
      </c>
      <c r="C263" s="70">
        <f>VLOOKUP(I:I,'Referencias '!H:I,2,0)</f>
        <v/>
      </c>
      <c r="D263" s="71" t="n">
        <v>22571428</v>
      </c>
      <c r="E263" s="71" t="n">
        <v>0</v>
      </c>
      <c r="F263" s="72" t="n">
        <v>2614017949937</v>
      </c>
      <c r="G263" s="72">
        <f>T263</f>
        <v/>
      </c>
      <c r="H263" s="72">
        <f>TRIM(_xlfn.TEXTBEFORE(_xlfn.TEXTAFTER(U263,"CNPJ/CPF:&lt;/strong&gt;"),"&lt;/p&gt;"))</f>
        <v/>
      </c>
      <c r="I263" s="70" t="inlineStr">
        <is>
          <t>Cancelamento de contrato</t>
        </is>
      </c>
      <c r="J263" s="72" t="n"/>
      <c r="K263" s="72" t="n"/>
      <c r="L263" s="70" t="inlineStr">
        <is>
          <t>FINALIZADO</t>
        </is>
      </c>
      <c r="M263" s="73" t="inlineStr">
        <is>
          <t>Médio</t>
        </is>
      </c>
      <c r="N263" s="71" t="inlineStr">
        <is>
          <t>1018 Financeiro | Desejo falar com o setor financeiro | Giulia | giuliac@cielo.com.br</t>
        </is>
      </c>
      <c r="O263" s="74" t="n">
        <v>46162</v>
      </c>
      <c r="P263" s="123" t="n">
        <v>46225</v>
      </c>
      <c r="Q263" s="177">
        <f>TEXT(O263,"mmm/aaaa")</f>
        <v/>
      </c>
      <c r="R263" s="71" t="inlineStr">
        <is>
          <t>ECOMMERCE BP SUPORTE FINANCEIRO N2</t>
        </is>
      </c>
      <c r="S263" s="71" t="inlineStr">
        <is>
          <t>giuliac@cielo.com.br</t>
        </is>
      </c>
      <c r="T263" s="71" t="inlineStr">
        <is>
          <t>ION DISTRIBUIDORA</t>
        </is>
      </c>
      <c r="U263" s="71" t="inlineStr">
        <is>
          <t xml:space="preserve">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
CNPJ: 58.364.521/0001-08
Cliente: Ion Distribuidora&lt;/p&gt;&lt;p&gt;&lt;strong&gt;ID da transação:&lt;/strong&gt; &lt;/p&gt;&lt;p&gt;&lt;strong&gt;Código do erro:&lt;/strong&gt; &lt;/p&gt;&lt;p&gt;&lt;strong&gt;Sobre qual produto ou área deseja falar?:&lt;/strong&gt; Financeiro&lt;/p&gt;&lt;p&gt;&lt;strong&gt;Como podemos te ajudar?:&lt;/strong&gt; </t>
        </is>
      </c>
      <c r="V263" s="71">
        <f>IFERROR(_xlfn.TEXTBEFORE(_xlfn.TEXTAFTER(U263,"Descrição do problema:&lt;/strong"),"&lt;/p&gt;"),_xlfn.TEXTAFTER(U263,"Descrição do problema:&lt;/strong"))</f>
        <v/>
      </c>
      <c r="W263" s="76">
        <f>_xlfn.CONCAT(D263:E263)</f>
        <v/>
      </c>
      <c r="X263" s="77" t="n">
        <v>46232</v>
      </c>
      <c r="Y263" s="78">
        <f>IF(X263="","Aberto","Encerrado")</f>
        <v/>
      </c>
      <c r="Z263" s="78">
        <f>IF(OR(L263="PENDENTE",L263="EM ANDAMENTO",L263="PENDENTE APROVAÇÃO CANCELAMENTO NF"),TODAY()-O263,X263-O263)</f>
        <v/>
      </c>
      <c r="AA263" s="78">
        <f>IF(Y263="Aberto",Z263+ROW()/100000,"")</f>
        <v/>
      </c>
      <c r="AB263" s="2">
        <f>IF(ISNUMBER(FIND("@cielo.com.br",S263)),"Interno","Externo")</f>
        <v/>
      </c>
      <c r="AC263" t="inlineStr">
        <is>
          <t>Cancelar contrato, serviço ou produto contratado.</t>
        </is>
      </c>
      <c r="AD263" t="inlineStr">
        <is>
          <t>cliente solicitou o cancelamento; cancelamento sem multa</t>
        </is>
      </c>
      <c r="AE263" t="inlineStr">
        <is>
          <t>Cancelamento de contrato</t>
        </is>
      </c>
      <c r="AF263" t="inlineStr">
        <is>
          <t>Contrato/Cadastro</t>
        </is>
      </c>
      <c r="AG263" t="inlineStr">
        <is>
          <t>Contratos, Comercial e Cadastro</t>
        </is>
      </c>
      <c r="AI263" t="inlineStr">
        <is>
          <t>INT_CON_CANCELAMENTO</t>
        </is>
      </c>
      <c r="AJ263" t="inlineStr">
        <is>
          <t>Sugerida</t>
        </is>
      </c>
      <c r="AK263" t="b">
        <v>0</v>
      </c>
      <c r="AN263">
        <f>IF(OR(AG263="",AM263=""),"",IF(AG263=AM263,"SIM","NÃO"))</f>
        <v/>
      </c>
      <c r="AO263" t="inlineStr">
        <is>
          <t>CLASSIFIED_PATTERN</t>
        </is>
      </c>
    </row>
    <row r="264" ht="15.5" customHeight="1">
      <c r="A264" s="1" t="n"/>
      <c r="B264" s="67" t="inlineStr">
        <is>
          <t>Pamela de Sá</t>
        </is>
      </c>
      <c r="C264" s="70">
        <f>VLOOKUP(I:I,'Referencias '!H:I,2,0)</f>
        <v/>
      </c>
      <c r="D264" s="71" t="n">
        <v>22536738</v>
      </c>
      <c r="E264" s="71" t="n">
        <v>0</v>
      </c>
      <c r="F264" s="72" t="n">
        <v>2614010926918</v>
      </c>
      <c r="G264" s="72">
        <f>VLOOKUP(H:H,'Referencias '!B:C,2,0)</f>
        <v/>
      </c>
      <c r="H264" s="72">
        <f>TRIM(_xlfn.TEXTBEFORE(_xlfn.TEXTAFTER(U264,"CNPJ/CPF:&lt;/strong&gt;"),"&lt;/p&gt;"))</f>
        <v/>
      </c>
      <c r="I264" s="70" t="inlineStr">
        <is>
          <t>Dúvida acesso ao portal</t>
        </is>
      </c>
      <c r="J264" s="72" t="n"/>
      <c r="K264" s="72" t="n"/>
      <c r="L264" s="70" t="inlineStr">
        <is>
          <t>PENDENTE</t>
        </is>
      </c>
      <c r="M264" s="73" t="inlineStr">
        <is>
          <t>Médio</t>
        </is>
      </c>
      <c r="N264" s="71" t="inlineStr">
        <is>
          <t>1002 Portais E-commerce | Estou com um problema em produção e preciso de ajuda | Guilherme Libman | guilherme.libman@lojatres.com</t>
        </is>
      </c>
      <c r="O264" s="74" t="n">
        <v>46162</v>
      </c>
      <c r="P264" s="123" t="n">
        <v>46223</v>
      </c>
      <c r="Q264" s="177">
        <f>TEXT(O264,"mmm/aaaa")</f>
        <v/>
      </c>
      <c r="R264" s="71" t="inlineStr">
        <is>
          <t>ECOMMERCE BP SUPORTE FINANCEIRO N2</t>
        </is>
      </c>
      <c r="S264" s="71" t="inlineStr">
        <is>
          <t>guilherme.libman@lojatres.com</t>
        </is>
      </c>
      <c r="T264" s="71" t="inlineStr">
        <is>
          <t>FITEX</t>
        </is>
      </c>
      <c r="U264" s="129" t="inlineStr">
        <is>
          <t>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t>
        </is>
      </c>
      <c r="V264" s="71">
        <f>IFERROR(_xlfn.TEXTBEFORE(_xlfn.TEXTAFTER(U264,"Descrição do problema:&lt;/strong"),"&lt;/p&gt;"),_xlfn.TEXTAFTER(U264,"Descrição do problema:&lt;/strong"))</f>
        <v/>
      </c>
      <c r="W264" s="76">
        <f>_xlfn.CONCAT(D264:E264)</f>
        <v/>
      </c>
      <c r="X264" s="77" t="n"/>
      <c r="Y264" s="78">
        <f>IF(X264="","Aberto","Encerrado")</f>
        <v/>
      </c>
      <c r="Z264" s="78">
        <f>IF(OR(L264="PENDENTE",L264="EM ANDAMENTO",L264="PENDENTE APROVAÇÃO CANCELAMENTO NF"),TODAY()-O264,X264-O264)</f>
        <v/>
      </c>
      <c r="AA264" s="78">
        <f>IF(Y264="Aberto",Z264+ROW()/100000,"")</f>
        <v/>
      </c>
      <c r="AB264" s="2">
        <f>IF(ISNUMBER(FIND("@cielo.com.br",S264)),"Interno","Externo")</f>
        <v/>
      </c>
      <c r="AC264" t="inlineStr">
        <is>
          <t>Solicitar acesso ou encaminhamento administrativo.</t>
        </is>
      </c>
      <c r="AD264" t="inlineStr">
        <is>
          <t>não consigo consultar a parte financeira</t>
        </is>
      </c>
      <c r="AE264" t="inlineStr">
        <is>
          <t>Encaminhamento comercial</t>
        </is>
      </c>
      <c r="AF264" t="inlineStr">
        <is>
          <t>Informação/Atendimento</t>
        </is>
      </c>
      <c r="AG264" t="inlineStr">
        <is>
          <t>Atendimento Administrativo e Suporte</t>
        </is>
      </c>
      <c r="AI264" t="inlineStr">
        <is>
          <t>INT_ADM_ACESSO</t>
        </is>
      </c>
      <c r="AJ264" t="inlineStr">
        <is>
          <t>Sugerida</t>
        </is>
      </c>
      <c r="AK264" t="b">
        <v>0</v>
      </c>
      <c r="AN264">
        <f>IF(OR(AG264="",AM264=""),"",IF(AG264=AM264,"SIM","NÃO"))</f>
        <v/>
      </c>
      <c r="AO264" t="inlineStr">
        <is>
          <t>CLASSIFIED_PATTERN</t>
        </is>
      </c>
    </row>
    <row r="265" ht="15.5" customHeight="1">
      <c r="A265" s="1" t="inlineStr">
        <is>
          <t>Aberto antigos</t>
        </is>
      </c>
      <c r="B265" s="67" t="inlineStr">
        <is>
          <t>Emilly Maria</t>
        </is>
      </c>
      <c r="C265" s="70">
        <f>VLOOKUP(I:I,'Referencias '!H:I,2,0)</f>
        <v/>
      </c>
      <c r="D265" s="71" t="n">
        <v>14547065</v>
      </c>
      <c r="E265" s="71" t="n">
        <v>0</v>
      </c>
      <c r="F265" s="72" t="n">
        <v>2521711051108</v>
      </c>
      <c r="G265" s="72">
        <f>T265</f>
        <v/>
      </c>
      <c r="H265" s="72" t="n"/>
      <c r="I265" s="70" t="inlineStr">
        <is>
          <t>Cobrança retroativa</t>
        </is>
      </c>
      <c r="J265" s="72" t="n"/>
      <c r="K265" s="72" t="n"/>
      <c r="L265" s="70" t="inlineStr">
        <is>
          <t>FINALIZADO</t>
        </is>
      </c>
      <c r="M265" s="73" t="inlineStr">
        <is>
          <t>Alta</t>
        </is>
      </c>
      <c r="N265" s="71" t="inlineStr">
        <is>
          <t>1018 Financeiro | Desejo falar com o setor financeiro | larissa | larissa.souza@quod.com.br</t>
        </is>
      </c>
      <c r="O265" s="74" t="n">
        <v>45874</v>
      </c>
      <c r="P265" s="123" t="n">
        <v>46225</v>
      </c>
      <c r="Q265" s="177">
        <f>TEXT(O265,"mmm/aaaa")</f>
        <v/>
      </c>
      <c r="R265" s="71" t="inlineStr">
        <is>
          <t>ECOMMERCE BP SUPORTE FINANCEIRO N2</t>
        </is>
      </c>
      <c r="S265" s="71" t="inlineStr">
        <is>
          <t>larissa.souza@quod.com.br</t>
        </is>
      </c>
      <c r="T265" s="71" t="inlineStr">
        <is>
          <t>QUOD</t>
        </is>
      </c>
      <c r="U265" s="129" t="inlineStr">
        <is>
          <t xml:space="preserve">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
    "infoClientes": [
        {
        </t>
        </is>
      </c>
      <c r="V265" s="71">
        <f>IFERROR(_xlfn.TEXTBEFORE(_xlfn.TEXTAFTER(U265,"Descrição do problema:&lt;/strong"),"&lt;/p&gt;"),_xlfn.TEXTAFTER(U265,"Descrição do problema:&lt;/strong"))</f>
        <v/>
      </c>
      <c r="W265" s="76">
        <f>_xlfn.CONCAT(D265:E265)</f>
        <v/>
      </c>
      <c r="X265" s="77" t="n">
        <v>46289</v>
      </c>
      <c r="Y265" s="78">
        <f>IF(X265="","Aberto","Encerrado")</f>
        <v/>
      </c>
      <c r="Z265" s="78">
        <f>IF(OR(L265="PENDENTE",L265="EM ANDAMENTO",L265="PENDENTE APROVAÇÃO CANCELAMENTO NF"),TODAY()-O265,X265-O265)</f>
        <v/>
      </c>
      <c r="AA265" s="78">
        <f>IF(Y265="Aberto",Z265+ROW()/100000,"")</f>
        <v/>
      </c>
      <c r="AB265" s="2">
        <f>IF(ISNUMBER(FIND("@cielo.com.br",S265)),"Interno","Externo")</f>
        <v/>
      </c>
      <c r="AC265" t="inlineStr">
        <is>
          <t>Reenviar nota fiscal não recebida.</t>
        </is>
      </c>
      <c r="AD265" t="inlineStr">
        <is>
          <t>não recebemos a nf; não recebemos + nf</t>
        </is>
      </c>
      <c r="AE265" t="inlineStr">
        <is>
          <t>Reenvio de NF</t>
        </is>
      </c>
      <c r="AF265" t="inlineStr">
        <is>
          <t>Parâmetro de Faturamento</t>
        </is>
      </c>
      <c r="AG265" t="inlineStr">
        <is>
          <t>Faturamento e Obrigações Fiscais</t>
        </is>
      </c>
      <c r="AI265" t="inlineStr">
        <is>
          <t>INT_FAT_REENVIO_NF</t>
        </is>
      </c>
      <c r="AJ265" t="inlineStr">
        <is>
          <t>Sugerida</t>
        </is>
      </c>
      <c r="AK265" t="b">
        <v>0</v>
      </c>
      <c r="AN265">
        <f>IF(OR(AG265="",AM265=""),"",IF(AG265=AM265,"SIM","NÃO"))</f>
        <v/>
      </c>
      <c r="AO265" t="inlineStr">
        <is>
          <t>CLASSIFIED_PATTERN</t>
        </is>
      </c>
    </row>
    <row r="266" ht="15.5" customHeight="1">
      <c r="A266" s="1" t="n"/>
      <c r="B266" s="67" t="inlineStr">
        <is>
          <t>Stephany Lima</t>
        </is>
      </c>
      <c r="C266" s="70">
        <f>VLOOKUP(I:I,'Referencias '!H:I,2,0)</f>
        <v/>
      </c>
      <c r="D266" s="71" t="n">
        <v>25169684</v>
      </c>
      <c r="E266" s="71" t="n">
        <v>0</v>
      </c>
      <c r="F266" s="72" t="inlineStr">
        <is>
          <t>2620514646989</t>
        </is>
      </c>
      <c r="G266" s="72">
        <f>T266</f>
        <v/>
      </c>
      <c r="H266" s="72">
        <f>TRIM(_xlfn.TEXTBEFORE(_xlfn.TEXTAFTER(U266,"CNPJ/CPF:&lt;/strong&gt;"),"&lt;/p&gt;"))</f>
        <v/>
      </c>
      <c r="I266" s="70" t="inlineStr">
        <is>
          <t>Reenvio de boleto</t>
        </is>
      </c>
      <c r="J266" s="72" t="n"/>
      <c r="K266" s="72" t="n"/>
      <c r="L266" s="70" t="inlineStr">
        <is>
          <t>FINALIZADO</t>
        </is>
      </c>
      <c r="M266" s="73" t="inlineStr">
        <is>
          <t>Médio</t>
        </is>
      </c>
      <c r="N266" s="71" t="inlineStr">
        <is>
          <t>1018 Financeiro | Desejo falar com o setor financeiro | Jelifer de Araujo Neves | jelifer.neves@jflrealty.com.br</t>
        </is>
      </c>
      <c r="O266" s="74" t="n">
        <v>46227</v>
      </c>
      <c r="P266" s="123" t="n">
        <v>46227</v>
      </c>
      <c r="Q266" s="177">
        <f>TEXT(O266,"mmm/aaaa")</f>
        <v/>
      </c>
      <c r="R266" s="71" t="inlineStr">
        <is>
          <t>ECOMMERCE BP SUPORTE FINANCEIRO N2</t>
        </is>
      </c>
      <c r="S266" s="71" t="inlineStr">
        <is>
          <t>jelifer.neves@jflrealty.com.br</t>
        </is>
      </c>
      <c r="T266" s="71" t="inlineStr"/>
      <c r="U266" s="129" t="inlineStr">
        <is>
          <t>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
Precisamos da segunda via do boleto atualizada com vencimento para dia 29/07, por favor.
CNPJ do contrato: 31.093.563/0001-03
Razão Social:JFL HOLDING S.A.
NF em aberto: 0117025
No aguardo
Obrigada&lt;/p&gt;&lt;p&gt;&lt;strong&gt;GA Client ID:&lt;/strong&gt; 880189090.1765807463&lt;/p&gt;&lt;p&gt;&lt;strong&gt;Lead Hash ID:&lt;/strong&gt; 65cd61f27afec52dd5d7f91ed9d53e</t>
        </is>
      </c>
      <c r="V266" s="71">
        <f>IFERROR(_xlfn.TEXTBEFORE(_xlfn.TEXTAFTER(U266,"Descrição do problema:&lt;/strong"),"&lt;/p&gt;"),_xlfn.TEXTAFTER(U266,"Descrição do problema:&lt;/strong"))</f>
        <v/>
      </c>
      <c r="W266" s="76">
        <f>_xlfn.CONCAT(D266:E266)</f>
        <v/>
      </c>
      <c r="X266" s="77" t="n">
        <v>46244</v>
      </c>
      <c r="Y266" s="78">
        <f>IF(X266="","Aberto","Encerrado")</f>
        <v/>
      </c>
      <c r="Z266" s="78">
        <f>IF(OR(L266="PENDENTE",L266="EM ANDAMENTO",L266="PENDENTE APROVAÇÃO CANCELAMENTO NF"),TODAY()-O266,X266-O266)</f>
        <v/>
      </c>
      <c r="AA266" s="78">
        <f>IF(Y266="Aberto",Z266+ROW()/100000,"")</f>
        <v/>
      </c>
      <c r="AB266" s="2">
        <f>IF(ISNUMBER(FIND("@cielo.com.br",S266)),"Interno","Externo")</f>
        <v/>
      </c>
      <c r="AC266" t="inlineStr">
        <is>
          <t>Solicitar segunda via, reenvio ou reemissão de boleto.</t>
        </is>
      </c>
      <c r="AD266" t="inlineStr">
        <is>
          <t>segunda via do boleto; segunda via de boleto; segunda via + boleto</t>
        </is>
      </c>
      <c r="AE266" t="inlineStr">
        <is>
          <t>Reenvio de boleto</t>
        </is>
      </c>
      <c r="AF266" t="inlineStr">
        <is>
          <t>Título Financeiro</t>
        </is>
      </c>
      <c r="AG266" t="inlineStr">
        <is>
          <t>Pagamentos, Boletos e Recebimentos</t>
        </is>
      </c>
      <c r="AI266" t="inlineStr">
        <is>
          <t>INT_PAG_BOLETO_REENVIO</t>
        </is>
      </c>
      <c r="AJ266" t="inlineStr">
        <is>
          <t>Sugerida</t>
        </is>
      </c>
      <c r="AK266" t="b">
        <v>0</v>
      </c>
      <c r="AN266">
        <f>IF(OR(AG266="",AM266=""),"",IF(AG266=AM266,"SIM","NÃO"))</f>
        <v/>
      </c>
      <c r="AO266" t="inlineStr">
        <is>
          <t>CLASSIFIED_PATTERN</t>
        </is>
      </c>
    </row>
    <row r="267" ht="15.5" customHeight="1">
      <c r="A267" s="1" t="n"/>
      <c r="B267" s="67" t="inlineStr">
        <is>
          <t>Emilly Maria</t>
        </is>
      </c>
      <c r="C267" s="70">
        <f>VLOOKUP(I:I,'Referencias '!H:I,2,0)</f>
        <v/>
      </c>
      <c r="D267" s="71" t="n">
        <v>25159172</v>
      </c>
      <c r="E267" s="71" t="n">
        <v>0</v>
      </c>
      <c r="F267" s="72" t="inlineStr">
        <is>
          <t>2620512640445</t>
        </is>
      </c>
      <c r="G267" s="72">
        <f>VLOOKUP(H:H,'Referencias '!B:C,2,0)</f>
        <v/>
      </c>
      <c r="H267" s="72">
        <f>TRIM(_xlfn.TEXTBEFORE(_xlfn.TEXTAFTER(U267,"CNPJ/CPF:&lt;/strong&gt;"),"&lt;/p&gt;"))</f>
        <v/>
      </c>
      <c r="I267" s="70" t="inlineStr">
        <is>
          <t>Cancelamento de Nota Fiscal</t>
        </is>
      </c>
      <c r="J267" s="72" t="n"/>
      <c r="K267" s="72" t="inlineStr">
        <is>
          <t>Comercial</t>
        </is>
      </c>
      <c r="L267" s="70" t="inlineStr">
        <is>
          <t>PENDENTE</t>
        </is>
      </c>
      <c r="M267" s="73" t="inlineStr">
        <is>
          <t>Médio</t>
        </is>
      </c>
      <c r="N267" s="71" t="inlineStr">
        <is>
          <t>1018 Financeiro | Desejo falar com o setor financeiro | VENTUREPAV SISTEMAS LTDA | ariane.pasilva@cielo.com.br</t>
        </is>
      </c>
      <c r="O267" s="74" t="n">
        <v>46227</v>
      </c>
      <c r="P267" s="123" t="n">
        <v>46227</v>
      </c>
      <c r="Q267" s="177">
        <f>TEXT(O267,"mmm/aaaa")</f>
        <v/>
      </c>
      <c r="R267" s="71" t="inlineStr">
        <is>
          <t>ECOMMERCE BP SUPORTE FINANCEIRO N2</t>
        </is>
      </c>
      <c r="S267" s="71" t="inlineStr">
        <is>
          <t>ariane.pasilva@cielo.com.br</t>
        </is>
      </c>
      <c r="T267" s="71" t="inlineStr">
        <is>
          <t>VENTURE PAY</t>
        </is>
      </c>
      <c r="U267" s="129" t="inlineStr">
        <is>
          <t>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
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t>
        </is>
      </c>
      <c r="V267" s="71">
        <f>IFERROR(_xlfn.TEXTBEFORE(_xlfn.TEXTAFTER(U267,"Descrição do problema:&lt;/strong"),"&lt;/p&gt;"),_xlfn.TEXTAFTER(U267,"Descrição do problema:&lt;/strong"))</f>
        <v/>
      </c>
      <c r="W267" s="76">
        <f>_xlfn.CONCAT(D267:E267)</f>
        <v/>
      </c>
      <c r="X267" s="77" t="n"/>
      <c r="Y267" s="78">
        <f>IF(X267="","Aberto","Encerrado")</f>
        <v/>
      </c>
      <c r="Z267" s="78">
        <f>IF(OR(L267="PENDENTE",L267="EM ANDAMENTO",L267="PENDENTE APROVAÇÃO CANCELAMENTO NF"),TODAY()-O267,X267-O267)</f>
        <v/>
      </c>
      <c r="AA267" s="78">
        <f>IF(Y267="Aberto",Z267+ROW()/100000,"")</f>
        <v/>
      </c>
      <c r="AB267" s="2">
        <f>IF(ISNUMBER(FIND("@cielo.com.br",S267)),"Interno","Externo")</f>
        <v/>
      </c>
      <c r="AC267" t="inlineStr">
        <is>
          <t>Cancelar, substituir ou reemitir nota fiscal.</t>
        </is>
      </c>
      <c r="AD267" t="inlineStr">
        <is>
          <t>ACAO:CANCELAR; OBJETO:NOTA_FISCAL</t>
        </is>
      </c>
      <c r="AE267" t="inlineStr">
        <is>
          <t>Cancelamento de NF</t>
        </is>
      </c>
      <c r="AF267" t="inlineStr">
        <is>
          <t>Documento Fiscal</t>
        </is>
      </c>
      <c r="AG267" t="inlineStr">
        <is>
          <t>Cancelamento e Reemissão de Nota Fiscal</t>
        </is>
      </c>
      <c r="AI267" t="inlineStr">
        <is>
          <t>INT_NF_CANCEL_REEMISSAO</t>
        </is>
      </c>
      <c r="AJ267" t="inlineStr">
        <is>
          <t>Sugerida</t>
        </is>
      </c>
      <c r="AK267" t="b">
        <v>0</v>
      </c>
      <c r="AN267">
        <f>IF(OR(AG267="",AM267=""),"",IF(AG267=AM267,"SIM","NÃO"))</f>
        <v/>
      </c>
      <c r="AO267" t="inlineStr">
        <is>
          <t>CLASSIFIED_SIGNATURE</t>
        </is>
      </c>
    </row>
    <row r="268" ht="15.5" customHeight="1">
      <c r="A268" s="1" t="n"/>
      <c r="B268" s="67" t="inlineStr">
        <is>
          <t>Stephany Lima</t>
        </is>
      </c>
      <c r="C268" s="70">
        <f>VLOOKUP(I:I,'Referencias '!H:I,2,0)</f>
        <v/>
      </c>
      <c r="D268" s="71" t="n">
        <v>25152431</v>
      </c>
      <c r="E268" s="71" t="n">
        <v>0</v>
      </c>
      <c r="F268" s="72" t="inlineStr">
        <is>
          <t>2620511636321</t>
        </is>
      </c>
      <c r="G268" s="72">
        <f>VLOOKUP(H:H,'Referencias '!B:C,2,0)</f>
        <v/>
      </c>
      <c r="H268" s="72">
        <f>TRIM(_xlfn.TEXTBEFORE(_xlfn.TEXTAFTER(U268,"CNPJ/CPF:&lt;/strong&gt;"),"&lt;/p&gt;"))</f>
        <v/>
      </c>
      <c r="I268" s="70" t="inlineStr">
        <is>
          <t>Reenvio de boleto</t>
        </is>
      </c>
      <c r="J268" s="72" t="n"/>
      <c r="K268" s="72" t="n"/>
      <c r="L268" s="70" t="inlineStr">
        <is>
          <t>FINALIZADO</t>
        </is>
      </c>
      <c r="M268" s="73" t="inlineStr">
        <is>
          <t>Médio</t>
        </is>
      </c>
      <c r="N268" s="71" t="inlineStr">
        <is>
          <t>1018 Financeiro | Desejo falar com o setor financeiro | Sandra De Oliveira Ferreira | sandra.ferreira@bodytech.com.br</t>
        </is>
      </c>
      <c r="O268" s="74" t="n">
        <v>46227</v>
      </c>
      <c r="P268" s="123" t="n">
        <v>46227</v>
      </c>
      <c r="Q268" s="177">
        <f>TEXT(O268,"mmm/aaaa")</f>
        <v/>
      </c>
      <c r="R268" s="71" t="inlineStr">
        <is>
          <t>ECOMMERCE BP SUPORTE FINANCEIRO N2</t>
        </is>
      </c>
      <c r="S268" s="71" t="inlineStr">
        <is>
          <t>sandra.ferreira@bodytech.com.br</t>
        </is>
      </c>
      <c r="T268" s="71" t="inlineStr"/>
      <c r="U268" s="129" t="inlineStr">
        <is>
          <t>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
    "infoClientes": [
        {
            "nomeCliente": "Sandra De Olive</t>
        </is>
      </c>
      <c r="V268" s="71">
        <f>IFERROR(_xlfn.TEXTBEFORE(_xlfn.TEXTAFTER(U268,"Descrição do problema:&lt;/strong"),"&lt;/p&gt;"),_xlfn.TEXTAFTER(U268,"Descrição do problema:&lt;/strong"))</f>
        <v/>
      </c>
      <c r="W268" s="76">
        <f>_xlfn.CONCAT(D268:E268)</f>
        <v/>
      </c>
      <c r="X268" s="77" t="n">
        <v>46244</v>
      </c>
      <c r="Y268" s="78">
        <f>IF(X268="","Aberto","Encerrado")</f>
        <v/>
      </c>
      <c r="Z268" s="78">
        <f>IF(OR(L268="PENDENTE",L268="EM ANDAMENTO",L268="PENDENTE APROVAÇÃO CANCELAMENTO NF"),TODAY()-O268,X268-O268)</f>
        <v/>
      </c>
      <c r="AA268" s="78">
        <f>IF(Y268="Aberto",Z268+ROW()/100000,"")</f>
        <v/>
      </c>
      <c r="AB268" s="2">
        <f>IF(ISNUMBER(FIND("@cielo.com.br",S268)),"Interno","Externo")</f>
        <v/>
      </c>
      <c r="AD268" t="inlineStr"/>
      <c r="AJ268" t="inlineStr">
        <is>
          <t>Sem correspondência</t>
        </is>
      </c>
      <c r="AK268" t="b">
        <v>0</v>
      </c>
      <c r="AN268">
        <f>IF(OR(AG268="",AM268=""),"",IF(AG268=AM268,"SIM","NÃO"))</f>
        <v/>
      </c>
      <c r="AO268" t="inlineStr">
        <is>
          <t>NO_PATTERN</t>
        </is>
      </c>
    </row>
    <row r="269" ht="15.5" customHeight="1">
      <c r="A269" s="1" t="n"/>
      <c r="B269" s="67" t="inlineStr">
        <is>
          <t>Emilly Maria</t>
        </is>
      </c>
      <c r="C269" s="70">
        <f>VLOOKUP(I:I,'Referencias '!H:I,2,0)</f>
        <v/>
      </c>
      <c r="D269" s="71" t="n">
        <v>25149720</v>
      </c>
      <c r="E269" s="71" t="n">
        <v>0</v>
      </c>
      <c r="F269" s="72" t="inlineStr">
        <is>
          <t>2620510634643</t>
        </is>
      </c>
      <c r="G269" s="72">
        <f>VLOOKUP(H:H,'Referencias '!B:C,2,0)</f>
        <v/>
      </c>
      <c r="H269" s="72">
        <f>TRIM(_xlfn.TEXTBEFORE(_xlfn.TEXTAFTER(U269,"CNPJ/CPF:&lt;/strong&gt;"),"&lt;/p&gt;"))</f>
        <v/>
      </c>
      <c r="I269" s="70" t="inlineStr">
        <is>
          <t>Cancelamento de Nota Fiscal</t>
        </is>
      </c>
      <c r="J269" s="72" t="n"/>
      <c r="K269" s="72" t="inlineStr">
        <is>
          <t>Comercial</t>
        </is>
      </c>
      <c r="L269" s="70" t="inlineStr">
        <is>
          <t>PENDENTE</t>
        </is>
      </c>
      <c r="M269" s="73" t="inlineStr">
        <is>
          <t>Alta</t>
        </is>
      </c>
      <c r="N269" s="71" t="inlineStr">
        <is>
          <t>1018 Financeiro | Desejo falar com o setor financeiro | HORTIFRUTI VILA DAS FRUTAS | ariane.pasilva@cielo.com.br</t>
        </is>
      </c>
      <c r="O269" s="74" t="n">
        <v>46227</v>
      </c>
      <c r="P269" s="123" t="n">
        <v>46227</v>
      </c>
      <c r="Q269" s="177">
        <f>TEXT(O269,"mmm/aaaa")</f>
        <v/>
      </c>
      <c r="R269" s="71" t="inlineStr">
        <is>
          <t>ECOMMERCE BP SUPORTE FINANCEIRO N2</t>
        </is>
      </c>
      <c r="S269" s="71" t="inlineStr">
        <is>
          <t>ariane.pasilva@cielo.com.br</t>
        </is>
      </c>
      <c r="T269" s="71" t="inlineStr"/>
      <c r="U269" s="129" t="inlineStr">
        <is>
          <t xml:space="preserve">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
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t>
        </is>
      </c>
      <c r="V269" s="71">
        <f>IFERROR(_xlfn.TEXTBEFORE(_xlfn.TEXTAFTER(U269,"Descrição do problema:&lt;/strong"),"&lt;/p&gt;"),_xlfn.TEXTAFTER(U269,"Descrição do problema:&lt;/strong"))</f>
        <v/>
      </c>
      <c r="W269" s="76">
        <f>_xlfn.CONCAT(D269:E269)</f>
        <v/>
      </c>
      <c r="X269" s="77" t="n"/>
      <c r="Y269" s="78">
        <f>IF(X269="","Aberto","Encerrado")</f>
        <v/>
      </c>
      <c r="Z269" s="78">
        <f>IF(OR(L269="PENDENTE",L269="EM ANDAMENTO",L269="PENDENTE APROVAÇÃO CANCELAMENTO NF"),TODAY()-O269,X269-O269)</f>
        <v/>
      </c>
      <c r="AA269" s="78">
        <f>IF(Y269="Aberto",Z269+ROW()/100000,"")</f>
        <v/>
      </c>
      <c r="AB269" s="2">
        <f>IF(ISNUMBER(FIND("@cielo.com.br",S269)),"Interno","Externo")</f>
        <v/>
      </c>
      <c r="AC269" t="inlineStr">
        <is>
          <t>Cancelar, substituir ou reemitir nota fiscal.</t>
        </is>
      </c>
      <c r="AD269" t="inlineStr">
        <is>
          <t>ACAO:CANCELAR; OBJETO:NOTA_FISCAL</t>
        </is>
      </c>
      <c r="AE269" t="inlineStr">
        <is>
          <t>Cancelamento de NF</t>
        </is>
      </c>
      <c r="AF269" t="inlineStr">
        <is>
          <t>Documento Fiscal</t>
        </is>
      </c>
      <c r="AG269" t="inlineStr">
        <is>
          <t>Cancelamento e Reemissão de Nota Fiscal</t>
        </is>
      </c>
      <c r="AI269" t="inlineStr">
        <is>
          <t>INT_NF_CANCEL_REEMISSAO</t>
        </is>
      </c>
      <c r="AJ269" t="inlineStr">
        <is>
          <t>Sugerida</t>
        </is>
      </c>
      <c r="AK269" t="b">
        <v>0</v>
      </c>
      <c r="AN269">
        <f>IF(OR(AG269="",AM269=""),"",IF(AG269=AM269,"SIM","NÃO"))</f>
        <v/>
      </c>
      <c r="AO269" t="inlineStr">
        <is>
          <t>CLASSIFIED_SIGNATURE</t>
        </is>
      </c>
    </row>
    <row r="270" ht="15.5" customHeight="1">
      <c r="A270" s="1" t="n"/>
      <c r="B270" s="67" t="inlineStr">
        <is>
          <t>Pamela de Sá</t>
        </is>
      </c>
      <c r="C270" s="70">
        <f>VLOOKUP(I:I,'Referencias '!H:I,2,0)</f>
        <v/>
      </c>
      <c r="D270" s="71" t="n">
        <v>25120824</v>
      </c>
      <c r="E270" s="71" t="n">
        <v>0</v>
      </c>
      <c r="F270" s="72" t="inlineStr">
        <is>
          <t>2620415616122</t>
        </is>
      </c>
      <c r="G270" s="72">
        <f>VLOOKUP(H:H,'Referencias '!B:C,2,0)</f>
        <v/>
      </c>
      <c r="H270" s="72">
        <f>TRIM(_xlfn.TEXTBEFORE(_xlfn.TEXTAFTER(U270,"CNPJ/CPF:&lt;/strong&gt;"),"&lt;/p&gt;"))</f>
        <v/>
      </c>
      <c r="I270" s="70" t="inlineStr">
        <is>
          <t>Atualização cadastral (email)</t>
        </is>
      </c>
      <c r="J270" s="72" t="n"/>
      <c r="K270" s="72" t="n"/>
      <c r="L270" s="70" t="inlineStr">
        <is>
          <t>FINALIZADO</t>
        </is>
      </c>
      <c r="M270" s="73" t="inlineStr">
        <is>
          <t>Médio</t>
        </is>
      </c>
      <c r="N270" s="71" t="inlineStr">
        <is>
          <t>1018 Financeiro | Desejo falar com o setor financeiro | Erick | erick.faraujo@gruposaga.com.br</t>
        </is>
      </c>
      <c r="O270" s="74" t="n">
        <v>46226</v>
      </c>
      <c r="P270" s="123" t="n">
        <v>46226</v>
      </c>
      <c r="Q270" s="177">
        <f>TEXT(O270,"mmm/aaaa")</f>
        <v/>
      </c>
      <c r="R270" s="71" t="inlineStr">
        <is>
          <t>ECOMMERCE BP SUPORTE FINANCEIRO N2</t>
        </is>
      </c>
      <c r="S270" s="71" t="inlineStr">
        <is>
          <t>erick.faraujo@gruposaga.com.br</t>
        </is>
      </c>
      <c r="T270" s="71" t="inlineStr"/>
      <c r="U270" s="129" t="inlineStr">
        <is>
          <t>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
Atualmente, os boletos estão sendo enviados aos gestores do projeto. No entanto, para evitar atrasos nos pagamentos, é necessário que eles sejam encaminhados diretamente aos responsáveis pelo process</t>
        </is>
      </c>
      <c r="V270" s="71">
        <f>IFERROR(_xlfn.TEXTBEFORE(_xlfn.TEXTAFTER(U270,"Descrição do problema:&lt;/strong"),"&lt;/p&gt;"),_xlfn.TEXTAFTER(U270,"Descrição do problema:&lt;/strong"))</f>
        <v/>
      </c>
      <c r="W270" s="76">
        <f>_xlfn.CONCAT(D270:E270)</f>
        <v/>
      </c>
      <c r="X270" s="77" t="n">
        <v>46240</v>
      </c>
      <c r="Y270" s="78">
        <f>IF(X270="","Aberto","Encerrado")</f>
        <v/>
      </c>
      <c r="Z270" s="78">
        <f>IF(OR(L270="PENDENTE",L270="EM ANDAMENTO",L270="PENDENTE APROVAÇÃO CANCELAMENTO NF"),TODAY()-O270,X270-O270)</f>
        <v/>
      </c>
      <c r="AA270" s="78">
        <f>IF(Y270="Aberto",Z270+ROW()/100000,"")</f>
        <v/>
      </c>
      <c r="AB270" s="2">
        <f>IF(ISNUMBER(FIND("@cielo.com.br",S270)),"Interno","Externo")</f>
        <v/>
      </c>
      <c r="AC270" t="inlineStr">
        <is>
          <t>Atualizar dados cadastrais, e-mail ou telefone.</t>
        </is>
      </c>
      <c r="AD270" t="inlineStr">
        <is>
          <t>destinatário + boleto; atualização dos destinatários; destinatários responsáveis pelo recebimento dos boletos</t>
        </is>
      </c>
      <c r="AE270" t="inlineStr">
        <is>
          <t>Atualização cadastral</t>
        </is>
      </c>
      <c r="AF270" t="inlineStr">
        <is>
          <t>Contrato/Cadastro</t>
        </is>
      </c>
      <c r="AG270" t="inlineStr">
        <is>
          <t>Contratos, Comercial e Cadastro</t>
        </is>
      </c>
      <c r="AI270" t="inlineStr">
        <is>
          <t>INT_CON_CADASTRO</t>
        </is>
      </c>
      <c r="AJ270" t="inlineStr">
        <is>
          <t>Sugerida</t>
        </is>
      </c>
      <c r="AK270" t="b">
        <v>0</v>
      </c>
      <c r="AN270">
        <f>IF(OR(AG270="",AM270=""),"",IF(AG270=AM270,"SIM","NÃO"))</f>
        <v/>
      </c>
      <c r="AO270" t="inlineStr">
        <is>
          <t>CLASSIFIED_PATTERN</t>
        </is>
      </c>
    </row>
    <row r="271" ht="15.5" customHeight="1">
      <c r="A271" s="1" t="n"/>
      <c r="B271" s="67" t="inlineStr">
        <is>
          <t>Fabiana Lisboa</t>
        </is>
      </c>
      <c r="C271" s="70">
        <f>VLOOKUP(I:I,'Referencias '!H:I,2,0)</f>
        <v/>
      </c>
      <c r="D271" s="71" t="n">
        <v>25018289</v>
      </c>
      <c r="E271" s="71" t="n">
        <v>0</v>
      </c>
      <c r="F271" s="72" t="inlineStr">
        <is>
          <t>2620218549022</t>
        </is>
      </c>
      <c r="G271" s="72">
        <f>T271</f>
        <v/>
      </c>
      <c r="H271" s="72" t="n"/>
      <c r="I271" s="70" t="inlineStr">
        <is>
          <t>Cancelamento de contrato</t>
        </is>
      </c>
      <c r="J271" s="72" t="n"/>
      <c r="K271" s="72" t="n"/>
      <c r="L271" s="70" t="inlineStr">
        <is>
          <t>FINALIZADO</t>
        </is>
      </c>
      <c r="M271" s="73" t="inlineStr">
        <is>
          <t>Médio</t>
        </is>
      </c>
      <c r="N271" s="71" t="inlineStr">
        <is>
          <t>1003 Cancelamento de Contrato: COSTA CRUZEIROS</t>
        </is>
      </c>
      <c r="O271" s="74" t="n">
        <v>46224</v>
      </c>
      <c r="P271" s="123" t="n">
        <v>46227</v>
      </c>
      <c r="Q271" s="177">
        <f>TEXT(O271,"mmm/aaaa")</f>
        <v/>
      </c>
      <c r="R271" s="71" t="inlineStr">
        <is>
          <t>ECOMMERCE BP SUPORTE FINANCEIRO N2</t>
        </is>
      </c>
      <c r="S271" s="71" t="inlineStr">
        <is>
          <t>jlisboa@cielo.com.br</t>
        </is>
      </c>
      <c r="T271" s="71" t="inlineStr">
        <is>
          <t>COSTA CRUZEIROS SSA</t>
        </is>
      </c>
      <c r="U271" s="71" t="inlineStr">
        <is>
          <t>-json-{"CancelamentoDeContratoId":"a0UNp00001C6BhLMAV"}
- CNPJ da Conta: 61.450.292/0001-59
- Razão Social: COSTA CRUZEIROS AGENCIA MARITIMA E TURISMO LTDA
- Transações Mensais: 10000
- Data do Contrato: 21/07/2026
- Executivo: Raphael Palmeira
- Motivo: Sistema Nunca foi Utilizado
- Justificativa: Nunca foi utilizado
- Tipo: Total
- Serviços: Analista de Risco Cybersource,Antifraude Cybersource
- Observações: 
- Conta SF Id: 0014o00001m4qRsAAI</t>
        </is>
      </c>
      <c r="V271" s="71">
        <f>TRIM(_xlfn.TEXTAFTER(U271,"-json-",-1))</f>
        <v/>
      </c>
      <c r="W271" s="76">
        <f>_xlfn.CONCAT(D271:E271)</f>
        <v/>
      </c>
      <c r="X271" s="77" t="n">
        <v>46232</v>
      </c>
      <c r="Y271" s="78">
        <f>IF(X271="","Aberto","Encerrado")</f>
        <v/>
      </c>
      <c r="Z271" s="78">
        <f>IF(OR(L271="PENDENTE",L271="EM ANDAMENTO",L271="PENDENTE APROVAÇÃO CANCELAMENTO NF"),TODAY()-O271,X271-O271)</f>
        <v/>
      </c>
      <c r="AA271" s="78">
        <f>IF(Y271="Aberto",Z271+ROW()/100000,"")</f>
        <v/>
      </c>
      <c r="AB271" s="2">
        <f>IF(ISNUMBER(FIND("@cielo.com.br",S271)),"Interno","Externo")</f>
        <v/>
      </c>
      <c r="AD271" t="inlineStr"/>
      <c r="AJ271" t="inlineStr">
        <is>
          <t>Sem correspondência</t>
        </is>
      </c>
      <c r="AK271" t="b">
        <v>0</v>
      </c>
      <c r="AN271">
        <f>IF(OR(AG271="",AM271=""),"",IF(AG271=AM271,"SIM","NÃO"))</f>
        <v/>
      </c>
      <c r="AO271" t="inlineStr">
        <is>
          <t>NO_PATTERN</t>
        </is>
      </c>
    </row>
    <row r="272" ht="15.5" customHeight="1">
      <c r="A272" s="1" t="n"/>
      <c r="B272" s="67" t="inlineStr">
        <is>
          <t>Pamela de Sá</t>
        </is>
      </c>
      <c r="C272" s="70">
        <f>VLOOKUP(I:I,'Referencias '!H:I,2,0)</f>
        <v/>
      </c>
      <c r="D272" s="71" t="n">
        <v>25253452</v>
      </c>
      <c r="E272" s="71" t="n">
        <v>0</v>
      </c>
      <c r="F272" s="72" t="n">
        <v>2620817700439</v>
      </c>
      <c r="G272" s="72">
        <f>T272</f>
        <v/>
      </c>
      <c r="H272" s="72" t="n"/>
      <c r="I272" s="70" t="inlineStr">
        <is>
          <t>Outros</t>
        </is>
      </c>
      <c r="J272" s="72" t="n"/>
      <c r="K272" s="72" t="n"/>
      <c r="L272" s="70" t="inlineStr">
        <is>
          <t>FINALIZADO</t>
        </is>
      </c>
      <c r="M272" s="73" t="inlineStr">
        <is>
          <t>Médio</t>
        </is>
      </c>
      <c r="N272" s="71" t="inlineStr">
        <is>
          <t>1009 Checkout | Erro para finalização do pagamento do Checkout Cielo pelo portador | Lucas Chaves Ricarte | lucas.ricarte@beachpark.com.br</t>
        </is>
      </c>
      <c r="O272" s="74" t="n">
        <v>46230</v>
      </c>
      <c r="P272" s="123" t="n">
        <v>46230</v>
      </c>
      <c r="Q272" s="177">
        <f>TEXT(O272,"mmm/aaaa")</f>
        <v/>
      </c>
      <c r="R272" s="71" t="inlineStr">
        <is>
          <t>ECOMMERCE BP SUPORTE FINANCEIRO N2</t>
        </is>
      </c>
      <c r="S272" s="71" t="inlineStr">
        <is>
          <t>lucas.ricarte@beachpark.com.br</t>
        </is>
      </c>
      <c r="T272" s="71" t="inlineStr"/>
      <c r="U272" s="129" t="inlineStr">
        <is>
          <t>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
Descrição:
Durante pagamentos que exigem autenticação adicional (challenge), a Braspag retorna o erro ReturnCode 4002 – &amp;quot;TermURL Error. Malformed Request.&amp;quot; (configuration), impedindo a conclusão da compra.
O estabelecimento de ingressos (2895657003 – Ingressos Beach Chat) funciona normalmente, enquanto o estabelecimento de hospedagem (2807605448 – Operadora BPK Chat) apresenta configuração incompleta do 3DS 2.0 (Cardinal/MPI).
Solic</t>
        </is>
      </c>
      <c r="V272" s="71">
        <f>IFERROR(_xlfn.TEXTBEFORE(_xlfn.TEXTAFTER(U272,"Descrição do problema:&lt;/strong"),"&lt;/p&gt;"),_xlfn.TEXTAFTER(U272,"Descrição do problema:&lt;/strong"))</f>
        <v/>
      </c>
      <c r="W272" s="76">
        <f>_xlfn.CONCAT(D272:E272)</f>
        <v/>
      </c>
      <c r="X272" s="77" t="n">
        <v>46232</v>
      </c>
      <c r="Y272" s="78">
        <f>IF(X272="","Aberto","Encerrado")</f>
        <v/>
      </c>
      <c r="Z272" s="78">
        <f>IF(OR(L272="PENDENTE",L272="EM ANDAMENTO",L272="PENDENTE APROVAÇÃO CANCELAMENTO NF"),TODAY()-O272,X272-O272)</f>
        <v/>
      </c>
      <c r="AA272" s="78">
        <f>IF(Y272="Aberto",Z272+ROW()/100000,"")</f>
        <v/>
      </c>
      <c r="AB272" s="2">
        <f>IF(ISNUMBER(FIND("@cielo.com.br",S272)),"Interno","Externo")</f>
        <v/>
      </c>
      <c r="AD272" t="inlineStr"/>
      <c r="AJ272" t="inlineStr">
        <is>
          <t>Sem correspondência</t>
        </is>
      </c>
      <c r="AK272" t="b">
        <v>0</v>
      </c>
      <c r="AN272">
        <f>IF(OR(AG272="",AM272=""),"",IF(AG272=AM272,"SIM","NÃO"))</f>
        <v/>
      </c>
      <c r="AO272" t="inlineStr">
        <is>
          <t>NO_PATTERN</t>
        </is>
      </c>
    </row>
    <row r="273" ht="15.5" customHeight="1">
      <c r="A273" s="1" t="n"/>
      <c r="B273" s="67" t="inlineStr">
        <is>
          <t>Stephany Lima</t>
        </is>
      </c>
      <c r="C273" s="70">
        <f>VLOOKUP(I:I,'Referencias '!H:I,2,0)</f>
        <v/>
      </c>
      <c r="D273" s="71" t="n">
        <v>25248760</v>
      </c>
      <c r="E273" s="71" t="n">
        <v>0</v>
      </c>
      <c r="F273" s="72" t="n">
        <v>2620816697623</v>
      </c>
      <c r="G273" s="72">
        <f>VLOOKUP(H:H,'Referencias '!B:C,2,0)</f>
        <v/>
      </c>
      <c r="H273" s="72">
        <f>TRIM(_xlfn.TEXTBEFORE(_xlfn.TEXTAFTER(U273,"CNPJ/CPF:&lt;/strong&gt;"),"&lt;/p&gt;"))</f>
        <v/>
      </c>
      <c r="I273" s="70" t="inlineStr">
        <is>
          <t>Contestação de cobrança</t>
        </is>
      </c>
      <c r="J273" s="72" t="n"/>
      <c r="K273" s="72" t="n"/>
      <c r="L273" s="70" t="inlineStr">
        <is>
          <t>FINALIZADO</t>
        </is>
      </c>
      <c r="M273" s="73" t="inlineStr">
        <is>
          <t>Médio</t>
        </is>
      </c>
      <c r="N273" s="71" t="inlineStr">
        <is>
          <t>1018 Financeiro | Desejo falar com o setor financeiro | GOODSTORAGE HOLDING PARTICIPACOES S | ariane.pasilva@cielo.com.br</t>
        </is>
      </c>
      <c r="O273" s="74" t="n">
        <v>46230</v>
      </c>
      <c r="P273" s="123" t="n">
        <v>46230</v>
      </c>
      <c r="Q273" s="177">
        <f>TEXT(O273,"mmm/aaaa")</f>
        <v/>
      </c>
      <c r="R273" s="71" t="inlineStr">
        <is>
          <t>ECOMMERCE BP SUPORTE FINANCEIRO N2</t>
        </is>
      </c>
      <c r="S273" s="71" t="inlineStr">
        <is>
          <t>ariane.pasilva@cielo.com.br</t>
        </is>
      </c>
      <c r="T273" s="71" t="inlineStr">
        <is>
          <t>GOODSTORAGE HOLDING PARTICIPACOES SA</t>
        </is>
      </c>
      <c r="U273" s="129" t="inlineStr">
        <is>
          <t>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t>
        </is>
      </c>
      <c r="V273" s="71">
        <f>IFERROR(_xlfn.TEXTBEFORE(_xlfn.TEXTAFTER(U273,"Descrição do problema:&lt;/strong"),"&lt;/p&gt;"),_xlfn.TEXTAFTER(U273,"Descrição do problema:&lt;/strong"))</f>
        <v/>
      </c>
      <c r="W273" s="76">
        <f>_xlfn.CONCAT(D273:E273)</f>
        <v/>
      </c>
      <c r="X273" s="121" t="n">
        <v>46240</v>
      </c>
      <c r="Y273" s="78">
        <f>IF(X273="","Aberto","Encerrado")</f>
        <v/>
      </c>
      <c r="Z273" s="78">
        <f>IF(OR(L273="PENDENTE",L273="EM ANDAMENTO",L273="PENDENTE APROVAÇÃO CANCELAMENTO NF"),TODAY()-O273,X273-O273)</f>
        <v/>
      </c>
      <c r="AA273" s="78">
        <f>IF(Y273="Aberto",Z273+ROW()/100000,"")</f>
        <v/>
      </c>
      <c r="AB273" s="2">
        <f>IF(ISNUMBER(FIND("@cielo.com.br",S273)),"Interno","Externo")</f>
        <v/>
      </c>
      <c r="AC273" t="inlineStr">
        <is>
          <t>Cancelar, substituir ou reemitir nota fiscal.</t>
        </is>
      </c>
      <c r="AD273" t="inlineStr">
        <is>
          <t>ACAO:CANCELAR; OBJETO:NOTA_FISCAL</t>
        </is>
      </c>
      <c r="AE273" t="inlineStr">
        <is>
          <t>Cancelamento de NF</t>
        </is>
      </c>
      <c r="AF273" t="inlineStr">
        <is>
          <t>Documento Fiscal</t>
        </is>
      </c>
      <c r="AG273" t="inlineStr">
        <is>
          <t>Cancelamento e Reemissão de Nota Fiscal</t>
        </is>
      </c>
      <c r="AI273" t="inlineStr">
        <is>
          <t>INT_NF_CANCEL_REEMISSAO</t>
        </is>
      </c>
      <c r="AJ273" t="inlineStr">
        <is>
          <t>Sugerida</t>
        </is>
      </c>
      <c r="AK273" t="b">
        <v>0</v>
      </c>
      <c r="AN273">
        <f>IF(OR(AG273="",AM273=""),"",IF(AG273=AM273,"SIM","NÃO"))</f>
        <v/>
      </c>
      <c r="AO273" t="inlineStr">
        <is>
          <t>CLASSIFIED_SIGNATURE</t>
        </is>
      </c>
    </row>
    <row r="274" ht="15.5" customHeight="1">
      <c r="A274" s="1" t="n"/>
      <c r="B274" s="67" t="inlineStr">
        <is>
          <t>Emilly Maria</t>
        </is>
      </c>
      <c r="C274" s="70">
        <f>VLOOKUP(I:I,'Referencias '!H:I,2,0)</f>
        <v/>
      </c>
      <c r="D274" s="71" t="n">
        <v>25248269</v>
      </c>
      <c r="E274" s="71" t="n">
        <v>0</v>
      </c>
      <c r="F274" s="72" t="n">
        <v>2620816697314</v>
      </c>
      <c r="G274" s="72">
        <f>VLOOKUP(H:H,'Referencias '!B:C,2,0)</f>
        <v/>
      </c>
      <c r="H274" s="72">
        <f>TRIM(_xlfn.TEXTBEFORE(_xlfn.TEXTAFTER(U274,"CNPJ/CPF:&lt;/strong&gt;"),"&lt;/p&gt;"))</f>
        <v/>
      </c>
      <c r="I274" s="70" t="inlineStr">
        <is>
          <t>Cancelamento de NF / reemissão</t>
        </is>
      </c>
      <c r="J274" s="72" t="n"/>
      <c r="K274" s="72" t="inlineStr">
        <is>
          <t>Financeiro</t>
        </is>
      </c>
      <c r="L274" s="70" t="inlineStr">
        <is>
          <t>FINALIZADO</t>
        </is>
      </c>
      <c r="M274" s="73" t="inlineStr">
        <is>
          <t>Médio</t>
        </is>
      </c>
      <c r="N274" s="71" t="inlineStr">
        <is>
          <t>1018 Financeiro | Desejo falar com o setor financeiro | GOODSTORAGE HOLDING PARTICIPACOES S | ariane.pasilva@cielo.com.br</t>
        </is>
      </c>
      <c r="O274" s="74" t="n">
        <v>46230</v>
      </c>
      <c r="P274" s="123" t="n">
        <v>46230</v>
      </c>
      <c r="Q274" s="177">
        <f>TEXT(O274,"mmm/aaaa")</f>
        <v/>
      </c>
      <c r="R274" s="71" t="inlineStr">
        <is>
          <t>ECOMMERCE BP SUPORTE FINANCEIRO N2</t>
        </is>
      </c>
      <c r="S274" s="71" t="inlineStr">
        <is>
          <t>ariane.pasilva@cielo.com.br</t>
        </is>
      </c>
      <c r="T274" s="71" t="inlineStr"/>
      <c r="U274" s="129" t="inlineStr">
        <is>
          <t xml:space="preserve">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Solicito cancelamento da NF 118329, preciso que seja reemitido com o valor correto.
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t>
        </is>
      </c>
      <c r="V274" s="71">
        <f>IFERROR(_xlfn.TEXTBEFORE(_xlfn.TEXTAFTER(U274,"Descrição do problema:&lt;/strong"),"&lt;/p&gt;"),_xlfn.TEXTAFTER(U274,"Descrição do problema:&lt;/strong"))</f>
        <v/>
      </c>
      <c r="W274" s="76">
        <f>_xlfn.CONCAT(D274:E274)</f>
        <v/>
      </c>
      <c r="X274" s="77" t="n">
        <v>46259</v>
      </c>
      <c r="Y274" s="78">
        <f>IF(X274="","Aberto","Encerrado")</f>
        <v/>
      </c>
      <c r="Z274" s="78">
        <f>IF(OR(L274="PENDENTE",L274="EM ANDAMENTO",L274="PENDENTE APROVAÇÃO CANCELAMENTO NF"),TODAY()-O274,X274-O274)</f>
        <v/>
      </c>
      <c r="AA274" s="78">
        <f>IF(Y274="Aberto",Z274+ROW()/100000,"")</f>
        <v/>
      </c>
      <c r="AB274" s="2">
        <f>IF(ISNUMBER(FIND("@cielo.com.br",S274)),"Interno","Externo")</f>
        <v/>
      </c>
      <c r="AC274" t="inlineStr">
        <is>
          <t>Cancelar, substituir ou reemitir nota fiscal.</t>
        </is>
      </c>
      <c r="AD274" t="inlineStr">
        <is>
          <t>ACAO:CANCELAR; OBJETO:NOTA_FISCAL</t>
        </is>
      </c>
      <c r="AE274" t="inlineStr">
        <is>
          <t>Cancelamento de NF</t>
        </is>
      </c>
      <c r="AF274" t="inlineStr">
        <is>
          <t>Documento Fiscal</t>
        </is>
      </c>
      <c r="AG274" t="inlineStr">
        <is>
          <t>Cancelamento e Reemissão de Nota Fiscal</t>
        </is>
      </c>
      <c r="AI274" t="inlineStr">
        <is>
          <t>INT_NF_CANCEL_REEMISSAO</t>
        </is>
      </c>
      <c r="AJ274" t="inlineStr">
        <is>
          <t>Sugerida</t>
        </is>
      </c>
      <c r="AK274" t="b">
        <v>0</v>
      </c>
      <c r="AN274">
        <f>IF(OR(AG274="",AM274=""),"",IF(AG274=AM274,"SIM","NÃO"))</f>
        <v/>
      </c>
      <c r="AO274" t="inlineStr">
        <is>
          <t>CLASSIFIED_SIGNATURE</t>
        </is>
      </c>
    </row>
    <row r="275" ht="15.5" customHeight="1">
      <c r="A275" s="1" t="n"/>
      <c r="B275" s="67" t="inlineStr">
        <is>
          <t>Emilly Maria</t>
        </is>
      </c>
      <c r="C275" s="70">
        <f>VLOOKUP(I:I,'Referencias '!H:I,2,0)</f>
        <v/>
      </c>
      <c r="D275" s="71" t="n">
        <v>25247817</v>
      </c>
      <c r="E275" s="71" t="n">
        <v>0</v>
      </c>
      <c r="F275" s="72" t="n">
        <v>2620816697033</v>
      </c>
      <c r="G275" s="72">
        <f>T275</f>
        <v/>
      </c>
      <c r="H275" s="72">
        <f>TRIM(_xlfn.TEXTBEFORE(_xlfn.TEXTAFTER(U275,"CNPJ/CPF:&lt;/strong&gt;"),"&lt;/p&gt;"))</f>
        <v/>
      </c>
      <c r="I275" s="70" t="inlineStr">
        <is>
          <t>Cancelamento de NF / reemissão</t>
        </is>
      </c>
      <c r="J275" s="72" t="n"/>
      <c r="K275" s="72" t="n"/>
      <c r="L275" s="70" t="inlineStr">
        <is>
          <t>FINALIZADO</t>
        </is>
      </c>
      <c r="M275" s="73" t="inlineStr">
        <is>
          <t>Médio</t>
        </is>
      </c>
      <c r="N275" s="71" t="inlineStr">
        <is>
          <t>1018 Financeiro | Desejo falar com o setor financeiro | LUX INVEST CAPITAL LTDA | ariane.pasilva@cielo.com.br</t>
        </is>
      </c>
      <c r="O275" s="74" t="n">
        <v>46230</v>
      </c>
      <c r="P275" s="123" t="n">
        <v>46230</v>
      </c>
      <c r="Q275" s="177">
        <f>TEXT(O275,"mmm/aaaa")</f>
        <v/>
      </c>
      <c r="R275" s="71" t="inlineStr">
        <is>
          <t>ECOMMERCE BP SUPORTE FINANCEIRO N2</t>
        </is>
      </c>
      <c r="S275" s="71" t="inlineStr">
        <is>
          <t>ariane.pasilva@cielo.com.br</t>
        </is>
      </c>
      <c r="T275" s="71" t="inlineStr"/>
      <c r="U275" s="129" t="inlineStr">
        <is>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
Por favor, em anexo consta o DA da área comercial, para realizar o cancelamento das notas:
116855
117057
Inclusive as notas que iremos emitir agora no final de julho e a multa contratual.
NÃO podemos emitir multa contratual. As referente junho e  julho já podemos cancelar.
No e-mail com DA possui todo detalhamento.&lt;/p&gt;&lt;p&gt;&lt;strong&gt;ID da transação:&lt;/strong&gt; &lt;/p&gt;&lt;p&gt;&lt;strong&gt;Código do erro:&lt;/strong&gt; &lt;/p&gt;&lt;p&gt;&lt;strong&gt;Sobre qual produto ou área deseja falar?:&lt;/strong&gt; Financeiro&lt;/p&gt;&lt;p&gt;&lt;strong&gt;Como pode</t>
        </is>
      </c>
      <c r="V275" s="71">
        <f>IFERROR(_xlfn.TEXTBEFORE(_xlfn.TEXTAFTER(U275,"Descrição do problema:&lt;/strong"),"&lt;/p&gt;"),_xlfn.TEXTAFTER(U275,"Descrição do problema:&lt;/strong"))</f>
        <v/>
      </c>
      <c r="W275" s="76">
        <f>_xlfn.CONCAT(D275:E275)</f>
        <v/>
      </c>
      <c r="X275" s="77" t="n">
        <v>46245</v>
      </c>
      <c r="Y275" s="78">
        <f>IF(X275="","Aberto","Encerrado")</f>
        <v/>
      </c>
      <c r="Z275" s="78">
        <f>IF(OR(L275="PENDENTE",L275="EM ANDAMENTO",L275="PENDENTE APROVAÇÃO CANCELAMENTO NF"),TODAY()-O275,X275-O275)</f>
        <v/>
      </c>
      <c r="AA275" s="78">
        <f>IF(Y275="Aberto",Z275+ROW()/100000,"")</f>
        <v/>
      </c>
      <c r="AB275" s="2">
        <f>IF(ISNUMBER(FIND("@cielo.com.br",S275)),"Interno","Externo")</f>
        <v/>
      </c>
      <c r="AC275" t="inlineStr">
        <is>
          <t>Cancelar, substituir ou reemitir nota fiscal.</t>
        </is>
      </c>
      <c r="AD275" t="inlineStr">
        <is>
          <t>ACAO:CANCELAR; OBJETO:NOTA_FISCAL</t>
        </is>
      </c>
      <c r="AE275" t="inlineStr">
        <is>
          <t>Cancelamento de NF</t>
        </is>
      </c>
      <c r="AF275" t="inlineStr">
        <is>
          <t>Documento Fiscal</t>
        </is>
      </c>
      <c r="AG275" t="inlineStr">
        <is>
          <t>Cancelamento e Reemissão de Nota Fiscal</t>
        </is>
      </c>
      <c r="AI275" t="inlineStr">
        <is>
          <t>INT_NF_CANCEL_REEMISSAO</t>
        </is>
      </c>
      <c r="AJ275" t="inlineStr">
        <is>
          <t>Sugerida</t>
        </is>
      </c>
      <c r="AK275" t="b">
        <v>0</v>
      </c>
      <c r="AN275">
        <f>IF(OR(AG275="",AM275=""),"",IF(AG275=AM275,"SIM","NÃO"))</f>
        <v/>
      </c>
      <c r="AO275" t="inlineStr">
        <is>
          <t>CLASSIFIED_SIGNATURE</t>
        </is>
      </c>
    </row>
    <row r="276" ht="15.5" customHeight="1">
      <c r="A276" s="1" t="n"/>
      <c r="B276" s="67" t="inlineStr">
        <is>
          <t>Emilly Maria</t>
        </is>
      </c>
      <c r="C276" s="70">
        <f>VLOOKUP(I:I,'Referencias '!H:I,2,0)</f>
        <v/>
      </c>
      <c r="D276" s="71" t="n">
        <v>25221967</v>
      </c>
      <c r="E276" s="71" t="n">
        <v>0</v>
      </c>
      <c r="F276" s="72" t="n">
        <v>2620812680732</v>
      </c>
      <c r="G276" s="72">
        <f>T276</f>
        <v/>
      </c>
      <c r="H276" s="72">
        <f>TRIM(_xlfn.TEXTBEFORE(_xlfn.TEXTAFTER(U276,"CNPJ/CPF:&lt;/strong&gt;"),"&lt;/p&gt;"))</f>
        <v/>
      </c>
      <c r="I276" s="70" t="inlineStr">
        <is>
          <t>Cancelamento de Nota Fiscal</t>
        </is>
      </c>
      <c r="J276" s="72" t="n"/>
      <c r="K276" s="72" t="inlineStr">
        <is>
          <t>Comercial</t>
        </is>
      </c>
      <c r="L276" s="70" t="inlineStr">
        <is>
          <t>PENDENTE</t>
        </is>
      </c>
      <c r="M276" s="73" t="inlineStr">
        <is>
          <t>Alta</t>
        </is>
      </c>
      <c r="N276" s="71" t="inlineStr">
        <is>
          <t>1018 Financeiro | Desejo falar com o setor financeiro | NIMBI S.A. | ariane.pasilva@cielo.com.br</t>
        </is>
      </c>
      <c r="O276" s="74" t="n">
        <v>46230</v>
      </c>
      <c r="P276" s="123" t="n">
        <v>46230</v>
      </c>
      <c r="Q276" s="177">
        <f>TEXT(O276,"mmm/aaaa")</f>
        <v/>
      </c>
      <c r="R276" s="71" t="inlineStr">
        <is>
          <t>ECOMMERCE BP SUPORTE FINANCEIRO N2</t>
        </is>
      </c>
      <c r="S276" s="71" t="inlineStr">
        <is>
          <t>ariane.pasilva@cielo.com.br</t>
        </is>
      </c>
      <c r="T276" s="71" t="inlineStr"/>
      <c r="U276" s="129" t="inlineStr">
        <is>
          <t>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
Por favor realizar o cancelamento de todas as notas fiscais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t>
        </is>
      </c>
      <c r="V276" s="71">
        <f>IFERROR(_xlfn.TEXTBEFORE(_xlfn.TEXTAFTER(U276,"Descrição do problema:&lt;/strong"),"&lt;/p&gt;"),_xlfn.TEXTAFTER(U276,"Descrição do problema:&lt;/strong"))</f>
        <v/>
      </c>
      <c r="W276" s="76">
        <f>_xlfn.CONCAT(D276:E276)</f>
        <v/>
      </c>
      <c r="X276" s="77" t="n"/>
      <c r="Y276" s="78">
        <f>IF(X276="","Aberto","Encerrado")</f>
        <v/>
      </c>
      <c r="Z276" s="78">
        <f>IF(OR(L276="PENDENTE",L276="EM ANDAMENTO",L276="PENDENTE APROVAÇÃO CANCELAMENTO NF"),TODAY()-O276,X276-O276)</f>
        <v/>
      </c>
      <c r="AA276" s="78">
        <f>IF(Y276="Aberto",Z276+ROW()/100000,"")</f>
        <v/>
      </c>
      <c r="AB276" s="2">
        <f>IF(ISNUMBER(FIND("@cielo.com.br",S276)),"Interno","Externo")</f>
        <v/>
      </c>
      <c r="AC276" t="inlineStr">
        <is>
          <t>Cancelar, substituir ou reemitir nota fiscal.</t>
        </is>
      </c>
      <c r="AD276" t="inlineStr">
        <is>
          <t>ACAO:CANCELAR; OBJETO:NOTA_FISCAL</t>
        </is>
      </c>
      <c r="AE276" t="inlineStr">
        <is>
          <t>Cancelamento de NF</t>
        </is>
      </c>
      <c r="AF276" t="inlineStr">
        <is>
          <t>Documento Fiscal</t>
        </is>
      </c>
      <c r="AG276" t="inlineStr">
        <is>
          <t>Cancelamento e Reemissão de Nota Fiscal</t>
        </is>
      </c>
      <c r="AI276" t="inlineStr">
        <is>
          <t>INT_NF_CANCEL_REEMISSAO</t>
        </is>
      </c>
      <c r="AJ276" t="inlineStr">
        <is>
          <t>Sugerida</t>
        </is>
      </c>
      <c r="AK276" t="b">
        <v>0</v>
      </c>
      <c r="AN276">
        <f>IF(OR(AG276="",AM276=""),"",IF(AG276=AM276,"SIM","NÃO"))</f>
        <v/>
      </c>
      <c r="AO276" t="inlineStr">
        <is>
          <t>CLASSIFIED_SIGNATURE</t>
        </is>
      </c>
    </row>
    <row r="277" ht="15.5" customHeight="1">
      <c r="A277" s="1" t="n"/>
      <c r="B277" s="67" t="inlineStr">
        <is>
          <t>Emilly Maria</t>
        </is>
      </c>
      <c r="C277" s="70">
        <f>VLOOKUP(I:I,'Referencias '!H:I,2,0)</f>
        <v/>
      </c>
      <c r="D277" s="71" t="n">
        <v>25299212</v>
      </c>
      <c r="E277" s="71" t="n">
        <v>0</v>
      </c>
      <c r="F277" s="72" t="n">
        <v>2620915729640</v>
      </c>
      <c r="G277" s="72">
        <f>T277</f>
        <v/>
      </c>
      <c r="H277" s="72">
        <f>TRIM(_xlfn.TEXTBEFORE(_xlfn.TEXTAFTER(U277,"CNPJ/CPF:&lt;/strong&gt;"),"&lt;/p&gt;"))</f>
        <v/>
      </c>
      <c r="I277" s="70" t="inlineStr">
        <is>
          <t>Cancelamento de Nota Fiscal</t>
        </is>
      </c>
      <c r="J277" s="72" t="n"/>
      <c r="K277" s="72" t="inlineStr">
        <is>
          <t>Comercial</t>
        </is>
      </c>
      <c r="L277" s="70" t="inlineStr">
        <is>
          <t>PENDENTE</t>
        </is>
      </c>
      <c r="M277" s="73" t="inlineStr">
        <is>
          <t>Médio</t>
        </is>
      </c>
      <c r="N277" s="71" t="inlineStr">
        <is>
          <t>1018 Financeiro | Desejo falar com o setor financeiro | FARMAVILAS COMERCIO DE MEDICAMENTOS | ariane.pasilva@cielo.com.br</t>
        </is>
      </c>
      <c r="O277" s="74" t="n">
        <v>46231</v>
      </c>
      <c r="P277" s="123" t="n">
        <v>46231</v>
      </c>
      <c r="Q277" s="177">
        <f>TEXT(O277,"mmm/aaaa")</f>
        <v/>
      </c>
      <c r="R277" s="71" t="inlineStr">
        <is>
          <t>ECOMMERCE BP SUPORTE FINANCEIRO N2</t>
        </is>
      </c>
      <c r="S277" s="71" t="inlineStr">
        <is>
          <t>ariane.pasilva@cielo.com.br</t>
        </is>
      </c>
      <c r="T277" s="71" t="inlineStr">
        <is>
          <t>FARMAVILAS COMERCIO DE MEDICAMEN</t>
        </is>
      </c>
      <c r="U277" s="129" t="inlineStr">
        <is>
          <t>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
Favor cancelar as notas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t>
        </is>
      </c>
      <c r="V277" s="71">
        <f>IFERROR(_xlfn.TEXTBEFORE(_xlfn.TEXTAFTER(U277,"Descrição do problema:&lt;/strong"),"&lt;/p&gt;"),_xlfn.TEXTAFTER(U277,"Descrição do problema:&lt;/strong"))</f>
        <v/>
      </c>
      <c r="W277" s="76">
        <f>_xlfn.CONCAT(D277:E277)</f>
        <v/>
      </c>
      <c r="X277" s="77" t="n"/>
      <c r="Y277" s="78">
        <f>IF(X277="","Aberto","Encerrado")</f>
        <v/>
      </c>
      <c r="Z277" s="78">
        <f>IF(OR(L277="PENDENTE",L277="EM ANDAMENTO",L277="PENDENTE APROVAÇÃO CANCELAMENTO NF"),TODAY()-O277,X277-O277)</f>
        <v/>
      </c>
      <c r="AA277" s="78">
        <f>IF(Y277="Aberto",Z277+ROW()/100000,"")</f>
        <v/>
      </c>
      <c r="AB277" s="2">
        <f>IF(ISNUMBER(FIND("@cielo.com.br",S277)),"Interno","Externo")</f>
        <v/>
      </c>
      <c r="AC277" t="inlineStr">
        <is>
          <t>Cancelar, substituir ou reemitir nota fiscal.</t>
        </is>
      </c>
      <c r="AD277" t="inlineStr">
        <is>
          <t>ACAO:CANCELAR; OBJETO:NOTA_FISCAL</t>
        </is>
      </c>
      <c r="AE277" t="inlineStr">
        <is>
          <t>Cancelamento de NF</t>
        </is>
      </c>
      <c r="AF277" t="inlineStr">
        <is>
          <t>Documento Fiscal</t>
        </is>
      </c>
      <c r="AG277" t="inlineStr">
        <is>
          <t>Cancelamento e Reemissão de Nota Fiscal</t>
        </is>
      </c>
      <c r="AI277" t="inlineStr">
        <is>
          <t>INT_NF_CANCEL_REEMISSAO</t>
        </is>
      </c>
      <c r="AJ277" t="inlineStr">
        <is>
          <t>Sugerida</t>
        </is>
      </c>
      <c r="AK277" t="b">
        <v>0</v>
      </c>
      <c r="AN277">
        <f>IF(OR(AG277="",AM277=""),"",IF(AG277=AM277,"SIM","NÃO"))</f>
        <v/>
      </c>
      <c r="AO277" t="inlineStr">
        <is>
          <t>CLASSIFIED_SIGNATURE</t>
        </is>
      </c>
    </row>
    <row r="278" ht="15.5" customHeight="1">
      <c r="A278" s="1" t="n"/>
      <c r="B278" s="67" t="inlineStr">
        <is>
          <t>Stephany Lima</t>
        </is>
      </c>
      <c r="C278" s="70">
        <f>VLOOKUP(I:I,'Referencias '!H:I,2,0)</f>
        <v/>
      </c>
      <c r="D278" s="71" t="n">
        <v>25296859</v>
      </c>
      <c r="E278" s="71" t="n">
        <v>0</v>
      </c>
      <c r="F278" s="72" t="n">
        <v>2620915728194</v>
      </c>
      <c r="G278" s="72">
        <f>VLOOKUP(H:H,'Referencias '!B:C,2,0)</f>
        <v/>
      </c>
      <c r="H278" s="72">
        <f>TRIM(_xlfn.TEXTBEFORE(_xlfn.TEXTAFTER(U278,"CNPJ/CPF:&lt;/strong&gt;"),"&lt;/p&gt;"))</f>
        <v/>
      </c>
      <c r="I278" s="70" t="inlineStr">
        <is>
          <t>Cancelamento de Nota Fiscal</t>
        </is>
      </c>
      <c r="J278" s="72" t="n"/>
      <c r="K278" s="72" t="inlineStr">
        <is>
          <t>Comercial</t>
        </is>
      </c>
      <c r="L278" s="70" t="inlineStr">
        <is>
          <t>EM ANDAMENTO</t>
        </is>
      </c>
      <c r="M278" s="73" t="inlineStr">
        <is>
          <t>Médio</t>
        </is>
      </c>
      <c r="N278" s="71" t="inlineStr">
        <is>
          <t>1018 Financeiro | Desejo falar com o setor financeiro | CONSTRUDECOR S/A | ariane.pasilva@cielo.com.br</t>
        </is>
      </c>
      <c r="O278" s="74" t="n">
        <v>46231</v>
      </c>
      <c r="P278" s="123" t="n">
        <v>46231</v>
      </c>
      <c r="Q278" s="177">
        <f>TEXT(O278,"mmm/aaaa")</f>
        <v/>
      </c>
      <c r="R278" s="71" t="inlineStr">
        <is>
          <t>ECOMMERCE BP SUPORTE FINANCEIRO N2</t>
        </is>
      </c>
      <c r="S278" s="71" t="inlineStr">
        <is>
          <t>ariane.pasilva@cielo.com.br</t>
        </is>
      </c>
      <c r="T278" s="71" t="inlineStr">
        <is>
          <t>DICICO</t>
        </is>
      </c>
      <c r="U278" s="129" t="inlineStr">
        <is>
          <t>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
Favor cancelar as seguintes notas fiscais do cliente:
051172
051638
051648
051663
052712
058505
117765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t>
        </is>
      </c>
      <c r="V278" s="71">
        <f>IFERROR(_xlfn.TEXTBEFORE(_xlfn.TEXTAFTER(U278,"Descrição do problema:&lt;/strong"),"&lt;/p&gt;"),_xlfn.TEXTAFTER(U278,"Descrição do problema:&lt;/strong"))</f>
        <v/>
      </c>
      <c r="W278" s="76">
        <f>_xlfn.CONCAT(D278:E278)</f>
        <v/>
      </c>
      <c r="X278" s="77" t="n"/>
      <c r="Y278" s="78">
        <f>IF(X278="","Aberto","Encerrado")</f>
        <v/>
      </c>
      <c r="Z278" s="78">
        <f>IF(OR(L278="PENDENTE",L278="EM ANDAMENTO",L278="PENDENTE APROVAÇÃO CANCELAMENTO NF"),TODAY()-O278,X278-O278)</f>
        <v/>
      </c>
      <c r="AA278" s="78">
        <f>IF(Y278="Aberto",Z278+ROW()/100000,"")</f>
        <v/>
      </c>
      <c r="AB278" s="2">
        <f>IF(ISNUMBER(FIND("@cielo.com.br",S278)),"Interno","Externo")</f>
        <v/>
      </c>
      <c r="AC278" t="inlineStr">
        <is>
          <t>Cancelar, substituir ou reemitir nota fiscal.</t>
        </is>
      </c>
      <c r="AD278" t="inlineStr">
        <is>
          <t>ACAO:CANCELAR; OBJETO:NOTA_FISCAL</t>
        </is>
      </c>
      <c r="AE278" t="inlineStr">
        <is>
          <t>Cancelamento de NF</t>
        </is>
      </c>
      <c r="AF278" t="inlineStr">
        <is>
          <t>Documento Fiscal</t>
        </is>
      </c>
      <c r="AG278" t="inlineStr">
        <is>
          <t>Cancelamento e Reemissão de Nota Fiscal</t>
        </is>
      </c>
      <c r="AI278" t="inlineStr">
        <is>
          <t>INT_NF_CANCEL_REEMISSAO</t>
        </is>
      </c>
      <c r="AJ278" t="inlineStr">
        <is>
          <t>Sugerida</t>
        </is>
      </c>
      <c r="AK278" t="b">
        <v>0</v>
      </c>
      <c r="AN278">
        <f>IF(OR(AG278="",AM278=""),"",IF(AG278=AM278,"SIM","NÃO"))</f>
        <v/>
      </c>
      <c r="AO278" t="inlineStr">
        <is>
          <t>CLASSIFIED_SIGNATURE</t>
        </is>
      </c>
    </row>
    <row r="279" ht="15.5" customHeight="1">
      <c r="A279" s="1" t="n"/>
      <c r="B279" s="67" t="inlineStr">
        <is>
          <t>Amanda Silva</t>
        </is>
      </c>
      <c r="C279" s="70">
        <f>VLOOKUP(I:I,'Referencias '!H:I,2,0)</f>
        <v/>
      </c>
      <c r="D279" s="71" t="n">
        <v>25277161</v>
      </c>
      <c r="E279" s="71" t="n">
        <v>0</v>
      </c>
      <c r="F279" s="72" t="n">
        <v>2620911715829</v>
      </c>
      <c r="G279" s="72">
        <f>VLOOKUP(H:H,'Referencias '!B:C,2,0)</f>
        <v/>
      </c>
      <c r="H279" s="72">
        <f>TRIM(_xlfn.TEXTBEFORE(_xlfn.TEXTAFTER(U279,"CNPJ/CPF:&lt;/strong&gt;"),"&lt;/p&gt;"))</f>
        <v/>
      </c>
      <c r="I279" s="70" t="inlineStr">
        <is>
          <t>Alteração de vencimento / Prorrogação / Reenvio de boleto</t>
        </is>
      </c>
      <c r="J279" s="72" t="n"/>
      <c r="K279" s="72" t="n"/>
      <c r="L279" s="70" t="inlineStr">
        <is>
          <t>PENDENTE</t>
        </is>
      </c>
      <c r="M279" s="73" t="inlineStr">
        <is>
          <t>Médio</t>
        </is>
      </c>
      <c r="N279" s="71" t="inlineStr">
        <is>
          <t>1018 Financeiro | Desejo falar com o setor financeiro | Rodrigo Rossi | rodrigomrossi@gmail.com</t>
        </is>
      </c>
      <c r="O279" s="74" t="n">
        <v>46231</v>
      </c>
      <c r="P279" s="123" t="n">
        <v>46231</v>
      </c>
      <c r="Q279" s="177">
        <f>TEXT(O279,"mmm/aaaa")</f>
        <v/>
      </c>
      <c r="R279" s="71" t="inlineStr">
        <is>
          <t>ECOMMERCE BP SUPORTE FINANCEIRO N2</t>
        </is>
      </c>
      <c r="S279" s="71" t="inlineStr">
        <is>
          <t>rodrigomrossi@gmail.com</t>
        </is>
      </c>
      <c r="T279" s="71" t="inlineStr">
        <is>
          <t>MAIS VENDAS TECNOLOGIA LTDA</t>
        </is>
      </c>
      <c r="U279" s="129" t="inlineStr">
        <is>
          <t>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t>
        </is>
      </c>
      <c r="V279" s="71">
        <f>IFERROR(_xlfn.TEXTBEFORE(_xlfn.TEXTAFTER(U279,"Descrição do problema:&lt;/strong"),"&lt;/p&gt;"),_xlfn.TEXTAFTER(U279,"Descrição do problema:&lt;/strong"))</f>
        <v/>
      </c>
      <c r="W279" s="76">
        <f>_xlfn.CONCAT(D279:E279)</f>
        <v/>
      </c>
      <c r="X279" s="77" t="n"/>
      <c r="Y279" s="78">
        <f>IF(X279="","Aberto","Encerrado")</f>
        <v/>
      </c>
      <c r="Z279" s="78">
        <f>IF(OR(L279="PENDENTE",L279="EM ANDAMENTO",L279="PENDENTE APROVAÇÃO CANCELAMENTO NF"),TODAY()-O279,X279-O279)</f>
        <v/>
      </c>
      <c r="AA279" s="78">
        <f>IF(Y279="Aberto",Z279+ROW()/100000,"")</f>
        <v/>
      </c>
      <c r="AB279" s="2">
        <f>IF(ISNUMBER(FIND("@cielo.com.br",S279)),"Interno","Externo")</f>
        <v/>
      </c>
      <c r="AC279" t="inlineStr">
        <is>
          <t>Alterar ou prorrogar vencimento ou prazo de pagamento.</t>
        </is>
      </c>
      <c r="AD279" t="inlineStr">
        <is>
          <t>prorrogação do boleto</t>
        </is>
      </c>
      <c r="AE279" t="inlineStr">
        <is>
          <t>Alteração de vencimento</t>
        </is>
      </c>
      <c r="AF279" t="inlineStr">
        <is>
          <t>Título Financeiro</t>
        </is>
      </c>
      <c r="AG279" t="inlineStr">
        <is>
          <t>Pagamentos, Boletos e Recebimentos</t>
        </is>
      </c>
      <c r="AI279" t="inlineStr">
        <is>
          <t>INT_PAG_VENCIMENTO</t>
        </is>
      </c>
      <c r="AJ279" t="inlineStr">
        <is>
          <t>Sugerida</t>
        </is>
      </c>
      <c r="AK279" t="b">
        <v>0</v>
      </c>
      <c r="AN279">
        <f>IF(OR(AG279="",AM279=""),"",IF(AG279=AM279,"SIM","NÃO"))</f>
        <v/>
      </c>
      <c r="AO279" t="inlineStr">
        <is>
          <t>CLASSIFIED_PATTERN</t>
        </is>
      </c>
    </row>
    <row r="280" ht="15.5" customHeight="1">
      <c r="A280" s="1" t="n"/>
      <c r="B280" s="67" t="inlineStr">
        <is>
          <t>Pamela de Sá</t>
        </is>
      </c>
      <c r="C280" s="70">
        <f>VLOOKUP(I:I,'Referencias '!H:I,2,0)</f>
        <v/>
      </c>
      <c r="D280" s="71" t="n">
        <v>25276254</v>
      </c>
      <c r="E280" s="71" t="n">
        <v>0</v>
      </c>
      <c r="F280" s="72" t="n">
        <v>2620911715219</v>
      </c>
      <c r="G280" s="72">
        <f>T280</f>
        <v/>
      </c>
      <c r="H280" s="72">
        <f>TRIM(_xlfn.TEXTBEFORE(_xlfn.TEXTAFTER(U280,"CNPJ/CPF:&lt;/strong&gt;"),"&lt;/p&gt;"))</f>
        <v/>
      </c>
      <c r="I280" s="70" t="inlineStr">
        <is>
          <t>Dúvidas sobre contrato / cobrança</t>
        </is>
      </c>
      <c r="J280" s="72" t="n"/>
      <c r="K280" s="72" t="n"/>
      <c r="L280" s="70" t="inlineStr">
        <is>
          <t>PENDENTE</t>
        </is>
      </c>
      <c r="M280" s="73" t="inlineStr">
        <is>
          <t>Médio</t>
        </is>
      </c>
      <c r="N280" s="71" t="inlineStr">
        <is>
          <t>1018 Financeiro | Desejo falar com o setor financeiro | Fernanda | fernanda.scamarneira@cielo.com.br</t>
        </is>
      </c>
      <c r="O280" s="74" t="n">
        <v>46231</v>
      </c>
      <c r="P280" s="123" t="n">
        <v>46231</v>
      </c>
      <c r="Q280" s="177">
        <f>TEXT(O280,"mmm/aaaa")</f>
        <v/>
      </c>
      <c r="R280" s="71" t="inlineStr">
        <is>
          <t>ECOMMERCE BP SUPORTE FINANCEIRO N2</t>
        </is>
      </c>
      <c r="S280" s="71" t="inlineStr">
        <is>
          <t>fernanda.scamarneira@cielo.com.br</t>
        </is>
      </c>
      <c r="T280" s="71" t="inlineStr"/>
      <c r="U280" s="129" t="inlineStr">
        <is>
          <t>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Está ativo as lojas no gateway mas ele não está sendo cobrado. 
O próprio cliente entrou em contato comigo tentando entender.
Vi que tem cadastro no billing no CNPJ mas está inativo. 
Como podemos regularizar? 
Obrigada!&lt;/p&gt;&lt;p&gt;&lt;strong&gt;GA Client ID:&lt;/strong&gt; 1403402793.1752501889&lt;/p&gt;&lt;p&gt;&lt;strong&gt;Lead Hash ID</t>
        </is>
      </c>
      <c r="V280" s="71">
        <f>IFERROR(_xlfn.TEXTBEFORE(_xlfn.TEXTAFTER(U280,"Descrição do problema:&lt;/strong"),"&lt;/p&gt;"),_xlfn.TEXTAFTER(U280,"Descrição do problema:&lt;/strong"))</f>
        <v/>
      </c>
      <c r="W280" s="76">
        <f>_xlfn.CONCAT(D280:E280)</f>
        <v/>
      </c>
      <c r="X280" s="77" t="n"/>
      <c r="Y280" s="78">
        <f>IF(X280="","Aberto","Encerrado")</f>
        <v/>
      </c>
      <c r="Z280" s="78">
        <f>IF(OR(L280="PENDENTE",L280="EM ANDAMENTO",L280="PENDENTE APROVAÇÃO CANCELAMENTO NF"),TODAY()-O280,X280-O280)</f>
        <v/>
      </c>
      <c r="AA280" s="78">
        <f>IF(Y280="Aberto",Z280+ROW()/100000,"")</f>
        <v/>
      </c>
      <c r="AB280" s="2">
        <f>IF(ISNUMBER(FIND("@cielo.com.br",S280)),"Interno","Externo")</f>
        <v/>
      </c>
      <c r="AC280" t="inlineStr">
        <is>
          <t>Consultar ou verificar faturamento, fatura ou obrigações fiscais.</t>
        </is>
      </c>
      <c r="AD280" t="inlineStr">
        <is>
          <t>não está sendo cobrado; está sem cobrança</t>
        </is>
      </c>
      <c r="AE280" t="inlineStr">
        <is>
          <t>Dúvida sobre faturamento</t>
        </is>
      </c>
      <c r="AF280" t="inlineStr">
        <is>
          <t>Parâmetro de Faturamento</t>
        </is>
      </c>
      <c r="AG280" t="inlineStr">
        <is>
          <t>Faturamento e Obrigações Fiscais</t>
        </is>
      </c>
      <c r="AI280" t="inlineStr">
        <is>
          <t>INT_FAT_DUVIDA</t>
        </is>
      </c>
      <c r="AJ280" t="inlineStr">
        <is>
          <t>Sugerida</t>
        </is>
      </c>
      <c r="AK280" t="b">
        <v>0</v>
      </c>
      <c r="AN280">
        <f>IF(OR(AG280="",AM280=""),"",IF(AG280=AM280,"SIM","NÃO"))</f>
        <v/>
      </c>
      <c r="AO280" t="inlineStr">
        <is>
          <t>CLASSIFIED_PATTERN</t>
        </is>
      </c>
    </row>
    <row r="281" ht="15.5" customHeight="1">
      <c r="A281" s="1" t="n"/>
      <c r="B281" s="67" t="inlineStr">
        <is>
          <t>Stephany Lima</t>
        </is>
      </c>
      <c r="C281" s="70">
        <f>VLOOKUP(I:I,'Referencias '!H:I,2,0)</f>
        <v/>
      </c>
      <c r="D281" s="71" t="n">
        <v>25272654</v>
      </c>
      <c r="E281" s="71" t="n">
        <v>0</v>
      </c>
      <c r="F281" s="72" t="n">
        <v>2620910712922</v>
      </c>
      <c r="G281" s="72">
        <f>VLOOKUP(H:H,'Referencias '!B:C,2,0)</f>
        <v/>
      </c>
      <c r="H281" s="72">
        <f>TRIM(_xlfn.TEXTBEFORE(_xlfn.TEXTAFTER(U281,"CNPJ/CPF:&lt;/strong&gt;"),"&lt;/p&gt;"))</f>
        <v/>
      </c>
      <c r="I281" s="70" t="inlineStr">
        <is>
          <t>Reenvio de boleto / NF</t>
        </is>
      </c>
      <c r="J281" s="72" t="n"/>
      <c r="K281" s="72" t="n"/>
      <c r="L281" s="70" t="inlineStr">
        <is>
          <t>FINALIZADO</t>
        </is>
      </c>
      <c r="M281" s="73" t="inlineStr">
        <is>
          <t>Médio</t>
        </is>
      </c>
      <c r="N281" s="71" t="inlineStr">
        <is>
          <t>1018 Financeiro | Desejo falar com o setor financeiro | João Paulo | adm.ecommerce@santuarionacional.com</t>
        </is>
      </c>
      <c r="O281" s="74" t="n">
        <v>46231</v>
      </c>
      <c r="P281" s="123" t="n">
        <v>46231</v>
      </c>
      <c r="Q281" s="177">
        <f>TEXT(O281,"mmm/aaaa")</f>
        <v/>
      </c>
      <c r="R281" s="71" t="inlineStr">
        <is>
          <t>ECOMMERCE BP SUPORTE FINANCEIRO N2</t>
        </is>
      </c>
      <c r="S281" s="71" t="inlineStr">
        <is>
          <t>adm.ecommerce@santuarionacional.com</t>
        </is>
      </c>
      <c r="T281" s="71" t="inlineStr"/>
      <c r="U281" s="129" t="inlineStr">
        <is>
          <t>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
Se for possível mandar um número de conta para depósito para agilizar o pagamento, também será uma boa opção.
At.te.&lt;/p&gt;&lt;p&gt;&lt;strong&gt;Merchant ID/Estabelecimento Comercial (EC):&lt;/strong&gt; 010301220&lt;/p&gt;&lt;p&gt;&lt;strong&gt;GA Client ID:&lt;/strong&gt; 183900941.1785243361&lt;/p&gt;&lt;p&gt;&lt;strong&gt;Lead Hash ID:&lt;/strong&gt; 71a5aa6d03caeb964324f9cde0</t>
        </is>
      </c>
      <c r="V281" s="71">
        <f>IFERROR(_xlfn.TEXTBEFORE(_xlfn.TEXTAFTER(U281,"Descrição do problema:&lt;/strong"),"&lt;/p&gt;"),_xlfn.TEXTAFTER(U281,"Descrição do problema:&lt;/strong"))</f>
        <v/>
      </c>
      <c r="W281" s="76">
        <f>_xlfn.CONCAT(D281:E281)</f>
        <v/>
      </c>
      <c r="X281" s="77" t="n">
        <v>46240</v>
      </c>
      <c r="Y281" s="78">
        <f>IF(X281="","Aberto","Encerrado")</f>
        <v/>
      </c>
      <c r="Z281" s="78">
        <f>IF(OR(L281="PENDENTE",L281="EM ANDAMENTO",L281="PENDENTE APROVAÇÃO CANCELAMENTO NF"),TODAY()-O281,X281-O281)</f>
        <v/>
      </c>
      <c r="AA281" s="78">
        <f>IF(Y281="Aberto",Z281+ROW()/100000,"")</f>
        <v/>
      </c>
      <c r="AB281" s="2">
        <f>IF(ISNUMBER(FIND("@cielo.com.br",S281)),"Interno","Externo")</f>
        <v/>
      </c>
      <c r="AC281" t="inlineStr">
        <is>
          <t>Solicitar segunda via, reenvio ou reemissão de boleto.</t>
        </is>
      </c>
      <c r="AD281" t="inlineStr">
        <is>
          <t>segunda via do boleto; preciso da segunda via; segunda via + boleto</t>
        </is>
      </c>
      <c r="AE281" t="inlineStr">
        <is>
          <t>Reenvio de boleto</t>
        </is>
      </c>
      <c r="AF281" t="inlineStr">
        <is>
          <t>Título Financeiro</t>
        </is>
      </c>
      <c r="AG281" t="inlineStr">
        <is>
          <t>Pagamentos, Boletos e Recebimentos</t>
        </is>
      </c>
      <c r="AI281" t="inlineStr">
        <is>
          <t>INT_PAG_BOLETO_REENVIO</t>
        </is>
      </c>
      <c r="AJ281" t="inlineStr">
        <is>
          <t>Sugerida</t>
        </is>
      </c>
      <c r="AK281" t="b">
        <v>0</v>
      </c>
      <c r="AN281">
        <f>IF(OR(AG281="",AM281=""),"",IF(AG281=AM281,"SIM","NÃO"))</f>
        <v/>
      </c>
      <c r="AO281" t="inlineStr">
        <is>
          <t>CLASSIFIED_PATTERN</t>
        </is>
      </c>
    </row>
    <row r="282" ht="15.5" customHeight="1">
      <c r="A282" s="1" t="n"/>
      <c r="B282" s="67" t="inlineStr">
        <is>
          <t>Emilly Maria</t>
        </is>
      </c>
      <c r="C282" s="70">
        <f>VLOOKUP(I:I,'Referencias '!H:I,2,0)</f>
        <v/>
      </c>
      <c r="D282" s="71" t="n">
        <v>25264548</v>
      </c>
      <c r="E282" s="71" t="n">
        <v>0</v>
      </c>
      <c r="F282" s="72" t="n">
        <v>2620909707808</v>
      </c>
      <c r="G282" s="72">
        <f>T282</f>
        <v/>
      </c>
      <c r="H282" s="72">
        <f>TRIM(_xlfn.TEXTBEFORE(_xlfn.TEXTAFTER(U282,"CNPJ/CPF:&lt;/strong&gt;"),"&lt;/p&gt;"))</f>
        <v/>
      </c>
      <c r="I282" s="70" t="inlineStr">
        <is>
          <t>Cancelamento de NF / reemissão</t>
        </is>
      </c>
      <c r="J282" s="72" t="n"/>
      <c r="K282" s="72" t="n"/>
      <c r="L282" s="70" t="inlineStr">
        <is>
          <t>FINALIZADO</t>
        </is>
      </c>
      <c r="M282" s="73" t="inlineStr">
        <is>
          <t>Médio</t>
        </is>
      </c>
      <c r="N282" s="71" t="inlineStr">
        <is>
          <t>1018 Financeiro | Desejo falar com o setor financeiro | LUX INVEST CAPITAL LTDA | ariane.pasilva@cielo.com.br</t>
        </is>
      </c>
      <c r="O282" s="74" t="n">
        <v>46231</v>
      </c>
      <c r="P282" s="123" t="n">
        <v>46231</v>
      </c>
      <c r="Q282" s="177">
        <f>TEXT(O282,"mmm/aaaa")</f>
        <v/>
      </c>
      <c r="R282" s="71" t="inlineStr">
        <is>
          <t>ECOMMERCE BP SUPORTE FINANCEIRO N2</t>
        </is>
      </c>
      <c r="S282" s="71" t="inlineStr">
        <is>
          <t>ariane.pasilva@cielo.com.br</t>
        </is>
      </c>
      <c r="T282" s="71" t="inlineStr"/>
      <c r="U282" s="129" t="inlineStr">
        <is>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
Por gentileza, cancelar todas as notas fiscais emitidas para o serviço Pagador.
DA comercial em anexo:
Notas para serem canceladas: 
Nº Nota Fiscal	Descrição	Valor Bruto
106420	STELO - Pagador	R$ 3.673,47
107060	STELO - Pagador	R$ 3.061,22
109019	STELO - Pagador	R$ 3.673,47
111105	STELO - Pagador	R$ 3.673,47
112839	STELO - Pagador	R$ 3.673,47
115269	STELO - Pagador	R$ 3.673,47
117057	STELO - Pagador	R$ 3.673,47
		R$ 25.102,04&lt;/p&gt;&lt;p&gt;&lt;strong&gt;ID da transação:&lt;/strong&gt; &lt;/p&gt;&lt;p&gt;&lt;strong&gt;Código do erro:&lt;/</t>
        </is>
      </c>
      <c r="V282" s="71">
        <f>IFERROR(_xlfn.TEXTBEFORE(_xlfn.TEXTAFTER(U282,"Descrição do problema:&lt;/strong"),"&lt;/p&gt;"),_xlfn.TEXTAFTER(U282,"Descrição do problema:&lt;/strong"))</f>
        <v/>
      </c>
      <c r="W282" s="76">
        <f>_xlfn.CONCAT(D282:E282)</f>
        <v/>
      </c>
      <c r="X282" s="77" t="n">
        <v>46248</v>
      </c>
      <c r="Y282" s="78">
        <f>IF(X282="","Aberto","Encerrado")</f>
        <v/>
      </c>
      <c r="Z282" s="78">
        <f>IF(OR(L282="PENDENTE",L282="EM ANDAMENTO",L282="PENDENTE APROVAÇÃO CANCELAMENTO NF"),TODAY()-O282,X282-O282)</f>
        <v/>
      </c>
      <c r="AA282" s="78">
        <f>IF(Y282="Aberto",Z282+ROW()/100000,"")</f>
        <v/>
      </c>
      <c r="AB282" s="2">
        <f>IF(ISNUMBER(FIND("@cielo.com.br",S282)),"Interno","Externo")</f>
        <v/>
      </c>
      <c r="AC282" t="inlineStr">
        <is>
          <t>Cancelar, substituir ou reemitir nota fiscal.</t>
        </is>
      </c>
      <c r="AD282" t="inlineStr">
        <is>
          <t>ACAO:CANCELAR; OBJETO:NOTA_FISCAL</t>
        </is>
      </c>
      <c r="AE282" t="inlineStr">
        <is>
          <t>Cancelamento de NF</t>
        </is>
      </c>
      <c r="AF282" t="inlineStr">
        <is>
          <t>Documento Fiscal</t>
        </is>
      </c>
      <c r="AG282" t="inlineStr">
        <is>
          <t>Cancelamento e Reemissão de Nota Fiscal</t>
        </is>
      </c>
      <c r="AI282" t="inlineStr">
        <is>
          <t>INT_NF_CANCEL_REEMISSAO</t>
        </is>
      </c>
      <c r="AJ282" t="inlineStr">
        <is>
          <t>Sugerida</t>
        </is>
      </c>
      <c r="AK282" t="b">
        <v>0</v>
      </c>
      <c r="AN282">
        <f>IF(OR(AG282="",AM282=""),"",IF(AG282=AM282,"SIM","NÃO"))</f>
        <v/>
      </c>
      <c r="AO282" t="inlineStr">
        <is>
          <t>CLASSIFIED_SIGNATURE</t>
        </is>
      </c>
    </row>
    <row r="283" ht="15.5" customHeight="1">
      <c r="A283" s="1" t="n"/>
      <c r="B283" s="67" t="inlineStr">
        <is>
          <t>Fabiana Lisboa</t>
        </is>
      </c>
      <c r="C283" s="70">
        <f>VLOOKUP(I:I,'Referencias '!H:I,2,0)</f>
        <v/>
      </c>
      <c r="D283" s="71" t="n">
        <v>25189739</v>
      </c>
      <c r="E283" s="71" t="n">
        <v>0</v>
      </c>
      <c r="F283" s="72" t="n">
        <v>2620518659166</v>
      </c>
      <c r="G283" s="72">
        <f>T283</f>
        <v/>
      </c>
      <c r="H283" s="72" t="n"/>
      <c r="I283" s="70" t="inlineStr">
        <is>
          <t>Cancelamento de contrato</t>
        </is>
      </c>
      <c r="J283" s="72" t="n"/>
      <c r="K283" s="72" t="n"/>
      <c r="L283" s="70" t="inlineStr">
        <is>
          <t>FINALIZADO</t>
        </is>
      </c>
      <c r="M283" s="73" t="inlineStr">
        <is>
          <t>Médio</t>
        </is>
      </c>
      <c r="N283" s="71" t="inlineStr">
        <is>
          <t>1003 Cancelamento de Contrato: AVATIM CHEIROS DA TERRA PATRIMONIAL E ROYALTIES LTDA</t>
        </is>
      </c>
      <c r="O283" s="74" t="n">
        <v>46227</v>
      </c>
      <c r="P283" s="123" t="n">
        <v>46231</v>
      </c>
      <c r="Q283" s="177">
        <f>TEXT(O283,"mmm/aaaa")</f>
        <v/>
      </c>
      <c r="R283" s="71" t="inlineStr">
        <is>
          <t>ECOMMERCE BP SUPORTE FINANCEIRO N2</t>
        </is>
      </c>
      <c r="S283" s="71" t="inlineStr">
        <is>
          <t>jlisboa@cielo.com.br</t>
        </is>
      </c>
      <c r="T283" s="71" t="inlineStr">
        <is>
          <t>AVATIM</t>
        </is>
      </c>
      <c r="U283" s="129" t="inlineStr">
        <is>
          <t>-json-{"CancelamentoDeContratoId":"a0UNp00001CcXA2MAN"}
- CNPJ da Conta: 19.463.221/0001-24
- Razão Social: AVATIM CHEIROS DA TERRA PATRIMONIAL E ROYALTIES LTDA
- Transações Mensais: 200
- Data do Contrato: 
- Executivo: Daniela Galon
- Motivo: Plataforma não está sendo utilizada atualmente
- Justificativa: Plataforma Olist não possui integração com BRaspag para seguir com utilização do Antifraude. 
Cliente tem interesse em ficar, retornar com eles se tivermos atualizações. 
- Tipo: Total
- Serviços: Antifraude Cybersource
- Observações: Plataforma não está sendo utilizado atualmente por falta e integração (Olist). 
- Conta SF Id: 0018Y00002mBlsmQAC</t>
        </is>
      </c>
      <c r="V283" s="71">
        <f>TRIM(_xlfn.TEXTAFTER(U283,"-json-",-1))</f>
        <v/>
      </c>
      <c r="W283" s="76">
        <f>_xlfn.CONCAT(D283:E283)</f>
        <v/>
      </c>
      <c r="X283" s="77" t="n">
        <v>46231</v>
      </c>
      <c r="Y283" s="78">
        <f>IF(X283="","Aberto","Encerrado")</f>
        <v/>
      </c>
      <c r="Z283" s="78">
        <f>IF(OR(L283="PENDENTE",L283="EM ANDAMENTO",L283="PENDENTE APROVAÇÃO CANCELAMENTO NF"),TODAY()-O283,X283-O283)</f>
        <v/>
      </c>
      <c r="AA283" s="78">
        <f>IF(Y283="Aberto",Z283+ROW()/100000,"")</f>
        <v/>
      </c>
      <c r="AB283" s="2">
        <f>IF(ISNUMBER(FIND("@cielo.com.br",S283)),"Interno","Externo")</f>
        <v/>
      </c>
      <c r="AD283" t="inlineStr"/>
      <c r="AJ283" t="inlineStr">
        <is>
          <t>Sem correspondência</t>
        </is>
      </c>
      <c r="AK283" t="b">
        <v>0</v>
      </c>
      <c r="AN283">
        <f>IF(OR(AG283="",AM283=""),"",IF(AG283=AM283,"SIM","NÃO"))</f>
        <v/>
      </c>
      <c r="AO283" t="inlineStr">
        <is>
          <t>NO_PATTERN</t>
        </is>
      </c>
    </row>
    <row r="284" ht="15.5" customHeight="1">
      <c r="A284" s="1" t="n"/>
      <c r="B284" s="67" t="inlineStr">
        <is>
          <t>Stephany Lima</t>
        </is>
      </c>
      <c r="C284" s="70">
        <f>VLOOKUP(I:I,'Referencias '!H:I,2,0)</f>
        <v/>
      </c>
      <c r="D284" s="129" t="n">
        <v>25445503</v>
      </c>
      <c r="E284" s="129" t="n">
        <v>25445188</v>
      </c>
      <c r="F284" s="126" t="inlineStr">
        <is>
          <t>2621212821090</t>
        </is>
      </c>
      <c r="G284" s="72">
        <f>T284</f>
        <v/>
      </c>
      <c r="H284" s="72" t="n"/>
      <c r="I284" s="70" t="inlineStr">
        <is>
          <t>Dúvidas sobre contrato / cobrança</t>
        </is>
      </c>
      <c r="J284" s="126" t="n"/>
      <c r="K284" s="126" t="n"/>
      <c r="L284" s="70" t="inlineStr">
        <is>
          <t>FINALIZADO</t>
        </is>
      </c>
      <c r="M284" s="73" t="inlineStr">
        <is>
          <t>Médio</t>
        </is>
      </c>
      <c r="N284" s="129" t="inlineStr">
        <is>
          <t>ERRATA: 1018 Financeiro | Desejo falar com o setor financeiro | Danilo | danilo_nunes@carrefour.com</t>
        </is>
      </c>
      <c r="O284" s="125" t="n">
        <v>46234</v>
      </c>
      <c r="P284" s="123" t="n">
        <v>46234</v>
      </c>
      <c r="Q284" s="177">
        <f>TEXT(O284,"mmm/aaaa")</f>
        <v/>
      </c>
      <c r="R284" s="129" t="inlineStr">
        <is>
          <t>ECOMMERCE BP SUPORTE FINANCEIRO N2</t>
        </is>
      </c>
      <c r="S284" s="129" t="inlineStr">
        <is>
          <t>paloma.reis@atento.com</t>
        </is>
      </c>
      <c r="T284" s="129" t="inlineStr"/>
      <c r="U284" s="129" t="n"/>
      <c r="V284" s="71">
        <f>IFERROR(_xlfn.TEXTBEFORE(_xlfn.TEXTAFTER(U284,"Descrição do problema:&lt;/strong"),"&lt;/p&gt;"),_xlfn.TEXTAFTER(U284,"Descrição do problema:&lt;/strong"))</f>
        <v/>
      </c>
      <c r="W284" s="76">
        <f>_xlfn.CONCAT(D284:E284)</f>
        <v/>
      </c>
      <c r="X284" s="77" t="n">
        <v>46240</v>
      </c>
      <c r="Y284" s="78">
        <f>IF(X284="","Aberto","Encerrado")</f>
        <v/>
      </c>
      <c r="Z284" s="78">
        <f>IF(OR(L284="PENDENTE",L284="EM ANDAMENTO",L284="PENDENTE APROVAÇÃO CANCELAMENTO NF"),TODAY()-O284,X284-O284)</f>
        <v/>
      </c>
      <c r="AA284" s="78">
        <f>IF(Y284="Aberto",Z284+ROW()/100000,"")</f>
        <v/>
      </c>
      <c r="AB284" s="2">
        <f>IF(ISNUMBER(FIND("@cielo.com.br",S284)),"Interno","Externo")</f>
        <v/>
      </c>
      <c r="AD284" t="inlineStr"/>
      <c r="AJ284" t="inlineStr">
        <is>
          <t>Sem correspondência</t>
        </is>
      </c>
      <c r="AK284" t="b">
        <v>0</v>
      </c>
      <c r="AN284">
        <f>IF(OR(AG284="",AM284=""),"",IF(AG284=AM284,"SIM","NÃO"))</f>
        <v/>
      </c>
      <c r="AO284" t="inlineStr">
        <is>
          <t>NO_PATTERN</t>
        </is>
      </c>
    </row>
    <row r="285" ht="15.5" customHeight="1">
      <c r="A285" s="1" t="n"/>
      <c r="B285" s="67" t="inlineStr">
        <is>
          <t>Pamela de Sá</t>
        </is>
      </c>
      <c r="C285" s="70">
        <f>VLOOKUP(I:I,'Referencias '!H:I,2,0)</f>
        <v/>
      </c>
      <c r="D285" s="129" t="n">
        <v>25425697</v>
      </c>
      <c r="E285" s="129" t="n">
        <v>0</v>
      </c>
      <c r="F285" s="126" t="inlineStr">
        <is>
          <t>2621209808980</t>
        </is>
      </c>
      <c r="G285" s="72">
        <f>VLOOKUP(H:H,'Referencias '!B:C,2,0)</f>
        <v/>
      </c>
      <c r="H285" s="72">
        <f>TRIM(_xlfn.TEXTBEFORE(_xlfn.TEXTAFTER(U285,"CNPJ/CPF:&lt;/strong&gt;"),"&lt;/p&gt;"))</f>
        <v/>
      </c>
      <c r="I285" s="70" t="inlineStr">
        <is>
          <t>Atualização cadastral (email)</t>
        </is>
      </c>
      <c r="J285" s="126" t="n"/>
      <c r="K285" s="126" t="n"/>
      <c r="L285" s="70" t="inlineStr">
        <is>
          <t>FINALIZADO</t>
        </is>
      </c>
      <c r="M285" s="73" t="inlineStr">
        <is>
          <t>Médio</t>
        </is>
      </c>
      <c r="N285" s="129" t="inlineStr">
        <is>
          <t>1018 Financeiro | Desejo falar com o setor financeiro | Marcelo Cunha | marcelocunha@frigelar.com.br</t>
        </is>
      </c>
      <c r="O285" s="125" t="n">
        <v>46234</v>
      </c>
      <c r="P285" s="123" t="n">
        <v>46234</v>
      </c>
      <c r="Q285" s="177">
        <f>TEXT(O285,"mmm/aaaa")</f>
        <v/>
      </c>
      <c r="R285" s="129" t="inlineStr">
        <is>
          <t>ECOMMERCE BP SUPORTE FINANCEIRO N2</t>
        </is>
      </c>
      <c r="S285" s="129" t="inlineStr">
        <is>
          <t>marcelocunha@frigelar.com.br</t>
        </is>
      </c>
      <c r="T285" s="129" t="inlineStr"/>
      <c r="U285" s="129" t="inlineStr">
        <is>
          <t>Olá, segue formulário enviado para Cielo E-commerce:&lt;p&gt;&lt;strong&gt;Qual seu nome?:&lt;/strong&gt; Marcelo Cunha&lt;/p&gt;&lt;p&gt;&lt;strong&gt;Endereço de e-mail:&lt;/strong&gt; marcelocunha@frigelar.com.br&lt;/p&gt;&lt;p&gt;&lt;strong&gt;CNPJ/CPF:&lt;/strong&gt; 92.660.406/0001-19&lt;/p&gt;&lt;p&gt;&lt;strong&gt;Telefone:&lt;/strong&gt; (51) 98494-7280&lt;/p&gt;&lt;p&gt;&lt;strong&gt;Assunto:&lt;/strong&gt; ALTERACAO E-MAIL RECEBIMENTO NF e BOLETO&lt;/p&gt;&lt;p&gt;&lt;strong&gt;Merchant ID/Estabelecimento Comercial (EC):&lt;/strong&gt; 00001100493&lt;/p&gt;&lt;p&gt;&lt;strong&gt;Sobre qual produto ou área deseja falar?:&lt;/strong&gt; Financeiro&lt;/p&gt;&lt;p&gt;&lt;strong&gt;Como podemos te ajudar?:&lt;/strong&gt; Desejo falar com o setor financeiro&lt;/p&gt;&lt;p&gt;&lt;strong&gt;Descrição do problema:&lt;/strong&gt; alterar e-mail cadastrado: ecommerce@frigelar.com.br para midia@frigelar.com.br
Para recebimento de NF e Boleto para pagamento.
FRIGELAR COMERCIO E INDUSTRIA LTDA&lt;/p&gt;&lt;p&gt;&lt;strong&gt;GA Client ID:&lt;/strong&gt; 1799915683.1785499788&lt;/p&gt;&lt;p&gt;&lt;strong&gt;Lead Hash ID:&lt;/strong&gt; c42d82075b1d072c5f6b5b9ad648249b72dd5beff3fc6fdab64266d2bdcefd96&lt;/p&gt;&lt;p&gt;&lt;strong&gt;Lead Form ID:&lt;/strong&gt; c42d82</t>
        </is>
      </c>
      <c r="V285" s="71">
        <f>IFERROR(_xlfn.TEXTBEFORE(_xlfn.TEXTAFTER(U285,"Descrição do problema:&lt;/strong"),"&lt;/p&gt;"),_xlfn.TEXTAFTER(U285,"Descrição do problema:&lt;/strong"))</f>
        <v/>
      </c>
      <c r="W285" s="76">
        <f>_xlfn.CONCAT(D285:E285)</f>
        <v/>
      </c>
      <c r="X285" s="77" t="n">
        <v>46240</v>
      </c>
      <c r="Y285" s="78">
        <f>IF(X285="","Aberto","Encerrado")</f>
        <v/>
      </c>
      <c r="Z285" s="78">
        <f>IF(OR(L285="PENDENTE",L285="EM ANDAMENTO",L285="PENDENTE APROVAÇÃO CANCELAMENTO NF"),TODAY()-O285,X285-O285)</f>
        <v/>
      </c>
      <c r="AA285" s="78">
        <f>IF(Y285="Aberto",Z285+ROW()/100000,"")</f>
        <v/>
      </c>
      <c r="AB285" s="2">
        <f>IF(ISNUMBER(FIND("@cielo.com.br",S285)),"Interno","Externo")</f>
        <v/>
      </c>
      <c r="AC285" t="inlineStr">
        <is>
          <t>Atualizar dados cadastrais, e-mail ou telefone.</t>
        </is>
      </c>
      <c r="AD285" t="inlineStr">
        <is>
          <t>alterar + email; recebimento de nf e boleto</t>
        </is>
      </c>
      <c r="AE285" t="inlineStr">
        <is>
          <t>Atualização cadastral</t>
        </is>
      </c>
      <c r="AF285" t="inlineStr">
        <is>
          <t>Contrato/Cadastro</t>
        </is>
      </c>
      <c r="AG285" t="inlineStr">
        <is>
          <t>Contratos, Comercial e Cadastro</t>
        </is>
      </c>
      <c r="AI285" t="inlineStr">
        <is>
          <t>INT_CON_CADASTRO</t>
        </is>
      </c>
      <c r="AJ285" t="inlineStr">
        <is>
          <t>Sugerida</t>
        </is>
      </c>
      <c r="AK285" t="b">
        <v>0</v>
      </c>
      <c r="AN285">
        <f>IF(OR(AG285="",AM285=""),"",IF(AG285=AM285,"SIM","NÃO"))</f>
        <v/>
      </c>
      <c r="AO285" t="inlineStr">
        <is>
          <t>CLASSIFIED_PATTERN</t>
        </is>
      </c>
    </row>
    <row r="286" ht="15.5" customHeight="1">
      <c r="A286" s="1" t="n"/>
      <c r="B286" s="67" t="inlineStr">
        <is>
          <t>Pamela de Sá</t>
        </is>
      </c>
      <c r="C286" s="70">
        <f>VLOOKUP(I:I,'Referencias '!H:I,2,0)</f>
        <v/>
      </c>
      <c r="D286" s="129" t="n">
        <v>25371036</v>
      </c>
      <c r="E286" s="129" t="n">
        <v>0</v>
      </c>
      <c r="F286" s="126" t="inlineStr">
        <is>
          <t>2621108774808</t>
        </is>
      </c>
      <c r="G286" s="72">
        <f>VLOOKUP(H:H,'Referencias '!B:C,2,0)</f>
        <v/>
      </c>
      <c r="H286" s="72">
        <f>TRIM(_xlfn.TEXTBEFORE(_xlfn.TEXTAFTER(U286,"CNPJ/CPF:&lt;/strong&gt;"),"&lt;/p&gt;"))</f>
        <v/>
      </c>
      <c r="I286" s="70" t="inlineStr">
        <is>
          <t>Atualização cadastral (email)</t>
        </is>
      </c>
      <c r="J286" s="126" t="n"/>
      <c r="K286" s="126" t="n"/>
      <c r="L286" s="70" t="inlineStr">
        <is>
          <t>FINALIZADO</t>
        </is>
      </c>
      <c r="M286" s="73" t="inlineStr">
        <is>
          <t>Médio</t>
        </is>
      </c>
      <c r="N286" s="129" t="inlineStr">
        <is>
          <t>1018 Financeiro | Desejo falar com o setor financeiro | JACKSON HENRIQUE ALVES CAETANO | jackson.caetano@jcesa.com.br</t>
        </is>
      </c>
      <c r="O286" s="125" t="n">
        <v>46233</v>
      </c>
      <c r="P286" s="123" t="n">
        <v>46233</v>
      </c>
      <c r="Q286" s="177">
        <f>TEXT(O286,"mmm/aaaa")</f>
        <v/>
      </c>
      <c r="R286" s="129" t="inlineStr">
        <is>
          <t>ECOMMERCE BP SUPORTE FINANCEIRO N2</t>
        </is>
      </c>
      <c r="S286" s="129" t="inlineStr">
        <is>
          <t>jackson.caetano@jcesa.com.br</t>
        </is>
      </c>
      <c r="T286" s="129" t="inlineStr">
        <is>
          <t>AQUABRAZIL OUTDOORS PESCA E NAUT</t>
        </is>
      </c>
      <c r="U286" s="129" t="inlineStr">
        <is>
          <t>Olá, segue formulário enviado para Cielo E-commerce:&lt;p&gt;&lt;strong&gt;Qual seu nome?:&lt;/strong&gt; JACKSON HENRIQUE ALVES CAETANO&lt;/p&gt;&lt;p&gt;&lt;strong&gt;Endereço de e-mail:&lt;/strong&gt; jackson.caetano@jcesa.com.br&lt;/p&gt;&lt;p&gt;&lt;strong&gt;CNPJ/CPF:&lt;/strong&gt; 97.533.479/0001-63&lt;/p&gt;&lt;p&gt;&lt;strong&gt;Telefone:&lt;/strong&gt; (41) 99562-8054&lt;/p&gt;&lt;p&gt;&lt;strong&gt;Assunto:&lt;/strong&gt; RETIRAR E-MAIL DO RENATO DO CADASTRO&lt;/p&gt;&lt;p&gt;&lt;strong&gt;Merchant ID/Estabelecimento Comercial (EC):&lt;/strong&gt; 2767987612 E 2771088244&lt;/p&gt;&lt;p&gt;&lt;strong&gt;Sobre qual produto ou área deseja falar?:&lt;/strong&gt; Financeiro&lt;/p&gt;&lt;p&gt;&lt;strong&gt;Como podemos te ajudar?:&lt;/strong&gt; Desejo falar com o setor financeiro&lt;/p&gt;&lt;p&gt;&lt;strong&gt;Descrição do problema:&lt;/strong&gt; Bom dia, 
Por gentileza retirar o e-mail do Renato Fiedler (rpfiedler@nordtech.com.br) de qualquer tratativa, notas e boletos, é o presidente da empresa. Direcionar somente para Pedido@toyama.com.br&lt;/p&gt;&lt;p&gt;&lt;strong&gt;GA Client ID:&lt;/strong&gt; 1104835031.1741639444&lt;/p&gt;&lt;p&gt;&lt;strong&gt;Lead Hash ID:&lt;/strong&gt; 734ff22e29cc9b8f2b8d52168a011379387ded0fbd2960</t>
        </is>
      </c>
      <c r="V286" s="71">
        <f>IFERROR(_xlfn.TEXTBEFORE(_xlfn.TEXTAFTER(U286,"Descrição do problema:&lt;/strong"),"&lt;/p&gt;"),_xlfn.TEXTAFTER(U286,"Descrição do problema:&lt;/strong"))</f>
        <v/>
      </c>
      <c r="W286" s="76">
        <f>_xlfn.CONCAT(D286:E286)</f>
        <v/>
      </c>
      <c r="X286" s="77" t="n">
        <v>46240</v>
      </c>
      <c r="Y286" s="78">
        <f>IF(X286="","Aberto","Encerrado")</f>
        <v/>
      </c>
      <c r="Z286" s="78">
        <f>IF(OR(L286="PENDENTE",L286="EM ANDAMENTO",L286="PENDENTE APROVAÇÃO CANCELAMENTO NF"),TODAY()-O286,X286-O286)</f>
        <v/>
      </c>
      <c r="AA286" s="78">
        <f>IF(Y286="Aberto",Z286+ROW()/100000,"")</f>
        <v/>
      </c>
      <c r="AB286" s="2">
        <f>IF(ISNUMBER(FIND("@cielo.com.br",S286)),"Interno","Externo")</f>
        <v/>
      </c>
      <c r="AC286" t="inlineStr">
        <is>
          <t>Atualizar dados cadastrais, e-mail ou telefone.</t>
        </is>
      </c>
      <c r="AD286" t="inlineStr">
        <is>
          <t>retirar o e-mail</t>
        </is>
      </c>
      <c r="AE286" t="inlineStr">
        <is>
          <t>Atualização cadastral</t>
        </is>
      </c>
      <c r="AF286" t="inlineStr">
        <is>
          <t>Contrato/Cadastro</t>
        </is>
      </c>
      <c r="AG286" t="inlineStr">
        <is>
          <t>Contratos, Comercial e Cadastro</t>
        </is>
      </c>
      <c r="AI286" t="inlineStr">
        <is>
          <t>INT_CON_CADASTRO</t>
        </is>
      </c>
      <c r="AJ286" t="inlineStr">
        <is>
          <t>Sugerida</t>
        </is>
      </c>
      <c r="AK286" t="b">
        <v>0</v>
      </c>
      <c r="AN286">
        <f>IF(OR(AG286="",AM286=""),"",IF(AG286=AM286,"SIM","NÃO"))</f>
        <v/>
      </c>
      <c r="AO286" t="inlineStr">
        <is>
          <t>CLASSIFIED_PATTERN</t>
        </is>
      </c>
    </row>
    <row r="287" ht="15.5" customHeight="1">
      <c r="A287" s="1" t="n"/>
      <c r="B287" s="67" t="inlineStr">
        <is>
          <t>Emilly Maria</t>
        </is>
      </c>
      <c r="C287" s="70">
        <f>VLOOKUP(I:I,'Referencias '!H:I,2,0)</f>
        <v/>
      </c>
      <c r="D287" s="71" t="n">
        <v>25363817</v>
      </c>
      <c r="E287" s="71" t="n">
        <v>0</v>
      </c>
      <c r="F287" s="126" t="inlineStr">
        <is>
          <t>2621017770360</t>
        </is>
      </c>
      <c r="G287" s="72">
        <f>T287</f>
        <v/>
      </c>
      <c r="H287" s="72">
        <f>TRIM(_xlfn.TEXTBEFORE(_xlfn.TEXTAFTER(U287,"CNPJ/CPF:&lt;/strong&gt;"),"&lt;/p&gt;"))</f>
        <v/>
      </c>
      <c r="I287" s="70" t="inlineStr">
        <is>
          <t>Dúvidas sobre cobrança</t>
        </is>
      </c>
      <c r="J287" s="72" t="n"/>
      <c r="K287" s="72" t="n"/>
      <c r="L287" s="70" t="inlineStr">
        <is>
          <t>PENDENTE</t>
        </is>
      </c>
      <c r="M287" s="73" t="inlineStr">
        <is>
          <t>Médio</t>
        </is>
      </c>
      <c r="N287" s="71" t="inlineStr">
        <is>
          <t>1018 Financeiro | Desejo falar com o setor financeiro | Amanda Oliveira | amanda.coliveira@gruposaga.com.br</t>
        </is>
      </c>
      <c r="O287" s="74" t="n">
        <v>46232</v>
      </c>
      <c r="P287" s="123" t="n">
        <v>46232</v>
      </c>
      <c r="Q287" s="177">
        <f>TEXT(O287,"mmm/aaaa")</f>
        <v/>
      </c>
      <c r="R287" s="71" t="inlineStr">
        <is>
          <t>ECOMMERCE BP SUPORTE FINANCEIRO N2</t>
        </is>
      </c>
      <c r="S287" s="71" t="inlineStr">
        <is>
          <t>amanda.coliveira@gruposaga.com.br</t>
        </is>
      </c>
      <c r="T287" s="71" t="inlineStr"/>
      <c r="U287" s="71" t="inlineStr">
        <is>
          <t xml:space="preserve">Olá, segue formulário enviado para Cielo E-commerce:&lt;p&gt;&lt;strong&gt;Qual seu nome?:&lt;/strong&gt; Amanda Oliveira&lt;/p&gt;&lt;p&gt;&lt;strong&gt;Endereço de e-mail:&lt;/strong&gt; amanda.coliveira@gruposaga.com.br&lt;/p&gt;&lt;p&gt;&lt;strong&gt;CNPJ/CPF:&lt;/strong&gt; 064.940.011-90&lt;/p&gt;&lt;p&gt;&lt;strong&gt;Telefone:&lt;/strong&gt; (61) 99946-8294&lt;/p&gt;&lt;p&gt;&lt;strong&gt;Assunto:&lt;/strong&gt; DIVERGÊNCIA DE VALORES&lt;/p&gt;&lt;p&gt;&lt;strong&gt;Merchant ID/Estabelecimento Comercial (EC):&lt;/strong&gt; 010301220&lt;/p&gt;&lt;p&gt;&lt;strong&gt;Sobre qual produto ou área deseja falar?:&lt;/strong&gt; Financeiro&lt;/p&gt;&lt;p&gt;&lt;strong&gt;Como podemos te ajudar?:&lt;/strong&gt; Desejo falar com o setor financeiro&lt;/p&gt;&lt;p&gt;&lt;strong&gt;Descrição do problema:&lt;/strong&gt; Prezados,
Identificamos divergência entre o valor do boleto e o valor da Nota Fiscal nº 0118159, emitida por esta empresa, referente à Kasa Motors LTDA (CNPJ: 05.471.879/0004-16).
Dessa forma, solicitamos, por gentileza, a atualização/correção do boleto conforme o valor correto da referida nota fiscal.
Ficamos no aguardo do envio do documento atualizado.
Atenciosamente,
Amanda </t>
        </is>
      </c>
      <c r="V287" s="71">
        <f>IFERROR(_xlfn.TEXTBEFORE(_xlfn.TEXTAFTER(U287,"Descrição do problema:&lt;/strong"),"&lt;/p&gt;"),_xlfn.TEXTAFTER(U287,"Descrição do problema:&lt;/strong"))</f>
        <v/>
      </c>
      <c r="W287" s="76">
        <f>_xlfn.CONCAT(D287:E287)</f>
        <v/>
      </c>
      <c r="X287" s="77" t="n"/>
      <c r="Y287" s="78">
        <f>IF(X287="","Aberto","Encerrado")</f>
        <v/>
      </c>
      <c r="Z287" s="78">
        <f>IF(OR(L287="PENDENTE",L287="EM ANDAMENTO",L287="PENDENTE APROVAÇÃO CANCELAMENTO NF"),TODAY()-O287,X287-O287)</f>
        <v/>
      </c>
      <c r="AA287" s="78">
        <f>IF(Y287="Aberto",Z287+ROW()/100000,"")</f>
        <v/>
      </c>
      <c r="AB287" s="2">
        <f>IF(ISNUMBER(FIND("@cielo.com.br",S287)),"Interno","Externo")</f>
        <v/>
      </c>
      <c r="AC287" t="inlineStr">
        <is>
          <t>Contestar divergência, valor ou critério de cobrança.</t>
        </is>
      </c>
      <c r="AD287" t="inlineStr">
        <is>
          <t>divergência de valores; boleto + nf + divergência</t>
        </is>
      </c>
      <c r="AE287" t="inlineStr">
        <is>
          <t>Contestação de cobrança</t>
        </is>
      </c>
      <c r="AF287" t="inlineStr">
        <is>
          <t>Valor Cobrado</t>
        </is>
      </c>
      <c r="AG287" t="inlineStr">
        <is>
          <t>Cobrança e Contestação</t>
        </is>
      </c>
      <c r="AI287" t="inlineStr">
        <is>
          <t>INT_COB_CONTESTACAO</t>
        </is>
      </c>
      <c r="AJ287" t="inlineStr">
        <is>
          <t>Sugerida</t>
        </is>
      </c>
      <c r="AK287" t="b">
        <v>0</v>
      </c>
      <c r="AN287">
        <f>IF(OR(AG287="",AM287=""),"",IF(AG287=AM287,"SIM","NÃO"))</f>
        <v/>
      </c>
      <c r="AO287" t="inlineStr">
        <is>
          <t>CLASSIFIED_PATTERN</t>
        </is>
      </c>
    </row>
    <row r="288" ht="15.5" customHeight="1">
      <c r="A288" s="1" t="n"/>
      <c r="B288" s="67" t="inlineStr">
        <is>
          <t>Pamela de Sá</t>
        </is>
      </c>
      <c r="C288" s="70">
        <f>VLOOKUP(I:I,'Referencias '!H:I,2,0)</f>
        <v/>
      </c>
      <c r="D288" s="129" t="n">
        <v>25362063</v>
      </c>
      <c r="E288" s="129" t="n">
        <v>0</v>
      </c>
      <c r="F288" s="126" t="inlineStr">
        <is>
          <t>2621017769362</t>
        </is>
      </c>
      <c r="G288" s="72">
        <f>T288</f>
        <v/>
      </c>
      <c r="H288" s="72">
        <f>TRIM(_xlfn.TEXTBEFORE(_xlfn.TEXTAFTER(U288,"CNPJ/CPF:&lt;/strong&gt;"),"&lt;/p&gt;"))</f>
        <v/>
      </c>
      <c r="I288" s="70" t="inlineStr">
        <is>
          <t>Atualização cadastral (email)</t>
        </is>
      </c>
      <c r="J288" s="126" t="n"/>
      <c r="K288" s="126" t="n"/>
      <c r="L288" s="70" t="inlineStr">
        <is>
          <t>FINALIZADO</t>
        </is>
      </c>
      <c r="M288" s="73" t="inlineStr">
        <is>
          <t>Médio</t>
        </is>
      </c>
      <c r="N288" s="129" t="inlineStr">
        <is>
          <t>1018 Financeiro | Desejo falar com o setor financeiro | Priscila | priscila.farias@momentum.com.br</t>
        </is>
      </c>
      <c r="O288" s="125" t="n">
        <v>46232</v>
      </c>
      <c r="P288" s="123" t="n">
        <v>46232</v>
      </c>
      <c r="Q288" s="177">
        <f>TEXT(O288,"mmm/aaaa")</f>
        <v/>
      </c>
      <c r="R288" s="129" t="inlineStr">
        <is>
          <t>ECOMMERCE BP SUPORTE FINANCEIRO N2</t>
        </is>
      </c>
      <c r="S288" s="129" t="inlineStr">
        <is>
          <t>priscila.farias@momentum.com.br</t>
        </is>
      </c>
      <c r="T288" s="129" t="inlineStr"/>
      <c r="U288" s="129" t="inlineStr">
        <is>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 119149 e 119020 enviadas para a empresa MOMENTUM&lt;/p&gt;&lt;p&gt;&lt;strong&gt;Merchant ID/Estabelecimento Comercial (EC):&lt;/strong&gt; Escritorio&lt;/p&gt;&lt;p&gt;&lt;strong&gt;Sobre qual produto ou área deseja falar?:&lt;/strong&gt; Financeiro&lt;/p&gt;&lt;p&gt;&lt;strong&gt;Descrição do problema:&lt;/strong&gt; Sou a nova responsável pelos pagamentos da Stelo S.A. e, por gentileza, solicito que incluam o e-mail priscila.farias@momentum.com.br para recebimento das notas, mantendo o e-mail giovannabellotto@momentum.com.br em cópia.
Aproveito para informar que temos prazos internos para o recebimento das notas fiscais dentro do mês. Nosso prazo para recebimento é até o dia 24 de todos os meses. Após essa data, peço, por gentileza, que as not</t>
        </is>
      </c>
      <c r="V288" s="71">
        <f>IFERROR(_xlfn.TEXTBEFORE(_xlfn.TEXTAFTER(U288,"Descrição do problema:&lt;/strong"),"&lt;/p&gt;"),_xlfn.TEXTAFTER(U288,"Descrição do problema:&lt;/strong"))</f>
        <v/>
      </c>
      <c r="W288" s="76">
        <f>_xlfn.CONCAT(D288:E288)</f>
        <v/>
      </c>
      <c r="X288" s="77" t="n">
        <v>46240</v>
      </c>
      <c r="Y288" s="78">
        <f>IF(X288="","Aberto","Encerrado")</f>
        <v/>
      </c>
      <c r="Z288" s="78">
        <f>IF(OR(L288="PENDENTE",L288="EM ANDAMENTO",L288="PENDENTE APROVAÇÃO CANCELAMENTO NF"),TODAY()-O288,X288-O288)</f>
        <v/>
      </c>
      <c r="AA288" s="78">
        <f>IF(Y288="Aberto",Z288+ROW()/100000,"")</f>
        <v/>
      </c>
      <c r="AB288" s="2">
        <f>IF(ISNUMBER(FIND("@cielo.com.br",S288)),"Interno","Externo")</f>
        <v/>
      </c>
      <c r="AC288" t="inlineStr">
        <is>
          <t>Alterar ou prorrogar vencimento ou prazo de pagamento.</t>
        </is>
      </c>
      <c r="AD288" t="inlineStr">
        <is>
          <t>prazo + pagamento</t>
        </is>
      </c>
      <c r="AE288" t="inlineStr">
        <is>
          <t>Alteração de vencimento</t>
        </is>
      </c>
      <c r="AF288" t="inlineStr">
        <is>
          <t>Título Financeiro</t>
        </is>
      </c>
      <c r="AG288" t="inlineStr">
        <is>
          <t>Pagamentos, Boletos e Recebimentos</t>
        </is>
      </c>
      <c r="AI288" t="inlineStr">
        <is>
          <t>INT_PAG_VENCIMENTO</t>
        </is>
      </c>
      <c r="AJ288" t="inlineStr">
        <is>
          <t>Sugerida</t>
        </is>
      </c>
      <c r="AK288" t="b">
        <v>0</v>
      </c>
      <c r="AN288">
        <f>IF(OR(AG288="",AM288=""),"",IF(AG288=AM288,"SIM","NÃO"))</f>
        <v/>
      </c>
      <c r="AO288" t="inlineStr">
        <is>
          <t>CLASSIFIED_PATTERN</t>
        </is>
      </c>
    </row>
    <row r="289" ht="15.5" customHeight="1">
      <c r="A289" s="1" t="n"/>
      <c r="B289" s="67" t="inlineStr">
        <is>
          <t>Emilly Maria</t>
        </is>
      </c>
      <c r="C289" s="70">
        <f>VLOOKUP(I:I,'Referencias '!H:I,2,0)</f>
        <v/>
      </c>
      <c r="D289" s="71" t="n">
        <v>25319444</v>
      </c>
      <c r="E289" s="71" t="n">
        <v>0</v>
      </c>
      <c r="F289" s="126" t="inlineStr">
        <is>
          <t>2621009742145</t>
        </is>
      </c>
      <c r="G289" s="72">
        <f>VLOOKUP(H:H,'Referencias '!B:C,2,0)</f>
        <v/>
      </c>
      <c r="H289" s="72">
        <f>TRIM(_xlfn.TEXTBEFORE(_xlfn.TEXTAFTER(U289,"CNPJ/CPF:&lt;/strong&gt;"),"&lt;/p&gt;"))</f>
        <v/>
      </c>
      <c r="I289" s="70" t="inlineStr">
        <is>
          <t>Cancelamento de Nota Fiscal</t>
        </is>
      </c>
      <c r="J289" s="126" t="n"/>
      <c r="K289" s="72" t="inlineStr">
        <is>
          <t>Comercial</t>
        </is>
      </c>
      <c r="L289" s="70" t="inlineStr">
        <is>
          <t>FINALIZADO</t>
        </is>
      </c>
      <c r="M289" s="73" t="inlineStr">
        <is>
          <t>Médio</t>
        </is>
      </c>
      <c r="N289" s="71" t="inlineStr">
        <is>
          <t>1018 Financeiro | Desejo falar com o setor financeiro | MAGALUPAY INSTITUICAO DE PAGAMENTO | ariane.pasilva@cielo.com.br</t>
        </is>
      </c>
      <c r="O289" s="74" t="n">
        <v>46232</v>
      </c>
      <c r="P289" s="123" t="n">
        <v>46232</v>
      </c>
      <c r="Q289" s="177">
        <f>TEXT(O289,"mmm/aaaa")</f>
        <v/>
      </c>
      <c r="R289" s="71" t="inlineStr">
        <is>
          <t>ECOMMERCE BP SUPORTE FINANCEIRO N2</t>
        </is>
      </c>
      <c r="S289" s="71" t="inlineStr">
        <is>
          <t>ariane.pasilva@cielo.com.br</t>
        </is>
      </c>
      <c r="T289" s="71" t="inlineStr"/>
      <c r="U289" s="71" t="inlineStr">
        <is>
          <t>Olá, segue formulário enviado para Cielo E-commerce:&lt;p&gt;&lt;strong&gt;Qual seu nome?:&lt;/strong&gt; MAGALUPAY INSTITUICAO DE PAGAMENTO&lt;/p&gt;&lt;p&gt;&lt;strong&gt;Endereço de e-mail:&lt;/strong&gt; ariane.pasilva@cielo.com.br&lt;/p&gt;&lt;p&gt;&lt;strong&gt;CNPJ/CPF:&lt;/strong&gt; 13.884.775/0001-19&lt;/p&gt;&lt;p&gt;&lt;strong&gt;Telefone:&lt;/strong&gt; (11) 97707-1602&lt;/p&gt;&lt;p&gt;&lt;strong&gt;Assunto:&lt;/strong&gt; Cancelamento NF&lt;/p&gt;&lt;p&gt;&lt;strong&gt;Merchant ID/Estabelecimento Comercial (EC):&lt;/strong&gt; 13884775000119&lt;/p&gt;&lt;p&gt;&lt;strong&gt;Descrição do problema:&lt;/strong&gt; Time financeiro, bom dia. Tudo bem?
Favor realizar o cancelamento | baixa, da nota fiscal: 076229. 
Sairá do centro de custo da comercial Stelo.
DA do time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t>
        </is>
      </c>
      <c r="V289" s="71">
        <f>IFERROR(_xlfn.TEXTBEFORE(_xlfn.TEXTAFTER(U289,"Descrição do problema:&lt;/strong"),"&lt;/p&gt;"),_xlfn.TEXTAFTER(U289,"Descrição do problema:&lt;/strong"))</f>
        <v/>
      </c>
      <c r="W289" s="76">
        <f>_xlfn.CONCAT(D289:E289)</f>
        <v/>
      </c>
      <c r="X289" s="77" t="n">
        <v>46248</v>
      </c>
      <c r="Y289" s="78">
        <f>IF(X289="","Aberto","Encerrado")</f>
        <v/>
      </c>
      <c r="Z289" s="78">
        <f>IF(OR(L289="PENDENTE",L289="EM ANDAMENTO",L289="PENDENTE APROVAÇÃO CANCELAMENTO NF"),TODAY()-O289,X289-O289)</f>
        <v/>
      </c>
      <c r="AA289" s="78">
        <f>IF(Y289="Aberto",Z289+ROW()/100000,"")</f>
        <v/>
      </c>
      <c r="AB289" s="2">
        <f>IF(ISNUMBER(FIND("@cielo.com.br",S289)),"Interno","Externo")</f>
        <v/>
      </c>
      <c r="AC289" t="inlineStr">
        <is>
          <t>Cancelar, substituir ou reemitir nota fiscal.</t>
        </is>
      </c>
      <c r="AD289" t="inlineStr">
        <is>
          <t>ACAO:BAIXAR; ACAO:CANCELAR; OBJETO:COBRANCA; OBJETO:NOTA_FISCAL</t>
        </is>
      </c>
      <c r="AE289" t="inlineStr">
        <is>
          <t>Cancelamento de NF</t>
        </is>
      </c>
      <c r="AF289" t="inlineStr">
        <is>
          <t>Documento Fiscal</t>
        </is>
      </c>
      <c r="AG289" t="inlineStr">
        <is>
          <t>Cancelamento e Reemissão de Nota Fiscal</t>
        </is>
      </c>
      <c r="AI289" t="inlineStr">
        <is>
          <t>INT_NF_CANCEL_REEMISSAO</t>
        </is>
      </c>
      <c r="AJ289" t="inlineStr">
        <is>
          <t>Sugerida</t>
        </is>
      </c>
      <c r="AK289" t="b">
        <v>0</v>
      </c>
      <c r="AN289">
        <f>IF(OR(AG289="",AM289=""),"",IF(AG289=AM289,"SIM","NÃO"))</f>
        <v/>
      </c>
      <c r="AO289" t="inlineStr">
        <is>
          <t>CLASSIFIED_SIGNATURE</t>
        </is>
      </c>
    </row>
    <row r="290" ht="15.5" customHeight="1">
      <c r="A290" s="1" t="n"/>
      <c r="B290" s="67" t="inlineStr">
        <is>
          <t>Stephany Lima</t>
        </is>
      </c>
      <c r="C290" s="70">
        <f>VLOOKUP(I:I,'Referencias '!H:I,2,0)</f>
        <v/>
      </c>
      <c r="D290" s="129" t="n">
        <v>25318868</v>
      </c>
      <c r="E290" s="129" t="n">
        <v>0</v>
      </c>
      <c r="F290" s="126" t="inlineStr">
        <is>
          <t>2621009741772</t>
        </is>
      </c>
      <c r="G290" s="72">
        <f>VLOOKUP(H:H,'Referencias '!B:C,2,0)</f>
        <v/>
      </c>
      <c r="H290" s="72">
        <f>TRIM(_xlfn.TEXTBEFORE(_xlfn.TEXTAFTER(U290,"CNPJ/CPF:&lt;/strong&gt;"),"&lt;/p&gt;"))</f>
        <v/>
      </c>
      <c r="I290" s="70" t="inlineStr">
        <is>
          <t>Negociação Inadimplência</t>
        </is>
      </c>
      <c r="J290" s="126" t="n"/>
      <c r="K290" s="126" t="n"/>
      <c r="L290" s="70" t="inlineStr">
        <is>
          <t>FINALIZADO</t>
        </is>
      </c>
      <c r="M290" s="73" t="inlineStr">
        <is>
          <t>Médio</t>
        </is>
      </c>
      <c r="N290" s="129" t="inlineStr">
        <is>
          <t>1018 Financeiro | Desejo falar com o setor financeiro | Arthur Jacob | ajacob@nutrado.com.br</t>
        </is>
      </c>
      <c r="O290" s="125" t="n">
        <v>46232</v>
      </c>
      <c r="P290" s="123" t="n">
        <v>46232</v>
      </c>
      <c r="Q290" s="177">
        <f>TEXT(O290,"mmm/aaaa")</f>
        <v/>
      </c>
      <c r="R290" s="129" t="inlineStr">
        <is>
          <t>ECOMMERCE BP SUPORTE FINANCEIRO N2</t>
        </is>
      </c>
      <c r="S290" s="129" t="inlineStr">
        <is>
          <t>ajacob@nutrado.com.br</t>
        </is>
      </c>
      <c r="T290" s="129" t="inlineStr">
        <is>
          <t>NUTRADO SA</t>
        </is>
      </c>
      <c r="U290" s="129" t="inlineStr">
        <is>
          <t>Olá, segue formulário enviado para Cielo E-commerce:&lt;p&gt;&lt;strong&gt;Qual seu nome?:&lt;/strong&gt; Arthur Jacob&lt;/p&gt;&lt;p&gt;&lt;strong&gt;Endereço de e-mail:&lt;/strong&gt; ajacob@nutrado.com.br&lt;/p&gt;&lt;p&gt;&lt;strong&gt;Telefone:&lt;/strong&gt; (85) 99722-2753&lt;/p&gt;&lt;p&gt;&lt;strong&gt;CNPJ/CPF:&lt;/strong&gt; 40.161.679/0001-15&lt;/p&gt;&lt;p&gt;&lt;strong&gt;Assunto:&lt;/strong&gt; Regularização&lt;/p&gt;&lt;p&gt;&lt;strong&gt;Sobre qual produto ou área deseja falar?:&lt;/strong&gt; Financeiro&lt;/p&gt;&lt;p&gt;&lt;strong&gt;Como podemos te ajudar?:&lt;/strong&gt; Desejo falar com o setor financeiro&lt;/p&gt;&lt;p&gt;&lt;strong&gt;Descrição do problema:&lt;/strong&gt; Prezados,
Bom dia.
Venho, por meio deste, solicitar gentilmente uma proposta para negociação do débito registrado junto ao Serasa Experian em nome da empresa NUTRADO INDÚSTRIA E COMÉRCIO DE COMPLEMENTOS ALIMENTARES S/A, inscrita no CNPJ 40.161.679/0001-15.
Conforme consta no registro, o débito possui o valor de R$ 29.880,98, com vencimento em 15/08/2026.
Temos interesse em regularizar essa pendência e, por esse motivo, gostaríamos de solicitar uma proposta de parcelamento,</t>
        </is>
      </c>
      <c r="V290" s="71">
        <f>IFERROR(_xlfn.TEXTBEFORE(_xlfn.TEXTAFTER(U290,"Descrição do problema:&lt;/strong"),"&lt;/p&gt;"),_xlfn.TEXTAFTER(U290,"Descrição do problema:&lt;/strong"))</f>
        <v/>
      </c>
      <c r="W290" s="76">
        <f>_xlfn.CONCAT(D290:E290)</f>
        <v/>
      </c>
      <c r="X290" s="77" t="n">
        <v>46238</v>
      </c>
      <c r="Y290" s="78">
        <f>IF(X290="","Aberto","Encerrado")</f>
        <v/>
      </c>
      <c r="Z290" s="78">
        <f>IF(OR(L290="PENDENTE",L290="EM ANDAMENTO",L290="PENDENTE APROVAÇÃO CANCELAMENTO NF"),TODAY()-O290,X290-O290)</f>
        <v/>
      </c>
      <c r="AA290" s="78">
        <f>IF(Y290="Aberto",Z290+ROW()/100000,"")</f>
        <v/>
      </c>
      <c r="AB290" s="2">
        <f>IF(ISNUMBER(FIND("@cielo.com.br",S290)),"Interno","Externo")</f>
        <v/>
      </c>
      <c r="AC290" t="inlineStr">
        <is>
          <t>Negociar dívida ou inadimplência.</t>
        </is>
      </c>
      <c r="AD290" t="inlineStr">
        <is>
          <t>proposta de parcelamento; proposta para negociação do débito</t>
        </is>
      </c>
      <c r="AE290" t="inlineStr">
        <is>
          <t>Negociação de inadimplência</t>
        </is>
      </c>
      <c r="AF290" t="inlineStr">
        <is>
          <t>Valor Cobrado</t>
        </is>
      </c>
      <c r="AG290" t="inlineStr">
        <is>
          <t>Cobrança e Contestação</t>
        </is>
      </c>
      <c r="AI290" t="inlineStr">
        <is>
          <t>INT_COB_INADIMPLENCIA</t>
        </is>
      </c>
      <c r="AJ290" t="inlineStr">
        <is>
          <t>Sugerida</t>
        </is>
      </c>
      <c r="AK290" t="b">
        <v>0</v>
      </c>
      <c r="AN290">
        <f>IF(OR(AG290="",AM290=""),"",IF(AG290=AM290,"SIM","NÃO"))</f>
        <v/>
      </c>
      <c r="AO290" t="inlineStr">
        <is>
          <t>CLASSIFIED_PATTERN</t>
        </is>
      </c>
    </row>
    <row r="291" ht="15.5" customHeight="1">
      <c r="A291" s="1" t="n"/>
      <c r="B291" s="67" t="inlineStr">
        <is>
          <t>Amanda Silva</t>
        </is>
      </c>
      <c r="C291" s="70">
        <f>VLOOKUP(I:I,'Referencias '!H:I,2,0)</f>
        <v/>
      </c>
      <c r="D291" s="71" t="n">
        <v>25591416</v>
      </c>
      <c r="E291" s="71" t="n">
        <v>0</v>
      </c>
      <c r="F291" s="126" t="inlineStr">
        <is>
          <t>2621617915054</t>
        </is>
      </c>
      <c r="G291" s="72">
        <f>VLOOKUP(H:H,'Referencias '!B:C,2,0)</f>
        <v/>
      </c>
      <c r="H291" s="72">
        <f>TRIM(_xlfn.TEXTBEFORE(_xlfn.TEXTAFTER(U291,"CNPJ/CPF:&lt;/strong&gt;"),"&lt;/p&gt;"))</f>
        <v/>
      </c>
      <c r="I291" s="70" t="inlineStr">
        <is>
          <t>Alteração de vencimento / Prorrogação / Reenvio de boleto</t>
        </is>
      </c>
      <c r="J291" s="72" t="n"/>
      <c r="K291" s="72" t="n"/>
      <c r="L291" s="70" t="inlineStr">
        <is>
          <t>FINALIZADO</t>
        </is>
      </c>
      <c r="M291" s="73" t="inlineStr">
        <is>
          <t>Médio</t>
        </is>
      </c>
      <c r="N291" s="71" t="inlineStr">
        <is>
          <t>1018 Financeiro | Desejo falar com o setor financeiro | Amanda Zabalza | amanda.zabalza@cfvila.com.br</t>
        </is>
      </c>
      <c r="O291" s="74" t="n">
        <v>46238</v>
      </c>
      <c r="P291" s="123" t="n">
        <v>46238</v>
      </c>
      <c r="Q291" s="177">
        <f>TEXT(O291,"mmm/aaaa")</f>
        <v/>
      </c>
      <c r="R291" s="71" t="inlineStr">
        <is>
          <t>ECOMMERCE BP SUPORTE FINANCEIRO N2</t>
        </is>
      </c>
      <c r="S291" s="71" t="inlineStr">
        <is>
          <t>amanda.zabalza@cfvila.com.br</t>
        </is>
      </c>
      <c r="T291" s="71" t="inlineStr"/>
      <c r="U291" s="71" t="inlineStr">
        <is>
          <t>Olá, segue formulário enviado para Cielo E-commerce:&lt;p&gt;&lt;strong&gt;Qual seu nome?:&lt;/strong&gt; Amanda Zabalza&lt;/p&gt;&lt;p&gt;&lt;strong&gt;Endereço de e-mail:&lt;/strong&gt; amanda.zabalza@cfvila.com.br&lt;/p&gt;&lt;p&gt;&lt;strong&gt;CNPJ/CPF:&lt;/strong&gt; 26.643.740/0001-30&lt;/p&gt;&lt;p&gt;&lt;strong&gt;Telefone:&lt;/strong&gt; (11) 95224-2676&lt;/p&gt;&lt;p&gt;&lt;strong&gt;Assunto:&lt;/strong&gt; Alteração data de vencimento&lt;/p&gt;&lt;p&gt;&lt;strong&gt;Merchant ID/Estabelecimento Comercial (EC):&lt;/strong&gt; 31453223894&lt;/p&gt;&lt;p&gt;&lt;strong&gt;Sobre qual produto ou área deseja falar?:&lt;/strong&gt; Financeiro&lt;/p&gt;&lt;p&gt;&lt;strong&gt;Descrição do problema:&lt;/strong&gt; Recebi um boleto no dia 29/07 para pagamento no dia 06/08.
O prazo para pagamento aqui na empresa é de 12 dias após o recebimento da NF.
Por favor podem alterar o vencimento do boleto, para dia 10/08?
Gostaria que já deixassem registrado essa informação no sistema para as próximas emissões.
Também não podemos receber notas emitidas entre os dias 25 a 31 de cadas mês, que é o fechamento contábil.
Podem por favor mudar a emissão da NF para antes do dia 25?</t>
        </is>
      </c>
      <c r="V291" s="71">
        <f>IFERROR(_xlfn.TEXTBEFORE(_xlfn.TEXTAFTER(U291,"Descrição do problema:&lt;/strong"),"&lt;/p&gt;"),_xlfn.TEXTAFTER(U291,"Descrição do problema:&lt;/strong"))</f>
        <v/>
      </c>
      <c r="W291" s="76">
        <f>_xlfn.CONCAT(D291:E291)</f>
        <v/>
      </c>
      <c r="X291" s="77">
        <f>P291</f>
        <v/>
      </c>
      <c r="Y291" s="78">
        <f>IF(X291="","Aberto","Encerrado")</f>
        <v/>
      </c>
      <c r="Z291" s="78">
        <f>IF(OR(L291="PENDENTE",L291="EM ANDAMENTO",L291="PENDENTE APROVAÇÃO CANCELAMENTO NF"),TODAY()-O291,X291-O291)</f>
        <v/>
      </c>
      <c r="AA291" s="78">
        <f>IF(Y291="Aberto",Z291+ROW()/100000,"")</f>
        <v/>
      </c>
      <c r="AB291" s="2">
        <f>IF(ISNUMBER(FIND("@cielo.com.br",S291)),"Interno","Externo")</f>
        <v/>
      </c>
      <c r="AC291" t="inlineStr">
        <is>
          <t>Alterar ou prorrogar vencimento ou prazo de pagamento.</t>
        </is>
      </c>
      <c r="AD291" t="inlineStr">
        <is>
          <t>alterar o vencimento; alterar + vencimento; alteração + vencimento; mudar + vencimento; prazo + pagamento</t>
        </is>
      </c>
      <c r="AE291" t="inlineStr">
        <is>
          <t>Alteração de vencimento</t>
        </is>
      </c>
      <c r="AF291" t="inlineStr">
        <is>
          <t>Título Financeiro</t>
        </is>
      </c>
      <c r="AG291" t="inlineStr">
        <is>
          <t>Pagamentos, Boletos e Recebimentos</t>
        </is>
      </c>
      <c r="AI291" t="inlineStr">
        <is>
          <t>INT_PAG_VENCIMENTO</t>
        </is>
      </c>
      <c r="AJ291" t="inlineStr">
        <is>
          <t>Sugerida</t>
        </is>
      </c>
      <c r="AK291" t="b">
        <v>0</v>
      </c>
      <c r="AN291">
        <f>IF(OR(AG291="",AM291=""),"",IF(AG291=AM291,"SIM","NÃO"))</f>
        <v/>
      </c>
      <c r="AO291" t="inlineStr">
        <is>
          <t>CLASSIFIED_PATTERN</t>
        </is>
      </c>
    </row>
    <row r="292" ht="15.5" customHeight="1">
      <c r="A292" s="1" t="n"/>
      <c r="B292" s="67" t="inlineStr">
        <is>
          <t>Stephany Lima</t>
        </is>
      </c>
      <c r="C292" s="70">
        <f>VLOOKUP(I:I,'Referencias '!H:I,2,0)</f>
        <v/>
      </c>
      <c r="D292" s="129" t="n">
        <v>25421213</v>
      </c>
      <c r="E292" s="71" t="n">
        <v>0</v>
      </c>
      <c r="F292" s="72" t="n">
        <v>2621120805751</v>
      </c>
      <c r="G292" s="72">
        <f>T292</f>
        <v/>
      </c>
      <c r="H292" s="72" t="n"/>
      <c r="I292" s="70" t="inlineStr">
        <is>
          <t>Contestação de cobrança</t>
        </is>
      </c>
      <c r="J292" s="72" t="n"/>
      <c r="K292" s="72" t="n"/>
      <c r="L292" s="122" t="inlineStr">
        <is>
          <t>EM ANDAMENTO</t>
        </is>
      </c>
      <c r="M292" s="73" t="inlineStr">
        <is>
          <t>Médio</t>
        </is>
      </c>
      <c r="N292" s="71" t="inlineStr">
        <is>
          <t>1018 Financeiro | Desejo falar com o setor financeiro | Danilo | danilo_nunes@carrefour.com</t>
        </is>
      </c>
      <c r="O292" s="74" t="n">
        <v>46233</v>
      </c>
      <c r="P292" s="123" t="n">
        <v>46239</v>
      </c>
      <c r="Q292" s="177">
        <f>TEXT(O292,"mmm/aaaa")</f>
        <v/>
      </c>
      <c r="R292" s="71" t="inlineStr">
        <is>
          <t>ECOMMERCE BP SUPORTE FINANCEIRO N2</t>
        </is>
      </c>
      <c r="S292" s="71" t="inlineStr">
        <is>
          <t>danilo_nunes@carrefour.com</t>
        </is>
      </c>
      <c r="T292" s="71" t="inlineStr"/>
      <c r="U292" s="71" t="inlineStr">
        <is>
          <t>Olá, segue formulário enviado para Cielo E-commerce:&lt;p&gt;&lt;strong&gt;Qual seu nome?:&lt;/strong&gt; Danilo&lt;/p&gt;&lt;p&gt;&lt;strong&gt;Endereço de e-mail:&lt;/strong&gt; danilo_nunes@carrefour.com&lt;/p&gt;&lt;p&gt;&lt;strong&gt;Telefone:&lt;/strong&gt; (11) 96363-2779&lt;/p&gt;&lt;p&gt;&lt;strong&gt;Merchant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Solicito o apoio do time Financeiro para análise do faturamento referente ao ciclo 26/06/2026 a 25/07/2026.
Identificamos divergências relacionadas à quantidade de transações de estorno e à tarifa do pagador aplicada no faturamento.
Faturamento apresentado pela Braspag
Transações	Tarifa
178.300	0,1542
25.469	0,1542
Referência: E-mail &amp;quot;EXTRATO - BRASPAG / STELO - CARREFOUR COMERCIO E INDUSTRIA LTDA - 07/2026&amp;quot;.
Faturamento apurado pelo Carrefour
Transa</t>
        </is>
      </c>
      <c r="V292" s="71">
        <f>IFERROR(_xlfn.TEXTBEFORE(_xlfn.TEXTAFTER(U292,"Descrição do problema:&lt;/strong"),"&lt;/p&gt;"),_xlfn.TEXTAFTER(U292,"Descrição do problema:&lt;/strong"))</f>
        <v/>
      </c>
      <c r="W292" s="76">
        <f>_xlfn.CONCAT(D292:E292)</f>
        <v/>
      </c>
      <c r="X292" s="77" t="n"/>
      <c r="Y292" s="78">
        <f>IF(X292="","Aberto","Encerrado")</f>
        <v/>
      </c>
      <c r="Z292" s="78">
        <f>IF(OR(L292="PENDENTE",L292="EM ANDAMENTO",L292="PENDENTE APROVAÇÃO CANCELAMENTO NF"),TODAY()-O292,X292-O292)</f>
        <v/>
      </c>
      <c r="AA292" s="78">
        <f>IF(Y292="Aberto",Z292+ROW()/100000,"")</f>
        <v/>
      </c>
      <c r="AB292" s="2">
        <f>IF(ISNUMBER(FIND("@cielo.com.br",S292)),"Interno","Externo")</f>
        <v/>
      </c>
      <c r="AC292" t="inlineStr">
        <is>
          <t>Solicitar estorno ou devolução de cobrança.</t>
        </is>
      </c>
      <c r="AD292" t="inlineStr">
        <is>
          <t>ACAO:ESTORNAR; OBJETO:COBRANCA</t>
        </is>
      </c>
      <c r="AE292" t="inlineStr">
        <is>
          <t>Estorno de cobrança</t>
        </is>
      </c>
      <c r="AF292" t="inlineStr">
        <is>
          <t>Valor Cobrado</t>
        </is>
      </c>
      <c r="AG292" t="inlineStr">
        <is>
          <t>Cobrança e Contestação</t>
        </is>
      </c>
      <c r="AI292" t="inlineStr">
        <is>
          <t>INT_COB_ESTORNO</t>
        </is>
      </c>
      <c r="AJ292" t="inlineStr">
        <is>
          <t>Sugerida</t>
        </is>
      </c>
      <c r="AK292" t="b">
        <v>0</v>
      </c>
      <c r="AN292">
        <f>IF(OR(AG292="",AM292=""),"",IF(AG292=AM292,"SIM","NÃO"))</f>
        <v/>
      </c>
      <c r="AO292" t="inlineStr">
        <is>
          <t>CLASSIFIED_SIGNATURE</t>
        </is>
      </c>
    </row>
    <row r="293" ht="15.5" customHeight="1">
      <c r="A293" s="1" t="n"/>
      <c r="B293" s="67" t="inlineStr">
        <is>
          <t>Amanda Silva</t>
        </is>
      </c>
      <c r="C293" s="70">
        <f>VLOOKUP(I:I,'Referencias '!H:I,2,0)</f>
        <v/>
      </c>
      <c r="D293" s="71" t="n">
        <v>25578004</v>
      </c>
      <c r="E293" s="71" t="n">
        <v>0</v>
      </c>
      <c r="F293" s="126" t="inlineStr">
        <is>
          <t>2621615906618</t>
        </is>
      </c>
      <c r="G293" s="72">
        <f>VLOOKUP(H:H,'Referencias '!B:C,2,0)</f>
        <v/>
      </c>
      <c r="H293" s="72">
        <f>TRIM(_xlfn.TEXTBEFORE(_xlfn.TEXTAFTER(U293,"CNPJ/CPF:&lt;/strong&gt;"),"&lt;/p&gt;"))</f>
        <v/>
      </c>
      <c r="I293" s="70" t="inlineStr">
        <is>
          <t>Cancelamento de Nota Fiscal</t>
        </is>
      </c>
      <c r="J293" s="72" t="n"/>
      <c r="K293" s="72" t="inlineStr">
        <is>
          <t>Comercial</t>
        </is>
      </c>
      <c r="L293" s="122" t="inlineStr">
        <is>
          <t>FINALIZADO</t>
        </is>
      </c>
      <c r="M293" s="73" t="inlineStr">
        <is>
          <t>Alta</t>
        </is>
      </c>
      <c r="N293" s="71" t="inlineStr">
        <is>
          <t>1018 Financeiro | Desejo falar com o setor financeiro | CENTRO CULTURAL AFRORIO | ariane.pasilva@cielo.com.br</t>
        </is>
      </c>
      <c r="O293" s="74" t="n">
        <v>46238</v>
      </c>
      <c r="P293" s="123" t="n">
        <v>46238</v>
      </c>
      <c r="Q293" s="177">
        <f>TEXT(O293,"mmm/aaaa")</f>
        <v/>
      </c>
      <c r="R293" s="71" t="inlineStr">
        <is>
          <t>ECOMMERCE BP SUPORTE FINANCEIRO N2</t>
        </is>
      </c>
      <c r="S293" s="71" t="inlineStr">
        <is>
          <t>ariane.pasilva@cielo.com.br</t>
        </is>
      </c>
      <c r="T293" s="71" t="inlineStr"/>
      <c r="U293" s="71" t="inlineStr">
        <is>
          <t>Olá, segue formulário enviado para Cielo E-commerce:&lt;p&gt;&lt;strong&gt;Qual seu nome?:&lt;/strong&gt; CENTRO CULTURAL AFRORIO&lt;/p&gt;&lt;p&gt;&lt;strong&gt;Endereço de e-mail:&lt;/strong&gt; ariane.pasilva@cielo.com.br&lt;/p&gt;&lt;p&gt;&lt;strong&gt;CNPJ/CPF:&lt;/strong&gt; 11.697.918/0001-58&lt;/p&gt;&lt;p&gt;&lt;strong&gt;Telefone:&lt;/strong&gt; (11) 97707-1602&lt;/p&gt;&lt;p&gt;&lt;strong&gt;Assunto:&lt;/strong&gt; Cancelamento NFs&lt;/p&gt;&lt;p&gt;&lt;strong&gt;Merchant ID/Estabelecimento Comercial (EC):&lt;/strong&gt; 11.697.918/0001-58.&lt;/p&gt;&lt;p&gt;&lt;strong&gt;Descrição do problema:&lt;/strong&gt; Prezados, boa tarde. Favor realizar o cancelamento de todas as notas fiscais.
Inclusive não emitir nota fiscal referente a multa, se emitirmos o DA já consta para cancelamento delas também.&lt;/p&gt;&lt;p&gt;&lt;strong&gt;ID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t>
        </is>
      </c>
      <c r="V293" s="71">
        <f>IFERROR(_xlfn.TEXTBEFORE(_xlfn.TEXTAFTER(U293,"Descrição do problema:&lt;/strong"),"&lt;/p&gt;"),_xlfn.TEXTAFTER(U293,"Descrição do problema:&lt;/strong"))</f>
        <v/>
      </c>
      <c r="W293" s="76">
        <f>_xlfn.CONCAT(D293:E293)</f>
        <v/>
      </c>
      <c r="X293" s="77" t="n"/>
      <c r="Y293" s="78">
        <f>IF(X293="","Aberto","Encerrado")</f>
        <v/>
      </c>
      <c r="Z293" s="78">
        <f>IF(OR(L293="PENDENTE",L293="EM ANDAMENTO",L293="PENDENTE APROVAÇÃO CANCELAMENTO NF"),TODAY()-O293,X293-O293)</f>
        <v/>
      </c>
      <c r="AA293" s="78">
        <f>IF(Y293="Aberto",Z293+ROW()/100000,"")</f>
        <v/>
      </c>
      <c r="AB293" s="2">
        <f>IF(ISNUMBER(FIND("@cielo.com.br",S293)),"Interno","Externo")</f>
        <v/>
      </c>
      <c r="AC293" t="inlineStr">
        <is>
          <t>Cancelar, substituir ou reemitir nota fiscal.</t>
        </is>
      </c>
      <c r="AD293" t="inlineStr">
        <is>
          <t>ACAO:CANCELAR; OBJETO:NOTA_FISCAL</t>
        </is>
      </c>
      <c r="AE293" t="inlineStr">
        <is>
          <t>Cancelamento de NF</t>
        </is>
      </c>
      <c r="AF293" t="inlineStr">
        <is>
          <t>Documento Fiscal</t>
        </is>
      </c>
      <c r="AG293" t="inlineStr">
        <is>
          <t>Cancelamento e Reemissão de Nota Fiscal</t>
        </is>
      </c>
      <c r="AI293" t="inlineStr">
        <is>
          <t>INT_NF_CANCEL_REEMISSAO</t>
        </is>
      </c>
      <c r="AJ293" t="inlineStr">
        <is>
          <t>Sugerida</t>
        </is>
      </c>
      <c r="AK293" t="b">
        <v>0</v>
      </c>
      <c r="AN293">
        <f>IF(OR(AG293="",AM293=""),"",IF(AG293=AM293,"SIM","NÃO"))</f>
        <v/>
      </c>
      <c r="AO293" t="inlineStr">
        <is>
          <t>CLASSIFIED_SIGNATURE</t>
        </is>
      </c>
    </row>
    <row r="294" ht="15.5" customHeight="1">
      <c r="A294" s="1" t="n"/>
      <c r="B294" s="67" t="inlineStr">
        <is>
          <t>Emilly Maria</t>
        </is>
      </c>
      <c r="C294" s="70">
        <f>VLOOKUP(I:I,'Referencias '!H:I,2,0)</f>
        <v/>
      </c>
      <c r="D294" s="129" t="n">
        <v>25577329</v>
      </c>
      <c r="E294" s="71" t="n">
        <v>0</v>
      </c>
      <c r="F294" s="126" t="inlineStr">
        <is>
          <t>2621615906210</t>
        </is>
      </c>
      <c r="G294" s="72">
        <f>T294</f>
        <v/>
      </c>
      <c r="H294" s="72">
        <f>TRIM(_xlfn.TEXTBEFORE(_xlfn.TEXTAFTER(U294,"CNPJ/CPF:&lt;/strong&gt;"),"&lt;/p&gt;"))</f>
        <v/>
      </c>
      <c r="I294" s="70" t="inlineStr">
        <is>
          <t>Cancelamento de Nota Fiscal / Reemissão</t>
        </is>
      </c>
      <c r="J294" s="72" t="n"/>
      <c r="K294" s="72" t="inlineStr">
        <is>
          <t>Comercial</t>
        </is>
      </c>
      <c r="L294" s="122" t="inlineStr">
        <is>
          <t>PENDENTE</t>
        </is>
      </c>
      <c r="M294" s="73" t="inlineStr">
        <is>
          <t>Médio</t>
        </is>
      </c>
      <c r="N294" s="71" t="inlineStr">
        <is>
          <t>1018 Financeiro | Desejo falar com o setor financeiro | DBDC - Distribuidora Brasileira de Cosméticos e Participações LTDA | ariane.pasilva@cielo.com.br</t>
        </is>
      </c>
      <c r="O294" s="74" t="n">
        <v>46238</v>
      </c>
      <c r="P294" s="123" t="n">
        <v>46238</v>
      </c>
      <c r="Q294" s="177">
        <f>TEXT(O294,"mmm/aaaa")</f>
        <v/>
      </c>
      <c r="R294" s="71" t="inlineStr">
        <is>
          <t>ECOMMERCE BP SUPORTE FINANCEIRO N2</t>
        </is>
      </c>
      <c r="S294" s="71" t="inlineStr">
        <is>
          <t>ariane.pasilva@cielo.com.br</t>
        </is>
      </c>
      <c r="T294" s="71" t="inlineStr">
        <is>
          <t>DBDCDISTRIBUIDORA BRASILEIRA DE COSMETICOS E PARTICIPACOES EIRELI</t>
        </is>
      </c>
      <c r="U294" s="71" t="inlineStr">
        <is>
          <t>Olá, segue formulário enviado para Cielo E-commerce:&lt;p&gt;&lt;strong&gt;Qual seu nome?:&lt;/strong&gt; DBDC - Distribuidora Brasileira de Cosméticos e Participações LTDA&lt;/p&gt;&lt;p&gt;&lt;strong&gt;Endereço de e-mail:&lt;/strong&gt; ariane.pasilva@cielo.com.br&lt;/p&gt;&lt;p&gt;&lt;strong&gt;CNPJ/CPF:&lt;/strong&gt; 36.148.685/0001-65&lt;/p&gt;&lt;p&gt;&lt;strong&gt;Telefone:&lt;/strong&gt; (11) 97707-1602&lt;/p&gt;&lt;p&gt;&lt;strong&gt;Assunto:&lt;/strong&gt; Cancelamento NFs&lt;/p&gt;&lt;p&gt;&lt;strong&gt;Merchant ID/Estabelecimento Comercial (EC):&lt;/strong&gt; 36.148.685/0001-65&lt;/p&gt;&lt;p&gt;&lt;strong&gt;Descrição do problema:&lt;/strong&gt; Prezados, boa tarde. Favor cancelar a NF emitida para o cliente: DBDC - Distribuidora Brasileira de Cosméticos e Participações LTDA - CNPJ: 36.148.685/0001-65.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
        </is>
      </c>
      <c r="V294" s="71">
        <f>IFERROR(_xlfn.TEXTBEFORE(_xlfn.TEXTAFTER(U294,"Descrição do problema:&lt;/strong"),"&lt;/p&gt;"),_xlfn.TEXTAFTER(U294,"Descrição do problema:&lt;/strong"))</f>
        <v/>
      </c>
      <c r="W294" s="76">
        <f>_xlfn.CONCAT(D294:E294)</f>
        <v/>
      </c>
      <c r="X294" s="77" t="n"/>
      <c r="Y294" s="78">
        <f>IF(X294="","Aberto","Encerrado")</f>
        <v/>
      </c>
      <c r="Z294" s="78">
        <f>IF(OR(L294="PENDENTE",L294="EM ANDAMENTO",L294="PENDENTE APROVAÇÃO CANCELAMENTO NF"),TODAY()-O294,X294-O294)</f>
        <v/>
      </c>
      <c r="AA294" s="78">
        <f>IF(Y294="Aberto",Z294+ROW()/100000,"")</f>
        <v/>
      </c>
      <c r="AB294" s="2">
        <f>IF(ISNUMBER(FIND("@cielo.com.br",S294)),"Interno","Externo")</f>
        <v/>
      </c>
      <c r="AC294" t="inlineStr">
        <is>
          <t>Cancelar, substituir ou reemitir nota fiscal.</t>
        </is>
      </c>
      <c r="AD294" t="inlineStr">
        <is>
          <t>ACAO:CANCELAR; OBJETO:NOTA_FISCAL</t>
        </is>
      </c>
      <c r="AE294" t="inlineStr">
        <is>
          <t>Cancelamento de NF</t>
        </is>
      </c>
      <c r="AF294" t="inlineStr">
        <is>
          <t>Documento Fiscal</t>
        </is>
      </c>
      <c r="AG294" t="inlineStr">
        <is>
          <t>Cancelamento e Reemissão de Nota Fiscal</t>
        </is>
      </c>
      <c r="AI294" t="inlineStr">
        <is>
          <t>INT_NF_CANCEL_REEMISSAO</t>
        </is>
      </c>
      <c r="AJ294" t="inlineStr">
        <is>
          <t>Sugerida</t>
        </is>
      </c>
      <c r="AK294" t="b">
        <v>0</v>
      </c>
      <c r="AN294">
        <f>IF(OR(AG294="",AM294=""),"",IF(AG294=AM294,"SIM","NÃO"))</f>
        <v/>
      </c>
      <c r="AO294" t="inlineStr">
        <is>
          <t>CLASSIFIED_SIGNATURE</t>
        </is>
      </c>
    </row>
    <row r="295" ht="15.5" customHeight="1">
      <c r="A295" s="1" t="n"/>
      <c r="B295" s="67" t="inlineStr">
        <is>
          <t>Stephany Lima</t>
        </is>
      </c>
      <c r="C295" s="70">
        <f>VLOOKUP(I:I,'Referencias '!H:I,2,0)</f>
        <v/>
      </c>
      <c r="D295" s="129" t="n">
        <v>25551256</v>
      </c>
      <c r="E295" s="71" t="n">
        <v>0</v>
      </c>
      <c r="F295" s="126" t="inlineStr">
        <is>
          <t>2621610889860</t>
        </is>
      </c>
      <c r="G295" s="72">
        <f>T295</f>
        <v/>
      </c>
      <c r="H295" s="72">
        <f>TRIM(_xlfn.TEXTBEFORE(_xlfn.TEXTAFTER(U295,"CNPJ/CPF:&lt;/strong&gt;"),"&lt;/p&gt;"))</f>
        <v/>
      </c>
      <c r="I295" s="70" t="inlineStr">
        <is>
          <t>Dúvidas sobre cobrança</t>
        </is>
      </c>
      <c r="J295" s="72" t="n"/>
      <c r="K295" s="72" t="n"/>
      <c r="L295" s="70" t="inlineStr">
        <is>
          <t>FINALIZADO</t>
        </is>
      </c>
      <c r="M295" s="73" t="inlineStr">
        <is>
          <t>Médio</t>
        </is>
      </c>
      <c r="N295" s="71" t="inlineStr">
        <is>
          <t>1018 Financeiro | Desejo falar com o setor financeiro | Eduardo Loesch | eloesch@piccadilly.com.br</t>
        </is>
      </c>
      <c r="O295" s="74" t="n">
        <v>46238</v>
      </c>
      <c r="P295" s="123" t="n">
        <v>46238</v>
      </c>
      <c r="Q295" s="177">
        <f>TEXT(O295,"mmm/aaaa")</f>
        <v/>
      </c>
      <c r="R295" s="71" t="inlineStr">
        <is>
          <t>ECOMMERCE BP SUPORTE FINANCEIRO N2</t>
        </is>
      </c>
      <c r="S295" s="71" t="inlineStr">
        <is>
          <t>eloesch@piccadilly.com.br</t>
        </is>
      </c>
      <c r="T295" s="71" t="inlineStr"/>
      <c r="U295" s="71" t="inlineStr">
        <is>
          <t>Olá, segue formulário enviado para Cielo E-commerce:&lt;p&gt;&lt;strong&gt;Descrição do problema:&lt;/strong&gt; Recebemos um aviso de Serasa, ele se refere a NF e contrato 081764 com vencimento em 24/12/2024.
Nosso CNPJ no aviso: 97.755.177/0001-30 - A Grings SA
CNPJ credora: 14.625.224/0001-01 - Stelo SA Braspag
Desconhecemos essa cobrança, precisamos de um retorno urgente sobre esse assunto, do que se trata e o motivo da negativação.
Solicito urgência na resposta, uma vez que já estamos negativados.&lt;/p&gt;&lt;p&gt;&lt;strong&gt;Sobre qual produto ou área deseja falar?:&lt;/strong&gt; Financeiro&lt;/p&gt;&lt;p&gt;&lt;strong&gt;Qual seu nome?:&lt;/strong&gt; Eduardo Loesch&lt;/p&gt;&lt;p&gt;&lt;strong&gt;Endereço de e-mail:&lt;/strong&gt; eloesch@piccadilly.com.br&lt;/p&gt;&lt;p&gt;&lt;strong&gt;CNPJ/CPF:&lt;/strong&gt; 97.755.177/0001-30&lt;/p&gt;&lt;p&gt;&lt;strong&gt;Telefone:&lt;/strong&gt; (54) 99945-7180&lt;/p&gt;&lt;p&gt;&lt;strong&gt;Assunto:&lt;/strong&gt; Aviso de Serasa - Urgente&lt;/p&gt;&lt;p&gt;&lt;strong&gt;Merchant ID/Estabelecimento Comercial (EC):&lt;/strong&gt; 97755177000130&lt;/p&gt;&lt;p&gt;&lt;strong&gt;Como podemos te ajudar?:&lt;/strong&gt; Desejo falar com o set</t>
        </is>
      </c>
      <c r="V295" s="71">
        <f>IFERROR(_xlfn.TEXTBEFORE(_xlfn.TEXTAFTER(U295,"Descrição do problema:&lt;/strong"),"&lt;/p&gt;"),_xlfn.TEXTAFTER(U295,"Descrição do problema:&lt;/strong"))</f>
        <v/>
      </c>
      <c r="W295" s="76">
        <f>_xlfn.CONCAT(D295:E295)</f>
        <v/>
      </c>
      <c r="X295" s="77">
        <f>P295</f>
        <v/>
      </c>
      <c r="Y295" s="78">
        <f>IF(X295="","Aberto","Encerrado")</f>
        <v/>
      </c>
      <c r="Z295" s="78">
        <f>IF(OR(L295="PENDENTE",L295="EM ANDAMENTO",L295="PENDENTE APROVAÇÃO CANCELAMENTO NF"),TODAY()-O295,X295-O295)</f>
        <v/>
      </c>
      <c r="AA295" s="78">
        <f>IF(Y295="Aberto",Z295+ROW()/100000,"")</f>
        <v/>
      </c>
      <c r="AB295" s="2">
        <f>IF(ISNUMBER(FIND("@cielo.com.br",S295)),"Interno","Externo")</f>
        <v/>
      </c>
      <c r="AD295" t="inlineStr"/>
      <c r="AJ295" t="inlineStr">
        <is>
          <t>Sem correspondência</t>
        </is>
      </c>
      <c r="AK295" t="b">
        <v>0</v>
      </c>
      <c r="AN295">
        <f>IF(OR(AG295="",AM295=""),"",IF(AG295=AM295,"SIM","NÃO"))</f>
        <v/>
      </c>
      <c r="AO295" t="inlineStr">
        <is>
          <t>NO_PATTERN</t>
        </is>
      </c>
    </row>
    <row r="296" ht="15.5" customHeight="1">
      <c r="A296" s="1" t="n"/>
      <c r="B296" s="67" t="inlineStr">
        <is>
          <t>Amanda Silva</t>
        </is>
      </c>
      <c r="C296" s="70">
        <f>VLOOKUP(I:I,'Referencias '!H:I,2,0)</f>
        <v/>
      </c>
      <c r="D296" s="71" t="n">
        <v>25549020</v>
      </c>
      <c r="E296" s="71" t="n">
        <v>0</v>
      </c>
      <c r="F296" s="126" t="inlineStr">
        <is>
          <t>2621610888473</t>
        </is>
      </c>
      <c r="G296" s="72">
        <f>T296</f>
        <v/>
      </c>
      <c r="H296" s="72">
        <f>TRIM(_xlfn.TEXTBEFORE(_xlfn.TEXTAFTER(U296,"CNPJ/CPF:&lt;/strong&gt;"),"&lt;/p&gt;"))</f>
        <v/>
      </c>
      <c r="I296" s="70" t="inlineStr">
        <is>
          <t>Falha do repasse seller</t>
        </is>
      </c>
      <c r="J296" s="72" t="n"/>
      <c r="K296" s="72" t="n"/>
      <c r="L296" s="122" t="inlineStr">
        <is>
          <t>FINALIZADO</t>
        </is>
      </c>
      <c r="M296" s="73" t="inlineStr">
        <is>
          <t>Médio</t>
        </is>
      </c>
      <c r="N296" s="71" t="inlineStr">
        <is>
          <t>1018 Financeiro | Desejo falar com o setor financeiro | Franciane dos Santos Pereira | contato@sejmillionspay.com</t>
        </is>
      </c>
      <c r="O296" s="74" t="n">
        <v>46238</v>
      </c>
      <c r="P296" s="123" t="n">
        <v>46238</v>
      </c>
      <c r="Q296" s="177">
        <f>TEXT(O296,"mmm/aaaa")</f>
        <v/>
      </c>
      <c r="R296" s="71" t="inlineStr">
        <is>
          <t>ECOMMERCE BP SUPORTE FINANCEIRO N2</t>
        </is>
      </c>
      <c r="S296" s="71" t="inlineStr">
        <is>
          <t>contato@sejmillionspay.com</t>
        </is>
      </c>
      <c r="T296" s="71" t="inlineStr">
        <is>
          <t>MILLIONS PAY INTERMEDIADORA DE P</t>
        </is>
      </c>
      <c r="U296" s="71" t="inlineStr">
        <is>
          <t>Olá, segue formulário enviado para Cielo E-commerce:&lt;p&gt;&lt;strong&gt;Qual seu nome?:&lt;/strong&gt; Franciane dos Santos Pereira&lt;/p&gt;&lt;p&gt;&lt;strong&gt;Endereço de e-mail:&lt;/strong&gt; contato@sejmillionspay.com&lt;/p&gt;&lt;p&gt;&lt;strong&gt;Telefone:&lt;/strong&gt; (41) 99949-6152&lt;/p&gt;&lt;p&gt;&lt;strong&gt;Assunto:&lt;/strong&gt; erro no processamento do repasse&lt;/p&gt;&lt;p&gt;&lt;strong&gt;CNPJ/CPF:&lt;/strong&gt; 56.002.183/0001-39&lt;/p&gt;&lt;p&gt;&lt;strong&gt;Merchant ID/Estabelecimento Comercial (EC):&lt;/strong&gt; 6e05ee60-fb40-4cff-b5fa-b9b358079b88&lt;/p&gt;&lt;p&gt;&lt;strong&gt;Sobre qual produto ou área deseja falar?:&lt;/strong&gt; Financeiro&lt;/p&gt;&lt;p&gt;&lt;strong&gt;Como podemos te ajudar?:&lt;/strong&gt; Desejo falar com o setor financeiro&lt;/p&gt;&lt;p&gt;&lt;strong&gt;Descrição do problema:&lt;/strong&gt; Olá, preciso de ajuda com esse seller a transação de saque dele retornou assim. Porem as anteriores deram certo o repasse.&lt;/p&gt;&lt;p&gt;&lt;strong&gt;ID da transação:&lt;/strong&gt; d7ba8f2b-e950-44b8-b404-61389dcbf1e8&lt;/p&gt;&lt;p&gt;&lt;strong&gt;Data e hora do erro:&lt;/strong&gt; 02-08-2026 10:28&lt;/p&gt;&lt;p&gt;&lt;strong&gt;GA Client ID:&lt;/strong&gt; 2090772583.1778623540&lt;/p&gt;&lt;p&gt;&lt;strong&gt;Lea</t>
        </is>
      </c>
      <c r="V296" s="71">
        <f>IFERROR(_xlfn.TEXTBEFORE(_xlfn.TEXTAFTER(U296,"Descrição do problema:&lt;/strong"),"&lt;/p&gt;"),_xlfn.TEXTAFTER(U296,"Descrição do problema:&lt;/strong"))</f>
        <v/>
      </c>
      <c r="W296" s="76">
        <f>_xlfn.CONCAT(D296:E296)</f>
        <v/>
      </c>
      <c r="X296" s="77">
        <f>P296</f>
        <v/>
      </c>
      <c r="Y296" s="78">
        <f>IF(X296="","Aberto","Encerrado")</f>
        <v/>
      </c>
      <c r="Z296" s="78">
        <f>IF(OR(L296="PENDENTE",L296="EM ANDAMENTO",L296="PENDENTE APROVAÇÃO CANCELAMENTO NF"),TODAY()-O296,X296-O296)</f>
        <v/>
      </c>
      <c r="AA296" s="78">
        <f>IF(Y296="Aberto",Z296+ROW()/100000,"")</f>
        <v/>
      </c>
      <c r="AB296" s="2">
        <f>IF(ISNUMBER(FIND("@cielo.com.br",S296)),"Interno","Externo")</f>
        <v/>
      </c>
      <c r="AC296" t="inlineStr">
        <is>
          <t>Consultar pagamentos, débitos, pendências ou recebíveis.</t>
        </is>
      </c>
      <c r="AD296" t="inlineStr">
        <is>
          <t>erro no processamento do repasse; transação de saque</t>
        </is>
      </c>
      <c r="AE296" t="inlineStr">
        <is>
          <t>Consulta financeira</t>
        </is>
      </c>
      <c r="AF296" t="inlineStr">
        <is>
          <t>Título Financeiro</t>
        </is>
      </c>
      <c r="AG296" t="inlineStr">
        <is>
          <t>Pagamentos, Boletos e Recebimentos</t>
        </is>
      </c>
      <c r="AI296" t="inlineStr">
        <is>
          <t>INT_PAG_FINANCEIRO</t>
        </is>
      </c>
      <c r="AJ296" t="inlineStr">
        <is>
          <t>Sugerida</t>
        </is>
      </c>
      <c r="AK296" t="b">
        <v>0</v>
      </c>
      <c r="AN296">
        <f>IF(OR(AG296="",AM296=""),"",IF(AG296=AM296,"SIM","NÃO"))</f>
        <v/>
      </c>
      <c r="AO296" t="inlineStr">
        <is>
          <t>CLASSIFIED_PATTERN</t>
        </is>
      </c>
    </row>
    <row r="297" ht="15.5" customHeight="1">
      <c r="A297" s="1" t="n"/>
      <c r="B297" s="67" t="inlineStr">
        <is>
          <t>Stephany Lima</t>
        </is>
      </c>
      <c r="C297" s="70">
        <f>VLOOKUP(I:I,'Referencias '!H:I,2,0)</f>
        <v/>
      </c>
      <c r="D297" s="71" t="n">
        <v>25507555</v>
      </c>
      <c r="E297" s="71" t="n">
        <v>0</v>
      </c>
      <c r="F297" s="126" t="inlineStr">
        <is>
          <t>2621513861639</t>
        </is>
      </c>
      <c r="G297" s="72">
        <f>T297</f>
        <v/>
      </c>
      <c r="H297" s="72" t="n"/>
      <c r="I297" s="70" t="inlineStr">
        <is>
          <t>Dúvidas sobre cobrança</t>
        </is>
      </c>
      <c r="J297" s="72" t="n"/>
      <c r="K297" s="72" t="n"/>
      <c r="L297" s="122" t="inlineStr">
        <is>
          <t>PENDENTE</t>
        </is>
      </c>
      <c r="M297" s="73" t="inlineStr">
        <is>
          <t>Médio</t>
        </is>
      </c>
      <c r="N297" s="71" t="inlineStr">
        <is>
          <t>1018 Financeiro | Desejo falar com o setor financeiro | Daiani Sopran | daiani.sopran@herval.com.br</t>
        </is>
      </c>
      <c r="O297" s="74" t="n">
        <v>46237</v>
      </c>
      <c r="P297" s="123" t="n">
        <v>46237</v>
      </c>
      <c r="Q297" s="177">
        <f>TEXT(O297,"mmm/aaaa")</f>
        <v/>
      </c>
      <c r="R297" s="71" t="inlineStr">
        <is>
          <t>ECOMMERCE BP SUPORTE FINANCEIRO N2</t>
        </is>
      </c>
      <c r="S297" s="71" t="inlineStr">
        <is>
          <t>daiani.sopran@herval.com.br</t>
        </is>
      </c>
      <c r="T297" s="71" t="inlineStr"/>
      <c r="U297" s="71" t="inlineStr">
        <is>
          <t>Olá, segue formulário enviado para Cielo E-commerce:&lt;p&gt;&lt;strong&gt;Qual seu nome?:&lt;/strong&gt; Daiani Sopran&lt;/p&gt;&lt;p&gt;&lt;strong&gt;Endereço de e-mail:&lt;/strong&gt; daiani.sopran@herval.com.br&lt;/p&gt;&lt;p&gt;&lt;strong&gt;Telefone:&lt;/strong&gt; (51) 3564-8300&lt;/p&gt;&lt;p&gt;&lt;strong&gt;Assunto:&lt;/strong&gt; Fatura Cartão protegido&lt;/p&gt;&lt;p&gt;&lt;strong&gt;Merchant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Sobre a Nota Fiscal 119822 referente as transações de cartão protegido, nos relatórios do mesmo só no estabelecimento HS Financeira  constam 92  transações, porém a fatura está cobrando 192  transações. De Qual estabelecimento são essas transações?
Link do relatório extraído da Braspag.
https://pecmreportsstgaccountprd.blob.core.windows.net/reports/Cartão Protegido_b48e8131-fb35-4ae4-aacf-6545c4d66</t>
        </is>
      </c>
      <c r="V297" s="71">
        <f>IFERROR(_xlfn.TEXTBEFORE(_xlfn.TEXTAFTER(U297,"Descrição do problema:&lt;/strong"),"&lt;/p&gt;"),_xlfn.TEXTAFTER(U297,"Descrição do problema:&lt;/strong"))</f>
        <v/>
      </c>
      <c r="W297" s="76">
        <f>_xlfn.CONCAT(D297:E297)</f>
        <v/>
      </c>
      <c r="X297" s="77" t="n"/>
      <c r="Y297" s="78">
        <f>IF(X297="","Aberto","Encerrado")</f>
        <v/>
      </c>
      <c r="Z297" s="78">
        <f>IF(OR(L297="PENDENTE",L297="EM ANDAMENTO",L297="PENDENTE APROVAÇÃO CANCELAMENTO NF"),TODAY()-O297,X297-O297)</f>
        <v/>
      </c>
      <c r="AA297" s="78">
        <f>IF(Y297="Aberto",Z297+ROW()/100000,"")</f>
        <v/>
      </c>
      <c r="AB297" s="2">
        <f>IF(ISNUMBER(FIND("@cielo.com.br",S297)),"Interno","Externo")</f>
        <v/>
      </c>
      <c r="AD297" t="inlineStr"/>
      <c r="AJ297" t="inlineStr">
        <is>
          <t>Sem correspondência</t>
        </is>
      </c>
      <c r="AK297" t="b">
        <v>0</v>
      </c>
      <c r="AN297">
        <f>IF(OR(AG297="",AM297=""),"",IF(AG297=AM297,"SIM","NÃO"))</f>
        <v/>
      </c>
      <c r="AO297" t="inlineStr">
        <is>
          <t>NO_PATTERN</t>
        </is>
      </c>
    </row>
    <row r="298" ht="15.5" customHeight="1">
      <c r="A298" s="1" t="n"/>
      <c r="B298" s="67" t="inlineStr">
        <is>
          <t>Amanda Silva</t>
        </is>
      </c>
      <c r="C298" s="70">
        <f>VLOOKUP(I:I,'Referencias '!H:I,2,0)</f>
        <v/>
      </c>
      <c r="D298" s="129" t="n">
        <v>25499168</v>
      </c>
      <c r="E298" s="71" t="n">
        <v>0</v>
      </c>
      <c r="F298" s="126" t="inlineStr">
        <is>
          <t>2621511856488</t>
        </is>
      </c>
      <c r="G298" s="72">
        <f>T298</f>
        <v/>
      </c>
      <c r="H298" s="72" t="n"/>
      <c r="I298" s="70" t="inlineStr">
        <is>
          <t>Alteração de vencimento</t>
        </is>
      </c>
      <c r="J298" s="72" t="n"/>
      <c r="K298" s="72" t="n"/>
      <c r="L298" s="70" t="inlineStr">
        <is>
          <t>FINALIZADO</t>
        </is>
      </c>
      <c r="M298" s="73" t="inlineStr">
        <is>
          <t>Médio</t>
        </is>
      </c>
      <c r="N298" s="71" t="inlineStr">
        <is>
          <t>1018 Financeiro | Desejo falar com o setor financeiro | Daiani Sopran | daiani.sopran@herval.com.br</t>
        </is>
      </c>
      <c r="O298" s="74" t="n">
        <v>46237</v>
      </c>
      <c r="P298" s="123" t="n">
        <v>46237</v>
      </c>
      <c r="Q298" s="177">
        <f>TEXT(O298,"mmm/aaaa")</f>
        <v/>
      </c>
      <c r="R298" s="71" t="inlineStr">
        <is>
          <t>ECOMMERCE BP SUPORTE FINANCEIRO N2</t>
        </is>
      </c>
      <c r="S298" s="71" t="inlineStr">
        <is>
          <t>daiani.sopran@herval.com.br</t>
        </is>
      </c>
      <c r="T298" s="71" t="inlineStr"/>
      <c r="U298" s="71" t="inlineStr">
        <is>
          <t>Olá, segue formulário enviado para Cielo E-commerce:&lt;p&gt;&lt;strong&gt;Endereço de e-mail:&lt;/strong&gt; daiani.sopran@herval.com.br&lt;/p&gt;&lt;p&gt;&lt;strong&gt;Qual seu nome?:&lt;/strong&gt; Daiani Sopran&lt;/p&gt;&lt;p&gt;&lt;strong&gt;Telefone:&lt;/strong&gt; (51) 3564-8300&lt;/p&gt;&lt;p&gt;&lt;strong&gt;Assunto:&lt;/strong&gt; Ajuste da data de pagamento dos fornecedores&lt;/p&gt;&lt;p&gt;&lt;strong&gt;Merchant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Tudo bem?
Prezados(as),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17 e 27 de cada mês. Caso uma dessas datas coincida com finais de sema</t>
        </is>
      </c>
      <c r="V298" s="71">
        <f>IFERROR(_xlfn.TEXTBEFORE(_xlfn.TEXTAFTER(U298,"Descrição do problema:&lt;/strong"),"&lt;/p&gt;"),_xlfn.TEXTAFTER(U298,"Descrição do problema:&lt;/strong"))</f>
        <v/>
      </c>
      <c r="W298" s="76">
        <f>_xlfn.CONCAT(D298:E298)</f>
        <v/>
      </c>
      <c r="X298" s="77">
        <f>P298</f>
        <v/>
      </c>
      <c r="Y298" s="78">
        <f>IF(X298="","Aberto","Encerrado")</f>
        <v/>
      </c>
      <c r="Z298" s="78">
        <f>IF(OR(L298="PENDENTE",L298="EM ANDAMENTO",L298="PENDENTE APROVAÇÃO CANCELAMENTO NF"),TODAY()-O298,X298-O298)</f>
        <v/>
      </c>
      <c r="AA298" s="78">
        <f>IF(Y298="Aberto",Z298+ROW()/100000,"")</f>
        <v/>
      </c>
      <c r="AB298" s="2">
        <f>IF(ISNUMBER(FIND("@cielo.com.br",S298)),"Interno","Externo")</f>
        <v/>
      </c>
      <c r="AC298" t="inlineStr">
        <is>
          <t>Alterar ou prorrogar vencimento ou prazo de pagamento.</t>
        </is>
      </c>
      <c r="AD298" t="inlineStr">
        <is>
          <t>calendário de pagamentos</t>
        </is>
      </c>
      <c r="AE298" t="inlineStr">
        <is>
          <t>Alteração de vencimento</t>
        </is>
      </c>
      <c r="AF298" t="inlineStr">
        <is>
          <t>Título Financeiro</t>
        </is>
      </c>
      <c r="AG298" t="inlineStr">
        <is>
          <t>Pagamentos, Boletos e Recebimentos</t>
        </is>
      </c>
      <c r="AI298" t="inlineStr">
        <is>
          <t>INT_PAG_VENCIMENTO</t>
        </is>
      </c>
      <c r="AJ298" t="inlineStr">
        <is>
          <t>Sugerida</t>
        </is>
      </c>
      <c r="AK298" t="b">
        <v>0</v>
      </c>
      <c r="AN298">
        <f>IF(OR(AG298="",AM298=""),"",IF(AG298=AM298,"SIM","NÃO"))</f>
        <v/>
      </c>
      <c r="AO298" t="inlineStr">
        <is>
          <t>CLASSIFIED_PATTERN</t>
        </is>
      </c>
    </row>
    <row r="299" ht="15.5" customHeight="1">
      <c r="A299" s="1" t="n"/>
      <c r="B299" s="67" t="inlineStr">
        <is>
          <t>Stephany Lima</t>
        </is>
      </c>
      <c r="C299" s="70">
        <f>VLOOKUP(I:I,'Referencias '!H:I,2,0)</f>
        <v/>
      </c>
      <c r="D299" s="71" t="n">
        <v>25498504</v>
      </c>
      <c r="E299" s="71" t="n">
        <v>0</v>
      </c>
      <c r="F299" s="126" t="inlineStr">
        <is>
          <t>2621511856088</t>
        </is>
      </c>
      <c r="G299" s="72">
        <f>VLOOKUP(H:H,'Referencias '!B:C,2,0)</f>
        <v/>
      </c>
      <c r="H299" s="72">
        <f>TRIM(_xlfn.TEXTBEFORE(_xlfn.TEXTAFTER(U299,"CNPJ/CPF:&lt;/strong&gt;"),"&lt;/p&gt;"))</f>
        <v/>
      </c>
      <c r="I299" s="70" t="inlineStr">
        <is>
          <t>Cancelamento de Nota Fiscal</t>
        </is>
      </c>
      <c r="J299" s="72" t="n"/>
      <c r="K299" s="72" t="inlineStr">
        <is>
          <t>Comercial</t>
        </is>
      </c>
      <c r="L299" s="122" t="inlineStr">
        <is>
          <t>PENDENTE</t>
        </is>
      </c>
      <c r="M299" s="73" t="inlineStr">
        <is>
          <t>Médio</t>
        </is>
      </c>
      <c r="N299" s="71" t="inlineStr">
        <is>
          <t>1018 Financeiro | Desejo falar com o setor financeiro | EVENTPLACE SOLUCOES DIGITAIS LTDA | bordini@cielo.com.br</t>
        </is>
      </c>
      <c r="O299" s="74" t="n">
        <v>46237</v>
      </c>
      <c r="P299" s="123" t="n">
        <v>46237</v>
      </c>
      <c r="Q299" s="177">
        <f>TEXT(O299,"mmm/aaaa")</f>
        <v/>
      </c>
      <c r="R299" s="71" t="inlineStr">
        <is>
          <t>ECOMMERCE BP SUPORTE FINANCEIRO N2</t>
        </is>
      </c>
      <c r="S299" s="71" t="inlineStr">
        <is>
          <t>bordini@cielo.com.br</t>
        </is>
      </c>
      <c r="T299" s="71" t="inlineStr">
        <is>
          <t>EVENTPAY SOLUCOES</t>
        </is>
      </c>
      <c r="U299" s="71" t="inlineStr">
        <is>
          <t xml:space="preserve">Olá, segue formulário enviado para Cielo E-commerce:&lt;p&gt;&lt;strong&gt;Qual seu nome?:&lt;/strong&gt; EVENTPLACE SOLUCOES DIGITAIS LTDA&lt;/p&gt;&lt;p&gt;&lt;strong&gt;CNPJ/CPF:&lt;/strong&gt; 26.335.362/0001-27&lt;/p&gt;&lt;p&gt;&lt;strong&gt;Endereço de e-mail:&lt;/strong&gt; bordini@cielo.com.br&lt;/p&gt;&lt;p&gt;&lt;strong&gt;Telefone:&lt;/strong&gt; (11) 94008-6890&lt;/p&gt;&lt;p&gt;&lt;strong&gt;Assunto:&lt;/strong&gt; CANCELAMENTO DE NOTAS FISCAIS&lt;/p&gt;&lt;p&gt;&lt;strong&gt;Merchant ID/Estabelecimento Comercial (EC):&lt;/strong&gt; 26.335.362/0001-27&lt;/p&gt;&lt;p&gt;&lt;strong&gt;Descrição do problema:&lt;/strong&gt; Bom dia, time , espero que estejam bem!
O cliente possui o produto de Split contratado conosco, com um valor mínimo mensal atrelado. No entanto, alinhamos desde o início da negociação que, após o Go live, esse contrato no valor de R$ 6.159,00 mensais seria cancelado, sem aplicação de qualquer tipo de multa.
Considerando que o Go live ocorreu em 29/05/2026, solicito o cancelamento do mesmo. Segue DA´s e contrato em anexo, para que possamos seguir com os próximos passos do cancelamento.
MID para cancelamento: Um </t>
        </is>
      </c>
      <c r="V299" s="71">
        <f>IFERROR(_xlfn.TEXTBEFORE(_xlfn.TEXTAFTER(U299,"Descrição do problema:&lt;/strong"),"&lt;/p&gt;"),_xlfn.TEXTAFTER(U299,"Descrição do problema:&lt;/strong"))</f>
        <v/>
      </c>
      <c r="W299" s="76">
        <f>_xlfn.CONCAT(D299:E299)</f>
        <v/>
      </c>
      <c r="X299" s="77" t="n"/>
      <c r="Y299" s="78">
        <f>IF(X299="","Aberto","Encerrado")</f>
        <v/>
      </c>
      <c r="Z299" s="78">
        <f>IF(OR(L299="PENDENTE",L299="EM ANDAMENTO",L299="PENDENTE APROVAÇÃO CANCELAMENTO NF"),TODAY()-O299,X299-O299)</f>
        <v/>
      </c>
      <c r="AA299" s="78">
        <f>IF(Y299="Aberto",Z299+ROW()/100000,"")</f>
        <v/>
      </c>
      <c r="AB299" s="2">
        <f>IF(ISNUMBER(FIND("@cielo.com.br",S299)),"Interno","Externo")</f>
        <v/>
      </c>
      <c r="AC299" t="inlineStr">
        <is>
          <t>Cancelar, substituir ou reemitir nota fiscal.</t>
        </is>
      </c>
      <c r="AD299" t="inlineStr">
        <is>
          <t>ACAO:CANCELAR; OBJETO:CONTRATO; OBJETO:NOTA_FISCAL</t>
        </is>
      </c>
      <c r="AE299" t="inlineStr">
        <is>
          <t>Cancelamento de NF</t>
        </is>
      </c>
      <c r="AF299" t="inlineStr">
        <is>
          <t>Documento Fiscal</t>
        </is>
      </c>
      <c r="AG299" t="inlineStr">
        <is>
          <t>Cancelamento e Reemissão de Nota Fiscal</t>
        </is>
      </c>
      <c r="AI299" t="inlineStr">
        <is>
          <t>INT_NF_CANCEL_REEMISSAO</t>
        </is>
      </c>
      <c r="AJ299" t="inlineStr">
        <is>
          <t>Sugerida</t>
        </is>
      </c>
      <c r="AK299" t="b">
        <v>0</v>
      </c>
      <c r="AN299">
        <f>IF(OR(AG299="",AM299=""),"",IF(AG299=AM299,"SIM","NÃO"))</f>
        <v/>
      </c>
      <c r="AO299" t="inlineStr">
        <is>
          <t>CLASSIFIED_SIGNATURE</t>
        </is>
      </c>
    </row>
    <row r="300" ht="15.5" customHeight="1">
      <c r="A300" s="1" t="n"/>
      <c r="B300" s="67" t="inlineStr">
        <is>
          <t>Stephany Lima</t>
        </is>
      </c>
      <c r="C300" s="70">
        <f>VLOOKUP(I:I,'Referencias '!H:I,2,0)</f>
        <v/>
      </c>
      <c r="D300" s="71" t="n">
        <v>25480801</v>
      </c>
      <c r="E300" s="71" t="n">
        <v>0</v>
      </c>
      <c r="F300" s="126" t="inlineStr">
        <is>
          <t>2621508844696</t>
        </is>
      </c>
      <c r="G300" s="72">
        <f>T300</f>
        <v/>
      </c>
      <c r="H300" s="72">
        <f>TRIM(_xlfn.TEXTBEFORE(_xlfn.TEXTAFTER(U300,"CNPJ/CPF:&lt;/strong&gt;"),"&lt;/p&gt;"))</f>
        <v/>
      </c>
      <c r="I300" s="70" t="inlineStr">
        <is>
          <t>Cancelamento de Nota Fiscal</t>
        </is>
      </c>
      <c r="J300" s="72" t="n"/>
      <c r="K300" s="72" t="inlineStr">
        <is>
          <t>Financeiro</t>
        </is>
      </c>
      <c r="L300" s="122" t="inlineStr">
        <is>
          <t>PENDENTE</t>
        </is>
      </c>
      <c r="M300" s="73" t="inlineStr">
        <is>
          <t>Médio</t>
        </is>
      </c>
      <c r="N300" s="71" t="inlineStr">
        <is>
          <t>1018 Financeiro | Desejo falar com o setor financeiro | COMPANHIA BRASILEIRA DE DISTRIBUICAO | ariane.pasilva@cielo.com.br</t>
        </is>
      </c>
      <c r="O300" s="74" t="n">
        <v>46237</v>
      </c>
      <c r="P300" s="123" t="n">
        <v>46237</v>
      </c>
      <c r="Q300" s="177">
        <f>TEXT(O300,"mmm/aaaa")</f>
        <v/>
      </c>
      <c r="R300" s="71" t="inlineStr">
        <is>
          <t>ECOMMERCE BP SUPORTE FINANCEIRO N2</t>
        </is>
      </c>
      <c r="S300" s="71" t="inlineStr">
        <is>
          <t>ariane.pasilva@cielo.com.br</t>
        </is>
      </c>
      <c r="T300" s="71" t="inlineStr">
        <is>
          <t>PAO DE ACUCAR 1302 BRIGADEIRO</t>
        </is>
      </c>
      <c r="U300" s="71" t="inlineStr">
        <is>
          <t>Olá, segue formulário enviado para Cielo E-commerce:&lt;p&gt;&lt;strong&gt;Qual seu nome?:&lt;/strong&gt; COMPANHIA BRASILEIRA DE DISTRIBUICAO&lt;/p&gt;&lt;p&gt;&lt;strong&gt;Endereço de e-mail:&lt;/strong&gt; ariane.pasilva@cielo.com.br&lt;/p&gt;&lt;p&gt;&lt;strong&gt;CNPJ/CPF:&lt;/strong&gt; 47.508.411/0004-07&lt;/p&gt;&lt;p&gt;&lt;strong&gt;Telefone:&lt;/strong&gt; (11) 97707-1602&lt;/p&gt;&lt;p&gt;&lt;strong&gt;Assunto:&lt;/strong&gt; Cancelamento NFs&lt;/p&gt;&lt;p&gt;&lt;strong&gt;Merchant ID/Estabelecimento Comercial (EC):&lt;/strong&gt; 47508411000407&lt;/p&gt;&lt;p&gt;&lt;strong&gt;Descrição do problema:&lt;/strong&gt; Prezados, bom dia. Tudo bem?
Por favor, cancelar as notas fiscais emitidas para o CNPJ: 47508411000407
Cliente não possui contrato ativo.
O que ele tem é uma liberação em produção para testes (todos os testes eles pagariam). 
Não podemos cobrar multa contratual de um cliente que não possui contrato, nem mínimo mensal.&lt;/p&gt;&lt;p&gt;&lt;strong&gt;ID da transação:&lt;/strong&gt; &lt;/p&gt;&lt;p&gt;&lt;strong&gt;Código do erro:&lt;/strong&gt; &lt;/p&gt;&lt;p&gt;&lt;strong&gt;Sobre qual produto ou área deseja falar?:&lt;/strong&gt; Financeiro&lt;/p&gt;&lt;p&gt;&lt;strong&gt;Como podemos te ajudar?:&lt;/strong&gt;</t>
        </is>
      </c>
      <c r="V300" s="71">
        <f>IFERROR(_xlfn.TEXTBEFORE(_xlfn.TEXTAFTER(U300,"Descrição do problema:&lt;/strong"),"&lt;/p&gt;"),_xlfn.TEXTAFTER(U300,"Descrição do problema:&lt;/strong"))</f>
        <v/>
      </c>
      <c r="W300" s="76">
        <f>_xlfn.CONCAT(D300:E300)</f>
        <v/>
      </c>
      <c r="X300" s="77" t="n"/>
      <c r="Y300" s="78">
        <f>IF(X300="","Aberto","Encerrado")</f>
        <v/>
      </c>
      <c r="Z300" s="78">
        <f>IF(OR(L300="PENDENTE",L300="EM ANDAMENTO",L300="PENDENTE APROVAÇÃO CANCELAMENTO NF"),TODAY()-O300,X300-O300)</f>
        <v/>
      </c>
      <c r="AA300" s="78">
        <f>IF(Y300="Aberto",Z300+ROW()/100000,"")</f>
        <v/>
      </c>
      <c r="AB300" s="2">
        <f>IF(ISNUMBER(FIND("@cielo.com.br",S300)),"Interno","Externo")</f>
        <v/>
      </c>
      <c r="AC300" t="inlineStr">
        <is>
          <t>Cancelar, substituir ou reemitir nota fiscal.</t>
        </is>
      </c>
      <c r="AD300" t="inlineStr">
        <is>
          <t>ACAO:CANCELAR; OBJETO:CONTRATO; OBJETO:NOTA_FISCAL; CONTEXTO:SEM_CONTRATO</t>
        </is>
      </c>
      <c r="AE300" t="inlineStr">
        <is>
          <t>Cancelamento de NF</t>
        </is>
      </c>
      <c r="AF300" t="inlineStr">
        <is>
          <t>Documento Fiscal</t>
        </is>
      </c>
      <c r="AG300" t="inlineStr">
        <is>
          <t>Cancelamento e Reemissão de Nota Fiscal</t>
        </is>
      </c>
      <c r="AI300" t="inlineStr">
        <is>
          <t>INT_NF_CANCEL_REEMISSAO</t>
        </is>
      </c>
      <c r="AJ300" t="inlineStr">
        <is>
          <t>Sugerida</t>
        </is>
      </c>
      <c r="AK300" t="b">
        <v>0</v>
      </c>
      <c r="AN300">
        <f>IF(OR(AG300="",AM300=""),"",IF(AG300=AM300,"SIM","NÃO"))</f>
        <v/>
      </c>
      <c r="AO300" t="inlineStr">
        <is>
          <t>CLASSIFIED_SIGNATURE</t>
        </is>
      </c>
    </row>
    <row r="301" ht="15.5" customHeight="1">
      <c r="A301" s="1" t="n"/>
      <c r="B301" s="67" t="inlineStr">
        <is>
          <t>Emilly Maria</t>
        </is>
      </c>
      <c r="C301" s="70">
        <f>VLOOKUP(I:I,'Referencias '!H:I,2,0)</f>
        <v/>
      </c>
      <c r="D301" s="71" t="n">
        <v>25466908</v>
      </c>
      <c r="E301" s="71" t="n">
        <v>0</v>
      </c>
      <c r="F301" s="126" t="inlineStr">
        <is>
          <t>2621217834489</t>
        </is>
      </c>
      <c r="G301" s="72">
        <f>T301</f>
        <v/>
      </c>
      <c r="H301" s="72">
        <f>TRIM(_xlfn.TEXTBEFORE(_xlfn.TEXTAFTER(U301,"CNPJ/CPF:&lt;/strong&gt;"),"&lt;/p&gt;"))</f>
        <v/>
      </c>
      <c r="I301" s="70" t="inlineStr">
        <is>
          <t>Dúvidas sobre cobrança</t>
        </is>
      </c>
      <c r="J301" s="126" t="n"/>
      <c r="K301" s="72" t="n"/>
      <c r="L301" s="70" t="inlineStr">
        <is>
          <t>FINALIZADO</t>
        </is>
      </c>
      <c r="M301" s="73" t="inlineStr">
        <is>
          <t>Médio</t>
        </is>
      </c>
      <c r="N301" s="71" t="inlineStr">
        <is>
          <t>1018 Financeiro | Desejo falar com o setor financeiro | Rita de Cassia Tulchaski | rita.cassia@pr.senac.br</t>
        </is>
      </c>
      <c r="O301" s="74" t="n">
        <v>46234</v>
      </c>
      <c r="P301" s="123" t="n">
        <v>46234</v>
      </c>
      <c r="Q301" s="177">
        <f>TEXT(O301,"mmm/aaaa")</f>
        <v/>
      </c>
      <c r="R301" s="71" t="inlineStr">
        <is>
          <t>ECOMMERCE BP SUPORTE FINANCEIRO N2</t>
        </is>
      </c>
      <c r="S301" s="71" t="inlineStr">
        <is>
          <t>rita.cassia@pr.senac.br</t>
        </is>
      </c>
      <c r="T301" s="71" t="inlineStr"/>
      <c r="U301" s="71" t="inlineStr">
        <is>
          <t>Olá, segue formulário enviado para Cielo E-commerce:&lt;p&gt;&lt;strong&gt;Qual seu nome?:&lt;/strong&gt; Rita de Cassia Tulchaski&lt;/p&gt;&lt;p&gt;&lt;strong&gt;Endereço de e-mail:&lt;/strong&gt; rita.cassia@pr.senac.br&lt;/p&gt;&lt;p&gt;&lt;strong&gt;CNPJ/CPF:&lt;/strong&gt; 740.078.669-53&lt;/p&gt;&lt;p&gt;&lt;strong&gt;Telefone:&lt;/strong&gt; (41) 3219-4961&lt;/p&gt;&lt;p&gt;&lt;strong&gt;Assunto:&lt;/strong&gt; Relatório de transações conforme NF&lt;/p&gt;&lt;p&gt;&lt;strong&gt;Merchant ID/Estabelecimento Comercial (EC):&lt;/strong&gt; DFB70E91-B482-B78C-4339-F93D2C5DB037&lt;/p&gt;&lt;p&gt;&lt;strong&gt;Descrição do problema:&lt;/strong&gt;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transações.&lt;/p&gt;&lt;p&gt;&lt;strong&gt;ID da transação:&lt;/strong&gt; &lt;/p&gt;&lt;p&gt;&lt;strong&gt;Código do erro:&lt;/strong&gt; &lt;/p&gt;&lt;p&gt;&lt;strong&gt;Sobre qual produto ou área deseja falar?:&lt;/strong&gt; Financeiro&lt;/p&gt;&lt;p&gt;&lt;strong&gt;Como podemos te ajudar?:</t>
        </is>
      </c>
      <c r="V301" s="71">
        <f>IFERROR(_xlfn.TEXTBEFORE(_xlfn.TEXTAFTER(U301,"Descrição do problema:&lt;/strong"),"&lt;/p&gt;"),_xlfn.TEXTAFTER(U301,"Descrição do problema:&lt;/strong"))</f>
        <v/>
      </c>
      <c r="W301" s="76">
        <f>_xlfn.CONCAT(D301:E301)</f>
        <v/>
      </c>
      <c r="X301" s="77" t="n">
        <v>46258</v>
      </c>
      <c r="Y301" s="78">
        <f>IF(X301="","Aberto","Encerrado")</f>
        <v/>
      </c>
      <c r="Z301" s="78">
        <f>IF(OR(L301="PENDENTE",L301="EM ANDAMENTO",L301="PENDENTE APROVAÇÃO CANCELAMENTO NF"),TODAY()-O301,X301-O301)</f>
        <v/>
      </c>
      <c r="AA301" s="78">
        <f>IF(Y301="Aberto",Z301+ROW()/100000,"")</f>
        <v/>
      </c>
      <c r="AB301" s="2">
        <f>IF(ISNUMBER(FIND("@cielo.com.br",S301)),"Interno","Externo")</f>
        <v/>
      </c>
      <c r="AC301" t="inlineStr">
        <is>
          <t>Contestar divergência, valor ou critério de cobrança.</t>
        </is>
      </c>
      <c r="AD301" t="inlineStr">
        <is>
          <t>relatório + nf + diferença</t>
        </is>
      </c>
      <c r="AE301" t="inlineStr">
        <is>
          <t>Contestação de cobrança</t>
        </is>
      </c>
      <c r="AF301" t="inlineStr">
        <is>
          <t>Valor Cobrado</t>
        </is>
      </c>
      <c r="AG301" t="inlineStr">
        <is>
          <t>Cobrança e Contestação</t>
        </is>
      </c>
      <c r="AI301" t="inlineStr">
        <is>
          <t>INT_COB_CONTESTACAO</t>
        </is>
      </c>
      <c r="AJ301" t="inlineStr">
        <is>
          <t>Sugerida</t>
        </is>
      </c>
      <c r="AK301" t="b">
        <v>0</v>
      </c>
      <c r="AN301">
        <f>IF(OR(AG301="",AM301=""),"",IF(AG301=AM301,"SIM","NÃO"))</f>
        <v/>
      </c>
      <c r="AO301" t="inlineStr">
        <is>
          <t>CLASSIFIED_PATTERN</t>
        </is>
      </c>
    </row>
    <row r="302" ht="15.5" customHeight="1">
      <c r="A302" s="1" t="n"/>
      <c r="B302" s="67" t="inlineStr">
        <is>
          <t>Emilly Maria</t>
        </is>
      </c>
      <c r="C302" s="70">
        <f>VLOOKUP(I:I,'Referencias '!H:I,2,0)</f>
        <v/>
      </c>
      <c r="D302" s="71" t="n">
        <v>25461091</v>
      </c>
      <c r="E302" s="71" t="n">
        <v>0</v>
      </c>
      <c r="F302" s="126" t="inlineStr">
        <is>
          <t>2621216831013</t>
        </is>
      </c>
      <c r="G302" s="72">
        <f>VLOOKUP(H:H,'Referencias '!B:C,2,0)</f>
        <v/>
      </c>
      <c r="H302" s="72">
        <f>TRIM(_xlfn.TEXTBEFORE(_xlfn.TEXTAFTER(U302,"CNPJ/CPF:&lt;/strong&gt;"),"&lt;/p&gt;"))</f>
        <v/>
      </c>
      <c r="I302" s="70" t="inlineStr">
        <is>
          <t>Cancelamento de Nota Fiscal / Reemissão</t>
        </is>
      </c>
      <c r="J302" s="72" t="n"/>
      <c r="K302" s="72" t="inlineStr">
        <is>
          <t>Financeiro</t>
        </is>
      </c>
      <c r="L302" s="70" t="inlineStr">
        <is>
          <t>FINALIZADO</t>
        </is>
      </c>
      <c r="M302" s="73" t="inlineStr">
        <is>
          <t>Médio</t>
        </is>
      </c>
      <c r="N302" s="71" t="inlineStr">
        <is>
          <t>1018 Financeiro | Desejo falar com o setor financeiro | CASA UNICA MATERIAIS PARA CONSTRUCALTDA | ariane.pasilva@cielo.com.br</t>
        </is>
      </c>
      <c r="O302" s="74" t="n">
        <v>46234</v>
      </c>
      <c r="P302" s="123" t="n">
        <v>46234</v>
      </c>
      <c r="Q302" s="177">
        <f>TEXT(O302,"mmm/aaaa")</f>
        <v/>
      </c>
      <c r="R302" s="71" t="inlineStr">
        <is>
          <t>ECOMMERCE BP SUPORTE FINANCEIRO N2</t>
        </is>
      </c>
      <c r="S302" s="71" t="inlineStr">
        <is>
          <t>ariane.pasilva@cielo.com.br</t>
        </is>
      </c>
      <c r="T302" s="71" t="inlineStr"/>
      <c r="U302" s="71" t="inlineStr">
        <is>
          <t>Olá, segue formulário enviado para Cielo E-commerce:&lt;p&gt;&lt;strong&gt;Qual seu nome?:&lt;/strong&gt; CASA UNICA MATERIAIS PARA CONSTRUCALTDA&lt;/p&gt;&lt;p&gt;&lt;strong&gt;Endereço de e-mail:&lt;/strong&gt; ariane.pasilva@cielo.com.br&lt;/p&gt;&lt;p&gt;&lt;strong&gt;CNPJ/CPF:&lt;/strong&gt; 25.618.174/0001-43&lt;/p&gt;&lt;p&gt;&lt;strong&gt;Telefone:&lt;/strong&gt; (11) 97707-1602&lt;/p&gt;&lt;p&gt;&lt;strong&gt;Assunto:&lt;/strong&gt; Cancelamento NFs&lt;/p&gt;&lt;p&gt;&lt;strong&gt;Merchant ID/Estabelecimento Comercial (EC):&lt;/strong&gt; 25618174000143&lt;/p&gt;&lt;p&gt;&lt;strong&gt;Descrição do problema:&lt;/strong&gt; Time financeiro, boa tarde. Tudo bem?
Por favor realizar o cancelamento das NFS emitidas em 29/07/2026, foi emitida de forma indevida.
O contrato possui pacote de gateway, ou seja, é para emitir uma nota | boleto para os 3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t>
        </is>
      </c>
      <c r="V302" s="71">
        <f>IFERROR(_xlfn.TEXTBEFORE(_xlfn.TEXTAFTER(U302,"Descrição do problema:&lt;/strong"),"&lt;/p&gt;"),_xlfn.TEXTAFTER(U302,"Descrição do problema:&lt;/strong"))</f>
        <v/>
      </c>
      <c r="W302" s="76">
        <f>_xlfn.CONCAT(D302:E302)</f>
        <v/>
      </c>
      <c r="X302" s="77" t="n">
        <v>46276</v>
      </c>
      <c r="Y302" s="78">
        <f>IF(X302="","Aberto","Encerrado")</f>
        <v/>
      </c>
      <c r="Z302" s="78">
        <f>IF(OR(L302="PENDENTE",L302="EM ANDAMENTO",L302="PENDENTE APROVAÇÃO CANCELAMENTO NF"),TODAY()-O302,X302-O302)</f>
        <v/>
      </c>
      <c r="AA302" s="78">
        <f>IF(Y302="Aberto",Z302+ROW()/100000,"")</f>
        <v/>
      </c>
      <c r="AB302" s="2">
        <f>IF(ISNUMBER(FIND("@cielo.com.br",S302)),"Interno","Externo")</f>
        <v/>
      </c>
      <c r="AD302" t="inlineStr">
        <is>
          <t>ACAO:CANCELAR; OBJETO:BOLETO; OBJETO:CONTRATO; OBJETO:NOTA_FISCAL; CONTEXTO:DIVERGENCIA</t>
        </is>
      </c>
      <c r="AJ302" t="inlineStr">
        <is>
          <t>Ambígua</t>
        </is>
      </c>
      <c r="AK302" t="b">
        <v>1</v>
      </c>
      <c r="AN302">
        <f>IF(OR(AG302="",AM302=""),"",IF(AG302=AM302,"SIM","NÃO"))</f>
        <v/>
      </c>
      <c r="AO302" t="inlineStr">
        <is>
          <t>AMBIGUOUS_CAUSE</t>
        </is>
      </c>
    </row>
    <row r="303" ht="15.5" customFormat="1" customHeight="1" s="91">
      <c r="A303" s="1" t="n"/>
      <c r="B303" s="67" t="inlineStr">
        <is>
          <t>Emilly Maria</t>
        </is>
      </c>
      <c r="C303" s="122">
        <f>VLOOKUP(I:I,'Referencias '!H:I,2,0)</f>
        <v/>
      </c>
      <c r="D303" s="129" t="n">
        <v>25709607</v>
      </c>
      <c r="E303" s="129" t="n">
        <v>0</v>
      </c>
      <c r="F303" s="126" t="n">
        <v>2621816990566</v>
      </c>
      <c r="G303" s="126">
        <f>VLOOKUP(H:H,'Referencias '!B:C,2,0)</f>
        <v/>
      </c>
      <c r="H303" s="126">
        <f>TRIM(_xlfn.TEXTBEFORE(_xlfn.TEXTAFTER(U303,"CNPJ/CPF:&lt;/strong&gt;"),"&lt;/p&gt;"))</f>
        <v/>
      </c>
      <c r="I303" s="122" t="inlineStr">
        <is>
          <t>Contestação de cobrança</t>
        </is>
      </c>
      <c r="J303" s="126" t="n"/>
      <c r="K303" s="126" t="inlineStr">
        <is>
          <t>Reemissão de nota fiscal com Emi em andamento</t>
        </is>
      </c>
      <c r="L303" s="70" t="inlineStr">
        <is>
          <t>FINALIZADO</t>
        </is>
      </c>
      <c r="M303" s="127" t="inlineStr">
        <is>
          <t>Médio</t>
        </is>
      </c>
      <c r="N303" s="129" t="inlineStr">
        <is>
          <t>1018 Financeiro | Desejo falar com o setor financeiro | Fernanda | fernanda.scamarneira@cielo.com.br</t>
        </is>
      </c>
      <c r="O303" s="125" t="n">
        <v>46240</v>
      </c>
      <c r="P303" s="123" t="n">
        <v>46240</v>
      </c>
      <c r="Q303" s="178">
        <f>TEXT(O303,"mmm/aaaa")</f>
        <v/>
      </c>
      <c r="R303" s="129" t="inlineStr">
        <is>
          <t>ECOMMERCE BP SUPORTE FINANCEIRO N2</t>
        </is>
      </c>
      <c r="S303" s="129" t="inlineStr">
        <is>
          <t>fernanda.scamarneira@cielo.com.br</t>
        </is>
      </c>
      <c r="T303" s="129" t="inlineStr">
        <is>
          <t>EDITORA GLOBO VALOR</t>
        </is>
      </c>
      <c r="U303" s="129" t="inlineStr">
        <is>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faturamento do pagador de julho errado - Editora Globo&lt;/p&gt;&lt;p&gt;&lt;strong&gt;Merchant ID/Estabelecimento Comercial (EC):&lt;/strong&gt; 04.067.191/0001-60&lt;/p&gt;&lt;p&gt;&lt;strong&gt;Descrição do problema:&lt;/strong&gt; O faturamento do pagador do mês da Editora Globo está errado, o valor está incorreto. 
Enviei na contestação da prévia mas estou abrindo essa chamado para formalizar conforme solicitado pelo time financeiro.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t>
        </is>
      </c>
      <c r="V303" s="129">
        <f>IFERROR(_xlfn.TEXTBEFORE(_xlfn.TEXTAFTER(U303,"Descrição do problema:&lt;/strong"),"&lt;/p&gt;"),_xlfn.TEXTAFTER(U303,"Descrição do problema:&lt;/strong"))</f>
        <v/>
      </c>
      <c r="W303" s="130">
        <f>_xlfn.CONCAT(D303:E303)</f>
        <v/>
      </c>
      <c r="X303" s="77" t="n">
        <v>46273</v>
      </c>
      <c r="Y303" s="131">
        <f>IF(X303="","Aberto","Encerrado")</f>
        <v/>
      </c>
      <c r="Z303" s="131">
        <f>IF(OR(L303="PENDENTE",L303="EM ANDAMENTO",L303="PENDENTE APROVAÇÃO CANCELAMENTO NF"),TODAY()-O303,X303-O303)</f>
        <v/>
      </c>
      <c r="AA303" s="131">
        <f>IF(Y303="Aberto",Z303+ROW()/100000,"")</f>
        <v/>
      </c>
      <c r="AB303" s="2">
        <f>IF(ISNUMBER(FIND("@cielo.com.br",S303)),"Interno","Externo")</f>
        <v/>
      </c>
      <c r="AC303" t="inlineStr">
        <is>
          <t>Contestar divergência, valor ou critério de cobrança.</t>
        </is>
      </c>
      <c r="AD303" t="inlineStr">
        <is>
          <t>ACAO:CONTESTAR; OBJETO:COBRANCA; CONTEXTO:DIVERGENCIA</t>
        </is>
      </c>
      <c r="AE303" t="inlineStr">
        <is>
          <t>Contestação de cobrança</t>
        </is>
      </c>
      <c r="AF303" t="inlineStr">
        <is>
          <t>Valor Cobrado</t>
        </is>
      </c>
      <c r="AG303" t="inlineStr">
        <is>
          <t>Cobrança e Contestação</t>
        </is>
      </c>
      <c r="AI303" t="inlineStr">
        <is>
          <t>INT_COB_CONTESTACAO</t>
        </is>
      </c>
      <c r="AJ303" t="inlineStr">
        <is>
          <t>Sugerida</t>
        </is>
      </c>
      <c r="AK303" t="b">
        <v>0</v>
      </c>
      <c r="AN303">
        <f>IF(OR(AG303="",AM303=""),"",IF(AG303=AM303,"SIM","NÃO"))</f>
        <v/>
      </c>
      <c r="AO303" t="inlineStr">
        <is>
          <t>CLASSIFIED_SIGNATURE</t>
        </is>
      </c>
    </row>
    <row r="304" ht="15.5" customHeight="1">
      <c r="A304" s="1" t="n"/>
      <c r="B304" s="67" t="inlineStr">
        <is>
          <t>Amanda Silva</t>
        </is>
      </c>
      <c r="C304" s="70">
        <f>VLOOKUP(I:I,'Referencias '!H:I,2,0)</f>
        <v/>
      </c>
      <c r="D304" s="71" t="n">
        <v>25704891</v>
      </c>
      <c r="E304" s="71" t="n">
        <v>0</v>
      </c>
      <c r="F304" s="72" t="n">
        <v>2621816987537</v>
      </c>
      <c r="G304" s="72">
        <f>VLOOKUP(H:H,'Referencias '!B:C,2,0)</f>
        <v/>
      </c>
      <c r="H304" s="72">
        <f>TRIM(_xlfn.TEXTBEFORE(_xlfn.TEXTAFTER(U304,"CNPJ/CPF:&lt;/strong&gt;"),"&lt;/p&gt;"))</f>
        <v/>
      </c>
      <c r="I304" s="70" t="inlineStr">
        <is>
          <t>Cancelamento de Nota Fiscal</t>
        </is>
      </c>
      <c r="J304" s="72" t="n"/>
      <c r="K304" s="72" t="inlineStr">
        <is>
          <t>Comercial</t>
        </is>
      </c>
      <c r="L304" s="122" t="inlineStr">
        <is>
          <t>EM ANDAMENTO</t>
        </is>
      </c>
      <c r="M304" s="73" t="inlineStr">
        <is>
          <t>Médio</t>
        </is>
      </c>
      <c r="N304" s="71" t="inlineStr">
        <is>
          <t>1018 Financeiro | Desejo falar com o setor financeiro | VOLTBRAS ELETROPOSTOS AGENCIAMENTO LTDA | ariane.pasilva@cielo.com.br</t>
        </is>
      </c>
      <c r="O304" s="74" t="n">
        <v>46240</v>
      </c>
      <c r="P304" s="123" t="n">
        <v>46241</v>
      </c>
      <c r="Q304" s="177">
        <f>TEXT(O304,"mmm/aaaa")</f>
        <v/>
      </c>
      <c r="R304" s="71" t="inlineStr">
        <is>
          <t>ECOMMERCE BP SUPORTE FINANCEIRO N2</t>
        </is>
      </c>
      <c r="S304" s="71" t="inlineStr">
        <is>
          <t>ariane.pasilva@cielo.com.br</t>
        </is>
      </c>
      <c r="T304" s="71" t="inlineStr">
        <is>
          <t>VOLTBRAS ELETROPOSTOS</t>
        </is>
      </c>
      <c r="U304" s="71" t="inlineStr">
        <is>
          <t>Olá, segue formulário enviado para Cielo E-commerce:&lt;p&gt;&lt;strong&gt;Qual seu nome?:&lt;/strong&gt; VOLTBRAS ELETROPOSTOS AGENCIAMENTO LTDA&lt;/p&gt;&lt;p&gt;&lt;strong&gt;Endereço de e-mail:&lt;/strong&gt; ariane.pasilva@cielo.com.br&lt;/p&gt;&lt;p&gt;&lt;strong&gt;CNPJ/CPF:&lt;/strong&gt; 32.150.686/0001-93&lt;/p&gt;&lt;p&gt;&lt;strong&gt;Telefone:&lt;/strong&gt; (11) 97707-1602&lt;/p&gt;&lt;p&gt;&lt;strong&gt;Assunto:&lt;/strong&gt; Cancelamento de nota&lt;/p&gt;&lt;p&gt;&lt;strong&gt;Merchant ID/Estabelecimento Comercial (EC):&lt;/strong&gt; 32150686000193&lt;/p&gt;&lt;p&gt;&lt;strong&gt;Descrição do problema:&lt;/strong&gt; Prezado time financeiro.
Favor cancelar a nota de SETUP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t>
        </is>
      </c>
      <c r="V304" s="71">
        <f>IFERROR(_xlfn.TEXTBEFORE(_xlfn.TEXTAFTER(U304,"Descrição do problema:&lt;/strong"),"&lt;/p&gt;"),_xlfn.TEXTAFTER(U304,"Descrição do problema:&lt;/strong"))</f>
        <v/>
      </c>
      <c r="W304" s="76">
        <f>_xlfn.CONCAT(D304:E304)</f>
        <v/>
      </c>
      <c r="X304" s="77" t="n"/>
      <c r="Y304" s="78">
        <f>IF(X304="","Aberto","Encerrado")</f>
        <v/>
      </c>
      <c r="Z304" s="78">
        <f>IF(OR(L304="PENDENTE",L304="EM ANDAMENTO",L304="PENDENTE APROVAÇÃO CANCELAMENTO NF"),TODAY()-O304,X304-O304)</f>
        <v/>
      </c>
      <c r="AA304" s="78">
        <f>IF(Y304="Aberto",Z304+ROW()/100000,"")</f>
        <v/>
      </c>
      <c r="AB304" s="2">
        <f>IF(ISNUMBER(FIND("@cielo.com.br",S304)),"Interno","Externo")</f>
        <v/>
      </c>
      <c r="AC304" t="inlineStr">
        <is>
          <t>Cancelar, substituir ou reemitir nota fiscal.</t>
        </is>
      </c>
      <c r="AD304" t="inlineStr">
        <is>
          <t>cancelamento de nota; favor cancelar a nota</t>
        </is>
      </c>
      <c r="AE304" t="inlineStr">
        <is>
          <t>Cancelamento de NF</t>
        </is>
      </c>
      <c r="AF304" t="inlineStr">
        <is>
          <t>Documento Fiscal</t>
        </is>
      </c>
      <c r="AG304" t="inlineStr">
        <is>
          <t>Cancelamento e Reemissão de Nota Fiscal</t>
        </is>
      </c>
      <c r="AI304" t="inlineStr">
        <is>
          <t>INT_NF_CANCEL_REEMISSAO</t>
        </is>
      </c>
      <c r="AJ304" t="inlineStr">
        <is>
          <t>Sugerida</t>
        </is>
      </c>
      <c r="AK304" t="b">
        <v>0</v>
      </c>
      <c r="AN304">
        <f>IF(OR(AG304="",AM304=""),"",IF(AG304=AM304,"SIM","NÃO"))</f>
        <v/>
      </c>
      <c r="AO304" t="inlineStr">
        <is>
          <t>CLASSIFIED_PATTERN</t>
        </is>
      </c>
    </row>
    <row r="305" ht="15.5" customHeight="1">
      <c r="A305" s="1" t="n"/>
      <c r="B305" s="67" t="inlineStr">
        <is>
          <t>Amanda Silva</t>
        </is>
      </c>
      <c r="C305" s="70">
        <f>VLOOKUP(I:I,'Referencias '!H:I,2,0)</f>
        <v/>
      </c>
      <c r="D305" s="71" t="n">
        <v>25704610</v>
      </c>
      <c r="E305" s="71" t="n">
        <v>0</v>
      </c>
      <c r="F305" s="72" t="n">
        <v>2621816987369</v>
      </c>
      <c r="G305" s="72">
        <f>VLOOKUP(H:H,'Referencias '!B:C,2,0)</f>
        <v/>
      </c>
      <c r="H305" s="72">
        <f>TRIM(_xlfn.TEXTBEFORE(_xlfn.TEXTAFTER(U305,"CNPJ/CPF:&lt;/strong&gt;"),"&lt;/p&gt;"))</f>
        <v/>
      </c>
      <c r="I305" s="70" t="inlineStr">
        <is>
          <t>Mudança conta recebimento</t>
        </is>
      </c>
      <c r="J305" s="72" t="n"/>
      <c r="K305" s="72" t="n"/>
      <c r="L305" s="70" t="inlineStr">
        <is>
          <t>FINALIZADO</t>
        </is>
      </c>
      <c r="M305" s="73" t="inlineStr">
        <is>
          <t>Médio</t>
        </is>
      </c>
      <c r="N305" s="71" t="inlineStr">
        <is>
          <t>1018 Financeiro | Desejo falar com o setor financeiro | Mario Henrique | mario.henrique@mestremarceneiro.com</t>
        </is>
      </c>
      <c r="O305" s="74" t="n">
        <v>46240</v>
      </c>
      <c r="P305" s="123" t="n">
        <v>46240</v>
      </c>
      <c r="Q305" s="177">
        <f>TEXT(O305,"mmm/aaaa")</f>
        <v/>
      </c>
      <c r="R305" s="71" t="inlineStr">
        <is>
          <t>ECOMMERCE BP SUPORTE FINANCEIRO N2</t>
        </is>
      </c>
      <c r="S305" s="71" t="inlineStr">
        <is>
          <t>mario.henrique@mestremarceneiro.com</t>
        </is>
      </c>
      <c r="T305" s="71" t="inlineStr">
        <is>
          <t>MESTRE MARCENEIRO</t>
        </is>
      </c>
      <c r="U305" s="71" t="inlineStr">
        <is>
          <t>Olá, segue formulário enviado para Cielo E-commerce:&lt;p&gt;&lt;strong&gt;Qual seu nome?:&lt;/strong&gt; Mario Henrique&lt;/p&gt;&lt;p&gt;&lt;strong&gt;Endereço de e-mail:&lt;/strong&gt; mario.henrique@mestremarceneiro.com&lt;/p&gt;&lt;p&gt;&lt;strong&gt;CNPJ/CPF:&lt;/strong&gt; 12.878.141/0001-90&lt;/p&gt;&lt;p&gt;&lt;strong&gt;Telefone:&lt;/strong&gt; (11) 95935-8529&lt;/p&gt;&lt;p&gt;&lt;strong&gt;Assunto:&lt;/strong&gt; Troca de domicilio bancário&lt;/p&gt;&lt;p&gt;&lt;strong&gt;Merchant ID/Estabelecimento Comercial (EC):&lt;/strong&gt; f1dd1e45-d1b6-4443-801e-c21344569ead&lt;/p&gt;&lt;p&gt;&lt;strong&gt;Sobre qual produto ou área deseja falar?:&lt;/strong&gt; Financeiro&lt;/p&gt;&lt;p&gt;&lt;strong&gt;Descrição do problema:&lt;/strong&gt; Preciso trocar o domicílio bancário do Master para a seguinte conta:
Banco: Banco do Brasil
Agênica: 2857-6
C/C: 82565-4&lt;/p&gt;&lt;p&gt;&lt;strong&gt;Como podemos te ajudar?:&lt;/strong&gt; Desejo falar com o setor financeiro&lt;/p&gt;&lt;p&gt;&lt;strong&gt;GA Client ID:&lt;/strong&gt; 1579790772.1785329107&lt;/p&gt;&lt;p&gt;&lt;strong&gt;Lead Hash ID:&lt;/strong&gt; de16e883cce2a886c6fa2d7159c6c8182346d821a7f67a70329995484ab356dc&lt;/p&gt;&lt;p&gt;&lt;strong&gt;Lead Form ID:&lt;/strong&gt; de16e883cce2a886c6fa2d7159c6</t>
        </is>
      </c>
      <c r="V305" s="71">
        <f>IFERROR(_xlfn.TEXTBEFORE(_xlfn.TEXTAFTER(U305,"Descrição do problema:&lt;/strong"),"&lt;/p&gt;"),_xlfn.TEXTAFTER(U305,"Descrição do problema:&lt;/strong"))</f>
        <v/>
      </c>
      <c r="W305" s="76">
        <f>_xlfn.CONCAT(D305:E305)</f>
        <v/>
      </c>
      <c r="X305" s="77">
        <f>P305</f>
        <v/>
      </c>
      <c r="Y305" s="78">
        <f>IF(X305="","Aberto","Encerrado")</f>
        <v/>
      </c>
      <c r="Z305" s="78">
        <f>IF(OR(L305="PENDENTE",L305="EM ANDAMENTO",L305="PENDENTE APROVAÇÃO CANCELAMENTO NF"),TODAY()-O305,X305-O305)</f>
        <v/>
      </c>
      <c r="AA305" s="78">
        <f>IF(Y305="Aberto",Z305+ROW()/100000,"")</f>
        <v/>
      </c>
      <c r="AB305" s="2">
        <f>IF(ISNUMBER(FIND("@cielo.com.br",S305)),"Interno","Externo")</f>
        <v/>
      </c>
      <c r="AC305" t="inlineStr">
        <is>
          <t>Alterar conta, domicílio ou forma de recebimento.</t>
        </is>
      </c>
      <c r="AD305" t="inlineStr">
        <is>
          <t>domicílio bancário</t>
        </is>
      </c>
      <c r="AE305" t="inlineStr">
        <is>
          <t>Troca de conta para depósito</t>
        </is>
      </c>
      <c r="AF305" t="inlineStr">
        <is>
          <t>Título Financeiro</t>
        </is>
      </c>
      <c r="AG305" t="inlineStr">
        <is>
          <t>Pagamentos, Boletos e Recebimentos</t>
        </is>
      </c>
      <c r="AI305" t="inlineStr">
        <is>
          <t>INT_PAG_CONTA</t>
        </is>
      </c>
      <c r="AJ305" t="inlineStr">
        <is>
          <t>Sugerida</t>
        </is>
      </c>
      <c r="AK305" t="b">
        <v>0</v>
      </c>
      <c r="AN305">
        <f>IF(OR(AG305="",AM305=""),"",IF(AG305=AM305,"SIM","NÃO"))</f>
        <v/>
      </c>
      <c r="AO305" t="inlineStr">
        <is>
          <t>CLASSIFIED_PATTERN</t>
        </is>
      </c>
    </row>
    <row r="306" ht="15.5" customFormat="1" customHeight="1" s="91">
      <c r="A306" s="1" t="n"/>
      <c r="B306" s="67" t="inlineStr">
        <is>
          <t>Amanda Silva</t>
        </is>
      </c>
      <c r="C306" s="122">
        <f>VLOOKUP(I:I,'Referencias '!H:I,2,0)</f>
        <v/>
      </c>
      <c r="D306" s="129" t="n">
        <v>25687981</v>
      </c>
      <c r="E306" s="129" t="n">
        <v>0</v>
      </c>
      <c r="F306" s="126" t="n">
        <v>2621813976658</v>
      </c>
      <c r="G306" s="126">
        <f>T306</f>
        <v/>
      </c>
      <c r="H306" s="126" t="inlineStr">
        <is>
          <t>87.927.661/0001-45</t>
        </is>
      </c>
      <c r="I306" s="122" t="inlineStr">
        <is>
          <t>Contestação de cobrança</t>
        </is>
      </c>
      <c r="J306" s="126" t="n"/>
      <c r="K306" s="126" t="inlineStr">
        <is>
          <t>Chamado cancelado mas foi resolvido</t>
        </is>
      </c>
      <c r="L306" s="70" t="inlineStr">
        <is>
          <t>FINALIZADO</t>
        </is>
      </c>
      <c r="M306" s="127" t="inlineStr">
        <is>
          <t>Médio</t>
        </is>
      </c>
      <c r="N306" s="129" t="inlineStr">
        <is>
          <t>1018 Financeiro | Desejo falar com o setor financeiro | Matheus Alves Pereira | matheusp@grupopanvel.com.br</t>
        </is>
      </c>
      <c r="O306" s="125" t="n">
        <v>46240</v>
      </c>
      <c r="P306" s="123" t="n">
        <v>46240</v>
      </c>
      <c r="Q306" s="178">
        <f>TEXT(O306,"mmm/aaaa")</f>
        <v/>
      </c>
      <c r="R306" s="129" t="inlineStr">
        <is>
          <t>ECOMMERCE BP SUPORTE FINANCEIRO N2</t>
        </is>
      </c>
      <c r="S306" s="129" t="inlineStr">
        <is>
          <t>matheusp@grupopanvel.com.br</t>
        </is>
      </c>
      <c r="T306" s="129" t="inlineStr">
        <is>
          <t>DIMESUL LTDA</t>
        </is>
      </c>
      <c r="U306" s="129" t="inlineStr">
        <is>
          <t>Olá, segue formulário enviado para Cielo E-commerce:&lt;p&gt;&lt;strong&gt;Qual seu nome?:&lt;/strong&gt; Matheus Alves Pereira&lt;/p&gt;&lt;p&gt;&lt;strong&gt;Endereço de e-mail:&lt;/strong&gt; matheusp@grupopanvel.com.br&lt;/p&gt;&lt;p&gt;&lt;strong&gt;CNPJ/CPF:&lt;/strong&gt; 861.096.340-34&lt;/p&gt;&lt;p&gt;&lt;strong&gt;Telefone:&lt;/strong&gt; (51) 99867-0021&lt;/p&gt;&lt;p&gt;&lt;strong&gt;Assunto:&lt;/strong&gt; Dúvida sobre NF e boleto&lt;/p&gt;&lt;p&gt;&lt;strong&gt;Merchant ID/Estabelecimento Comercial (EC):&lt;/strong&gt; e5b6a198-39c5-4d7e-88c8-cb9af63ed754&lt;/p&gt;&lt;p&gt;&lt;strong&gt;Sobre qual produto ou área deseja falar?:&lt;/strong&gt; Financeiro&lt;/p&gt;&lt;p&gt;&lt;strong&gt;Como podemos te ajudar?:&lt;/strong&gt; Desejo falar com o setor financeiro&lt;/p&gt;&lt;p&gt;&lt;strong&gt;Descrição do problema:&lt;/strong&gt; Boa tarde, tudo bem?
Gostaria de solicitar um esclarecimento sobre a nota nº 0119782, bem como sobre a cobrança relacionada a ela, pois nunca recebemos Marketplace.
Poderia, por gentileza, nos explicar a origem dessa nota e os detalhes da cobrança?
Fico no aguardo.
Obrigado!&lt;/p&gt;&lt;p&gt;&lt;strong&gt;GA Client ID:&lt;/strong&gt; 368531649.1770310159&lt;/p&gt;&lt;p&gt;&lt;strong&gt;Lea</t>
        </is>
      </c>
      <c r="V306" s="129">
        <f>IFERROR(_xlfn.TEXTBEFORE(_xlfn.TEXTAFTER(U306,"Descrição do problema:&lt;/strong"),"&lt;/p&gt;"),_xlfn.TEXTAFTER(U306,"Descrição do problema:&lt;/strong"))</f>
        <v/>
      </c>
      <c r="W306" s="130">
        <f>_xlfn.CONCAT(D306:E306)</f>
        <v/>
      </c>
      <c r="X306" s="77" t="n">
        <v>46273</v>
      </c>
      <c r="Y306" s="131">
        <f>IF(X306="","Aberto","Encerrado")</f>
        <v/>
      </c>
      <c r="Z306" s="131">
        <f>IF(OR(L306="PENDENTE",L306="EM ANDAMENTO",L306="PENDENTE APROVAÇÃO CANCELAMENTO NF"),TODAY()-O306,X306-O306)</f>
        <v/>
      </c>
      <c r="AA306" s="131">
        <f>IF(Y306="Aberto",Z306+ROW()/100000,"")</f>
        <v/>
      </c>
      <c r="AB306" s="2">
        <f>IF(ISNUMBER(FIND("@cielo.com.br",S306)),"Interno","Externo")</f>
        <v/>
      </c>
      <c r="AD306" t="inlineStr"/>
      <c r="AJ306" t="inlineStr">
        <is>
          <t>Sem correspondência</t>
        </is>
      </c>
      <c r="AK306" t="b">
        <v>0</v>
      </c>
      <c r="AN306">
        <f>IF(OR(AG306="",AM306=""),"",IF(AG306=AM306,"SIM","NÃO"))</f>
        <v/>
      </c>
      <c r="AO306" t="inlineStr">
        <is>
          <t>NO_PATTERN</t>
        </is>
      </c>
    </row>
    <row r="307" ht="15.5" customHeight="1">
      <c r="A307" s="1" t="n"/>
      <c r="B307" s="67" t="inlineStr">
        <is>
          <t>Amanda Silva</t>
        </is>
      </c>
      <c r="C307" s="70">
        <f>VLOOKUP(I:I,'Referencias '!H:I,2,0)</f>
        <v/>
      </c>
      <c r="D307" s="129" t="n">
        <v>25679977</v>
      </c>
      <c r="E307" s="71" t="n">
        <v>0</v>
      </c>
      <c r="F307" s="72" t="n">
        <v>2621811971773</v>
      </c>
      <c r="G307" s="72">
        <f>VLOOKUP(H:H,'Referencias '!B:C,2,0)</f>
        <v/>
      </c>
      <c r="H307" s="72">
        <f>TRIM(_xlfn.TEXTBEFORE(_xlfn.TEXTAFTER(U307,"CNPJ/CPF:&lt;/strong&gt;"),"&lt;/p&gt;"))</f>
        <v/>
      </c>
      <c r="I307" s="70" t="inlineStr">
        <is>
          <t>Alterar data de emissão da NF</t>
        </is>
      </c>
      <c r="J307" s="72" t="n"/>
      <c r="K307" s="72" t="n"/>
      <c r="L307" s="122" t="inlineStr">
        <is>
          <t>PENDENTE</t>
        </is>
      </c>
      <c r="M307" s="73" t="inlineStr">
        <is>
          <t>Médio</t>
        </is>
      </c>
      <c r="N307" s="71" t="inlineStr">
        <is>
          <t>1018 Financeiro | Desejo falar com o setor financeiro | Lenon Oliveira | lenon.oliveira@savegnago.com.br</t>
        </is>
      </c>
      <c r="O307" s="74" t="n">
        <v>46240</v>
      </c>
      <c r="P307" s="123" t="n">
        <v>46240</v>
      </c>
      <c r="Q307" s="177">
        <f>TEXT(O307,"mmm/aaaa")</f>
        <v/>
      </c>
      <c r="R307" s="71" t="inlineStr">
        <is>
          <t>ECOMMERCE BP SUPORTE FINANCEIRO N2</t>
        </is>
      </c>
      <c r="S307" s="71" t="inlineStr">
        <is>
          <t>lenon.oliveira@savegnago.com.br</t>
        </is>
      </c>
      <c r="T307" s="71" t="inlineStr">
        <is>
          <t>SAVEGNAGO Lj 1 Matriz Sertaozinho</t>
        </is>
      </c>
      <c r="U307" s="71" t="inlineStr">
        <is>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Mudança nas datas de vencimento&lt;/p&gt;&lt;p&gt;&lt;strong&gt;Merchant ID/Estabelecimento Comercial (EC):&lt;/strong&gt; c3f89dc2-6f0a-4b79-9bda-28f3b0fdcba8&lt;/p&gt;&lt;p&gt;&lt;strong&gt;Descrição do problema:&lt;/strong&gt; Bom dia a todos!
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Obrigado&lt;/p&gt;&lt;p&gt;&lt;strong&gt;ID da transação:&lt;/strong&gt; &lt;/p&gt;&lt;p&gt;&lt;strong&gt;Código do erro:&lt;/strong&gt; &lt;/p&gt;&lt;p&gt;&lt;strong&gt;Sobre qual produto ou área deseja falar?:&lt;/strong&gt; Financeiro&lt;/p&gt;&lt;p&gt;&lt;strong&gt;Como podemos t</t>
        </is>
      </c>
      <c r="V307" s="71">
        <f>IFERROR(_xlfn.TEXTBEFORE(_xlfn.TEXTAFTER(U307,"Descrição do problema:&lt;/strong"),"&lt;/p&gt;"),_xlfn.TEXTAFTER(U307,"Descrição do problema:&lt;/strong"))</f>
        <v/>
      </c>
      <c r="W307" s="76">
        <f>_xlfn.CONCAT(D307:E307)</f>
        <v/>
      </c>
      <c r="X307" s="77" t="n"/>
      <c r="Y307" s="78">
        <f>IF(X307="","Aberto","Encerrado")</f>
        <v/>
      </c>
      <c r="Z307" s="78">
        <f>IF(OR(L307="PENDENTE",L307="EM ANDAMENTO",L307="PENDENTE APROVAÇÃO CANCELAMENTO NF"),TODAY()-O307,X307-O307)</f>
        <v/>
      </c>
      <c r="AA307" s="78">
        <f>IF(Y307="Aberto",Z307+ROW()/100000,"")</f>
        <v/>
      </c>
      <c r="AB307" s="2">
        <f>IF(ISNUMBER(FIND("@cielo.com.br",S307)),"Interno","Externo")</f>
        <v/>
      </c>
      <c r="AC307" t="inlineStr">
        <is>
          <t>Alterar ou prorrogar vencimento ou prazo de pagamento.</t>
        </is>
      </c>
      <c r="AD307" t="inlineStr">
        <is>
          <t>mudança nas datas de vencimento; pagamento nas datas; mudança + vencimento</t>
        </is>
      </c>
      <c r="AE307" t="inlineStr">
        <is>
          <t>Alteração de vencimento</t>
        </is>
      </c>
      <c r="AF307" t="inlineStr">
        <is>
          <t>Título Financeiro</t>
        </is>
      </c>
      <c r="AG307" t="inlineStr">
        <is>
          <t>Pagamentos, Boletos e Recebimentos</t>
        </is>
      </c>
      <c r="AI307" t="inlineStr">
        <is>
          <t>INT_PAG_VENCIMENTO</t>
        </is>
      </c>
      <c r="AJ307" t="inlineStr">
        <is>
          <t>Sugerida</t>
        </is>
      </c>
      <c r="AK307" t="b">
        <v>0</v>
      </c>
      <c r="AN307">
        <f>IF(OR(AG307="",AM307=""),"",IF(AG307=AM307,"SIM","NÃO"))</f>
        <v/>
      </c>
      <c r="AO307" t="inlineStr">
        <is>
          <t>CLASSIFIED_PATTERN</t>
        </is>
      </c>
    </row>
    <row r="308" ht="15.5" customHeight="1">
      <c r="A308" s="1" t="n"/>
      <c r="B308" s="67" t="inlineStr">
        <is>
          <t>Amanda Silva</t>
        </is>
      </c>
      <c r="C308" s="70">
        <f>VLOOKUP(I:I,'Referencias '!H:I,2,0)</f>
        <v/>
      </c>
      <c r="D308" s="71" t="n">
        <v>25652435</v>
      </c>
      <c r="E308" s="71" t="n">
        <v>0</v>
      </c>
      <c r="F308" s="72" t="n">
        <v>2621717954072</v>
      </c>
      <c r="G308" s="72">
        <f>VLOOKUP(H:H,'Referencias '!B:C,2,0)</f>
        <v/>
      </c>
      <c r="H308" s="72">
        <f>TRIM(_xlfn.TEXTBEFORE(_xlfn.TEXTAFTER(U308,"CNPJ/CPF:&lt;/strong&gt;"),"&lt;/p&gt;"))</f>
        <v/>
      </c>
      <c r="I308" s="70" t="inlineStr">
        <is>
          <t>Contestação de cobrança</t>
        </is>
      </c>
      <c r="J308" s="72" t="n"/>
      <c r="K308" s="72" t="n"/>
      <c r="L308" s="70" t="inlineStr">
        <is>
          <t>FINALIZADO</t>
        </is>
      </c>
      <c r="M308" s="73" t="inlineStr">
        <is>
          <t>Médio</t>
        </is>
      </c>
      <c r="N308" s="71" t="inlineStr">
        <is>
          <t>1018 Financeiro | Desejo falar com o setor financeiro | Inove Online | inoveonline0904@gmail.com</t>
        </is>
      </c>
      <c r="O308" s="74" t="n">
        <v>46239</v>
      </c>
      <c r="P308" s="123" t="n">
        <v>46239</v>
      </c>
      <c r="Q308" s="177">
        <f>TEXT(O308,"mmm/aaaa")</f>
        <v/>
      </c>
      <c r="R308" s="71" t="inlineStr">
        <is>
          <t>ECOMMERCE BP SUPORTE FINANCEIRO N2</t>
        </is>
      </c>
      <c r="S308" s="71" t="inlineStr">
        <is>
          <t>inoveonline0904@gmail.com</t>
        </is>
      </c>
      <c r="T308" s="71" t="inlineStr">
        <is>
          <t>INOVE ONLINE LTDA</t>
        </is>
      </c>
      <c r="U308" s="71" t="inlineStr">
        <is>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Fatura com valor diferente&lt;/p&gt;&lt;p&gt;&lt;strong&gt;Merchant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Recebi a cobrança de 699,24, sendo que o valor acordado em contrato sempre foi de 400 reais, gostaria de entender o motivo de ter aumentando quase 300 reais!&lt;/p&gt;&lt;p&gt;&lt;strong&gt;GA Client ID:&lt;/strong&gt; 665735818.1783686937&lt;/p&gt;&lt;p&gt;&lt;strong&gt;Lead Hash ID:&lt;/strong&gt; a679912ca6021f94df11b4cae56ea265a8fdc240415072eca5b28f7eb36cd13c&lt;/p&gt;&lt;p&gt;&lt;strong&gt;Lead Form ID:&lt;/strong&gt; a6799</t>
        </is>
      </c>
      <c r="V308" s="71">
        <f>IFERROR(_xlfn.TEXTBEFORE(_xlfn.TEXTAFTER(U308,"Descrição do problema:&lt;/strong"),"&lt;/p&gt;"),_xlfn.TEXTAFTER(U308,"Descrição do problema:&lt;/strong"))</f>
        <v/>
      </c>
      <c r="W308" s="76">
        <f>_xlfn.CONCAT(D308:E308)</f>
        <v/>
      </c>
      <c r="X308" s="77">
        <f>P308</f>
        <v/>
      </c>
      <c r="Y308" s="78">
        <f>IF(X308="","Aberto","Encerrado")</f>
        <v/>
      </c>
      <c r="Z308" s="78">
        <f>IF(OR(L308="PENDENTE",L308="EM ANDAMENTO",L308="PENDENTE APROVAÇÃO CANCELAMENTO NF"),TODAY()-O308,X308-O308)</f>
        <v/>
      </c>
      <c r="AA308" s="78">
        <f>IF(Y308="Aberto",Z308+ROW()/100000,"")</f>
        <v/>
      </c>
      <c r="AB308" s="2">
        <f>IF(ISNUMBER(FIND("@cielo.com.br",S308)),"Interno","Externo")</f>
        <v/>
      </c>
      <c r="AC308" t="inlineStr">
        <is>
          <t>Contestar divergência, valor ou critério de cobrança.</t>
        </is>
      </c>
      <c r="AD308" t="inlineStr">
        <is>
          <t>valor acordado em contrato; fatura com valor diferente; cobrança + contrato</t>
        </is>
      </c>
      <c r="AE308" t="inlineStr">
        <is>
          <t>Contestação de cobrança</t>
        </is>
      </c>
      <c r="AF308" t="inlineStr">
        <is>
          <t>Valor Cobrado</t>
        </is>
      </c>
      <c r="AG308" t="inlineStr">
        <is>
          <t>Cobrança e Contestação</t>
        </is>
      </c>
      <c r="AI308" t="inlineStr">
        <is>
          <t>INT_COB_CONTESTACAO</t>
        </is>
      </c>
      <c r="AJ308" t="inlineStr">
        <is>
          <t>Sugerida</t>
        </is>
      </c>
      <c r="AK308" t="b">
        <v>0</v>
      </c>
      <c r="AN308">
        <f>IF(OR(AG308="",AM308=""),"",IF(AG308=AM308,"SIM","NÃO"))</f>
        <v/>
      </c>
      <c r="AO308" t="inlineStr">
        <is>
          <t>CLASSIFIED_PATTERN</t>
        </is>
      </c>
    </row>
    <row r="309" ht="15.5" customHeight="1">
      <c r="A309" s="1" t="n"/>
      <c r="B309" s="67" t="inlineStr">
        <is>
          <t>Stephany Lima</t>
        </is>
      </c>
      <c r="C309" s="70">
        <f>VLOOKUP(I:I,'Referencias '!H:I,2,0)</f>
        <v/>
      </c>
      <c r="D309" s="71" t="n">
        <v>25587767</v>
      </c>
      <c r="E309" s="71" t="n">
        <v>0</v>
      </c>
      <c r="F309" s="126" t="inlineStr">
        <is>
          <t>2621616912823</t>
        </is>
      </c>
      <c r="G309" s="72">
        <f>VLOOKUP(H:H,'Referencias '!B:C,2,0)</f>
        <v/>
      </c>
      <c r="H309" s="72">
        <f>TRIM(_xlfn.TEXTBEFORE(_xlfn.TEXTAFTER(U309,"CNPJ/CPF:&lt;/strong&gt;"),"&lt;/p&gt;"))</f>
        <v/>
      </c>
      <c r="I309" s="70" t="inlineStr">
        <is>
          <t>Dúvidas sobre cobrança</t>
        </is>
      </c>
      <c r="J309" s="72" t="n"/>
      <c r="K309" s="72" t="n"/>
      <c r="L309" s="122" t="inlineStr">
        <is>
          <t>PENDENTE</t>
        </is>
      </c>
      <c r="M309" s="73" t="inlineStr">
        <is>
          <t>Médio</t>
        </is>
      </c>
      <c r="N309" s="71" t="inlineStr">
        <is>
          <t>1018 Financeiro | Desejo falar com o setor financeiro | VISA DO BRASIL EMPREENDIMENTOS LTDA | ariane.pasilva@cielo.com.br</t>
        </is>
      </c>
      <c r="O309" s="74" t="n">
        <v>46238</v>
      </c>
      <c r="P309" s="123" t="n">
        <v>46238</v>
      </c>
      <c r="Q309" s="177">
        <f>TEXT(O309,"mmm/aaaa")</f>
        <v/>
      </c>
      <c r="R309" s="71" t="inlineStr">
        <is>
          <t>ECOMMERCE BP SUPORTE FINANCEIRO N2</t>
        </is>
      </c>
      <c r="S309" s="71" t="inlineStr">
        <is>
          <t>ariane.pasilva@cielo.com.br</t>
        </is>
      </c>
      <c r="T309" s="71" t="inlineStr"/>
      <c r="U309" s="71" t="inlineStr">
        <is>
          <t>Olá, segue formulário enviado para Cielo E-commerce:&lt;p&gt;&lt;strong&gt;Qual seu nome?:&lt;/strong&gt; VISA DO BRASIL EMPREENDIMENTOS LTDA&lt;/p&gt;&lt;p&gt;&lt;strong&gt;Endereço de e-mail:&lt;/strong&gt; ariane.pasilva@cielo.com.br&lt;/p&gt;&lt;p&gt;&lt;strong&gt;CNPJ/CPF:&lt;/strong&gt; 31.551.765/0001-43&lt;/p&gt;&lt;p&gt;&lt;strong&gt;Telefone:&lt;/strong&gt; (11) 97707-1602&lt;/p&gt;&lt;p&gt;&lt;strong&gt;Assunto:&lt;/strong&gt; Detalhamento transacional&lt;/p&gt;&lt;p&gt;&lt;strong&gt;Merchant ID/Estabelecimento Comercial (EC):&lt;/strong&gt; 31551765000143&lt;/p&gt;&lt;p&gt;&lt;strong&gt;Descrição do problema:&lt;/strong&gt; Time financeiro, boa tarde. Tudo bem?
Por favor, preciso saber se as transações que estamos cobrando das notas fiscais do cliente: 31551765000143
são relacionados ao MID:BBA85CEC-60E0-4E61-B105-A63B118ACA08?
Se não, a qual MID está relacionada?&lt;/p&gt;&lt;p&gt;&lt;strong&gt;ID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t>
        </is>
      </c>
      <c r="V309" s="71">
        <f>IFERROR(_xlfn.TEXTBEFORE(_xlfn.TEXTAFTER(U309,"Descrição do problema:&lt;/strong"),"&lt;/p&gt;"),_xlfn.TEXTAFTER(U309,"Descrição do problema:&lt;/strong"))</f>
        <v/>
      </c>
      <c r="W309" s="76">
        <f>_xlfn.CONCAT(D309:E309)</f>
        <v/>
      </c>
      <c r="X309" s="77" t="n"/>
      <c r="Y309" s="78">
        <f>IF(X309="","Aberto","Encerrado")</f>
        <v/>
      </c>
      <c r="Z309" s="78">
        <f>IF(OR(L309="PENDENTE",L309="EM ANDAMENTO",L309="PENDENTE APROVAÇÃO CANCELAMENTO NF"),TODAY()-O309,X309-O309)</f>
        <v/>
      </c>
      <c r="AA309" s="78">
        <f>IF(Y309="Aberto",Z309+ROW()/100000,"")</f>
        <v/>
      </c>
      <c r="AB309" s="2">
        <f>IF(ISNUMBER(FIND("@cielo.com.br",S309)),"Interno","Externo")</f>
        <v/>
      </c>
      <c r="AC309" t="inlineStr">
        <is>
          <t>Contestar divergência, valor ou critério de cobrança.</t>
        </is>
      </c>
      <c r="AD309" t="inlineStr">
        <is>
          <t>detalhamento transacional</t>
        </is>
      </c>
      <c r="AE309" t="inlineStr">
        <is>
          <t>Contestação de cobrança</t>
        </is>
      </c>
      <c r="AF309" t="inlineStr">
        <is>
          <t>Valor Cobrado</t>
        </is>
      </c>
      <c r="AG309" t="inlineStr">
        <is>
          <t>Cobrança e Contestação</t>
        </is>
      </c>
      <c r="AI309" t="inlineStr">
        <is>
          <t>INT_COB_CONTESTACAO</t>
        </is>
      </c>
      <c r="AJ309" t="inlineStr">
        <is>
          <t>Sugerida</t>
        </is>
      </c>
      <c r="AK309" t="b">
        <v>0</v>
      </c>
      <c r="AN309">
        <f>IF(OR(AG309="",AM309=""),"",IF(AG309=AM309,"SIM","NÃO"))</f>
        <v/>
      </c>
      <c r="AO309" t="inlineStr">
        <is>
          <t>CLASSIFIED_PATTERN</t>
        </is>
      </c>
    </row>
    <row r="310" ht="15.5" customHeight="1">
      <c r="A310" s="1" t="n"/>
      <c r="B310" s="67" t="inlineStr">
        <is>
          <t>Emilly Maria</t>
        </is>
      </c>
      <c r="C310" s="70">
        <f>VLOOKUP(I:I,'Referencias '!H:I,2,0)</f>
        <v/>
      </c>
      <c r="D310" s="71" t="n">
        <v>25587571</v>
      </c>
      <c r="E310" s="71" t="n">
        <v>0</v>
      </c>
      <c r="F310" s="72" t="n">
        <v>2621616912722</v>
      </c>
      <c r="G310" s="72">
        <f>VLOOKUP(H:H,'Referencias '!B:C,2,0)</f>
        <v/>
      </c>
      <c r="H310" s="72">
        <f>TRIM(_xlfn.TEXTBEFORE(_xlfn.TEXTAFTER(U310,"CNPJ/CPF:&lt;/strong&gt;"),"&lt;/p&gt;"))</f>
        <v/>
      </c>
      <c r="I310" s="70" t="inlineStr">
        <is>
          <t>Mudança de código NF</t>
        </is>
      </c>
      <c r="J310" s="72" t="n"/>
      <c r="K310" s="72" t="n"/>
      <c r="L310" s="122" t="inlineStr">
        <is>
          <t>PENDENTE</t>
        </is>
      </c>
      <c r="M310" s="73" t="inlineStr">
        <is>
          <t>Médio</t>
        </is>
      </c>
      <c r="N310" s="71" t="inlineStr">
        <is>
          <t>1003 Gateway de Pagamento | Criação de loja (Gateway de Pagamento) | Guilherme Ribeiro | grribeiro@pagbank.com</t>
        </is>
      </c>
      <c r="O310" s="74" t="n">
        <v>46238</v>
      </c>
      <c r="P310" s="123" t="n">
        <v>46239</v>
      </c>
      <c r="Q310" s="177">
        <f>TEXT(O310,"mmm/aaaa")</f>
        <v/>
      </c>
      <c r="R310" s="71" t="inlineStr">
        <is>
          <t>ECOMMERCE BP SUPORTE FINANCEIRO N2</t>
        </is>
      </c>
      <c r="S310" s="71" t="inlineStr">
        <is>
          <t>grribeiro@pagbank.com</t>
        </is>
      </c>
      <c r="T310" s="71" t="inlineStr"/>
      <c r="U310" s="71" t="inlineStr">
        <is>
          <t>Olá, segue formulário enviado para Cielo E-commerce:&lt;p&gt;&lt;strong&gt;Qual seu nome?:&lt;/strong&gt; Guilherme Ribeiro&lt;/p&gt;&lt;p&gt;&lt;strong&gt;Endereço de e-mail:&lt;/strong&gt; grribeiro@pagbank.com&lt;/p&gt;&lt;p&gt;&lt;strong&gt;CNPJ/CPF:&lt;/strong&gt; 08.561.701/0001-01&lt;/p&gt;&lt;p&gt;&lt;strong&gt;Telefone:&lt;/strong&gt; (16) 99166-4583&lt;/p&gt;&lt;p&gt;&lt;strong&gt;Assunto:&lt;/strong&gt; Correção de nota fiscal de rebate&lt;/p&gt;&lt;p&gt;&lt;strong&gt;Merchant ID/Estabelecimento Comercial (EC):&lt;/strong&gt; N/A&lt;/p&gt;&lt;p&gt;&lt;strong&gt;Sobre qual produto ou área deseja falar?:&lt;/strong&gt; Gateway de Pagamento&lt;/p&gt;&lt;p&gt;&lt;strong&gt;Como podemos te ajudar?:&lt;/strong&gt; Criação de loja (Gateway de Pagamento)&lt;/p&gt;&lt;p&gt;&lt;strong&gt;Descrição do problema:&lt;/strong&gt; Boa tarde time Cielo, tudo bem?
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financeiro.&lt;/p&gt;&lt;p&gt;</t>
        </is>
      </c>
      <c r="V310" s="71">
        <f>IFERROR(_xlfn.TEXTBEFORE(_xlfn.TEXTAFTER(U310,"Descrição do problema:&lt;/strong"),"&lt;/p&gt;"),_xlfn.TEXTAFTER(U310,"Descrição do problema:&lt;/strong"))</f>
        <v/>
      </c>
      <c r="W310" s="76">
        <f>_xlfn.CONCAT(D310:E310)</f>
        <v/>
      </c>
      <c r="X310" s="77" t="n"/>
      <c r="Y310" s="78">
        <f>IF(X310="","Aberto","Encerrado")</f>
        <v/>
      </c>
      <c r="Z310" s="78">
        <f>IF(OR(L310="PENDENTE",L310="EM ANDAMENTO",L310="PENDENTE APROVAÇÃO CANCELAMENTO NF"),TODAY()-O310,X310-O310)</f>
        <v/>
      </c>
      <c r="AA310" s="78">
        <f>IF(Y310="Aberto",Z310+ROW()/100000,"")</f>
        <v/>
      </c>
      <c r="AB310" s="2">
        <f>IF(ISNUMBER(FIND("@cielo.com.br",S310)),"Interno","Externo")</f>
        <v/>
      </c>
      <c r="AC310" t="inlineStr">
        <is>
          <t>Cancelar, substituir ou reemitir nota fiscal.</t>
        </is>
      </c>
      <c r="AD310" t="inlineStr">
        <is>
          <t>correção de nota fiscal; correção de nf</t>
        </is>
      </c>
      <c r="AE310" t="inlineStr">
        <is>
          <t>Cancelamento de NF</t>
        </is>
      </c>
      <c r="AF310" t="inlineStr">
        <is>
          <t>Documento Fiscal</t>
        </is>
      </c>
      <c r="AG310" t="inlineStr">
        <is>
          <t>Cancelamento e Reemissão de Nota Fiscal</t>
        </is>
      </c>
      <c r="AI310" t="inlineStr">
        <is>
          <t>INT_NF_CANCEL_REEMISSAO</t>
        </is>
      </c>
      <c r="AJ310" t="inlineStr">
        <is>
          <t>Sugerida</t>
        </is>
      </c>
      <c r="AK310" t="b">
        <v>0</v>
      </c>
      <c r="AN310">
        <f>IF(OR(AG310="",AM310=""),"",IF(AG310=AM310,"SIM","NÃO"))</f>
        <v/>
      </c>
      <c r="AO310" t="inlineStr">
        <is>
          <t>CLASSIFIED_PATTERN</t>
        </is>
      </c>
    </row>
    <row r="311" ht="15.5" customHeight="1">
      <c r="A311" s="1" t="n"/>
      <c r="B311" s="67" t="inlineStr">
        <is>
          <t>Stephany Lima</t>
        </is>
      </c>
      <c r="C311" s="70">
        <f>VLOOKUP(I:I,'Referencias '!H:I,2,0)</f>
        <v/>
      </c>
      <c r="D311" s="71" t="n">
        <v>25611580</v>
      </c>
      <c r="E311" s="71" t="n">
        <v>0</v>
      </c>
      <c r="F311" s="72" t="n">
        <v>2621710927926</v>
      </c>
      <c r="G311" s="72">
        <f>VLOOKUP(H:H,'Referencias '!B:C,2,0)</f>
        <v/>
      </c>
      <c r="H311" s="72">
        <f>TRIM(_xlfn.TEXTBEFORE(_xlfn.TEXTAFTER(U311,"CNPJ/CPF:&lt;/strong&gt;"),"&lt;/p&gt;"))</f>
        <v/>
      </c>
      <c r="I311" s="70" t="inlineStr">
        <is>
          <t>Consulta prazo pagamento</t>
        </is>
      </c>
      <c r="J311" s="72" t="n"/>
      <c r="K311" s="72" t="n"/>
      <c r="L311" s="122" t="inlineStr">
        <is>
          <t>PENDENTE</t>
        </is>
      </c>
      <c r="M311" s="73" t="inlineStr">
        <is>
          <t>Médio</t>
        </is>
      </c>
      <c r="N311" s="71" t="inlineStr">
        <is>
          <t>1018 Financeiro | Desejo falar com o setor financeiro | Mariane Oliveira dos Santos | mariane.santos@cielo.com.br</t>
        </is>
      </c>
      <c r="O311" s="74" t="n">
        <v>46239</v>
      </c>
      <c r="P311" s="123" t="n">
        <v>46239</v>
      </c>
      <c r="Q311" s="177">
        <f>TEXT(O311,"mmm/aaaa")</f>
        <v/>
      </c>
      <c r="R311" s="71" t="inlineStr">
        <is>
          <t>ECOMMERCE BP SUPORTE FINANCEIRO N2</t>
        </is>
      </c>
      <c r="S311" s="71" t="inlineStr">
        <is>
          <t>mariane.santos@cielo.com.br</t>
        </is>
      </c>
      <c r="T311" s="71" t="inlineStr"/>
      <c r="U311" s="71" t="inlineStr">
        <is>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Prazo de pagamento&lt;/p&gt;&lt;p&gt;&lt;strong&gt;Merchant ID/Estabelecimento Comercial (EC):&lt;/strong&gt; 52.226.073/0001-08&lt;/p&gt;&lt;p&gt;&lt;strong&gt;Descrição do problema:&lt;/strong&gt; Bom dia, pessoal! Tudo bem?
Este cliente entrou em contato conosco, reclamando que as NFs estão sendo emitidas com um prazo para pagamento muito curto. Qual o prazo cadastrado para este cliente?
Verifiquei que o prazo acordado em contrato é de 15 dias, segue em anexo o documento para validação.
CNPJ 52.226.073/0001-08&lt;/p&gt;&lt;p&gt;&lt;strong&gt;ID da transação:&lt;/strong&gt; &lt;/p&gt;&lt;p&gt;&lt;strong&gt;Código do erro:&lt;/strong&gt; &lt;/p&gt;&lt;p&gt;&lt;strong&gt;Sobre qual produto ou área deseja falar?:&lt;/strong&gt; Financeiro&lt;/p&gt;&lt;p&gt;&lt;strong&gt;Como podemos te ajudar?:&lt;/strong&gt; Des</t>
        </is>
      </c>
      <c r="V311" s="71">
        <f>IFERROR(_xlfn.TEXTBEFORE(_xlfn.TEXTAFTER(U311,"Descrição do problema:&lt;/strong"),"&lt;/p&gt;"),_xlfn.TEXTAFTER(U311,"Descrição do problema:&lt;/strong"))</f>
        <v/>
      </c>
      <c r="W311" s="76">
        <f>_xlfn.CONCAT(D311:E311)</f>
        <v/>
      </c>
      <c r="X311" s="77" t="n"/>
      <c r="Y311" s="78">
        <f>IF(X311="","Aberto","Encerrado")</f>
        <v/>
      </c>
      <c r="Z311" s="78">
        <f>IF(OR(L311="PENDENTE",L311="EM ANDAMENTO",L311="PENDENTE APROVAÇÃO CANCELAMENTO NF"),TODAY()-O311,X311-O311)</f>
        <v/>
      </c>
      <c r="AA311" s="78">
        <f>IF(Y311="Aberto",Z311+ROW()/100000,"")</f>
        <v/>
      </c>
      <c r="AB311" s="2">
        <f>IF(ISNUMBER(FIND("@cielo.com.br",S311)),"Interno","Externo")</f>
        <v/>
      </c>
      <c r="AC311" t="inlineStr">
        <is>
          <t>Consultar pagamentos, débitos, pendências ou recebíveis.</t>
        </is>
      </c>
      <c r="AD311" t="inlineStr">
        <is>
          <t>prazo de pagamento; qual o prazo cadastrado</t>
        </is>
      </c>
      <c r="AE311" t="inlineStr">
        <is>
          <t>Consulta financeira</t>
        </is>
      </c>
      <c r="AF311" t="inlineStr">
        <is>
          <t>Título Financeiro</t>
        </is>
      </c>
      <c r="AG311" t="inlineStr">
        <is>
          <t>Pagamentos, Boletos e Recebimentos</t>
        </is>
      </c>
      <c r="AI311" t="inlineStr">
        <is>
          <t>INT_PAG_FINANCEIRO</t>
        </is>
      </c>
      <c r="AJ311" t="inlineStr">
        <is>
          <t>Sugerida</t>
        </is>
      </c>
      <c r="AK311" t="b">
        <v>0</v>
      </c>
      <c r="AN311">
        <f>IF(OR(AG311="",AM311=""),"",IF(AG311=AM311,"SIM","NÃO"))</f>
        <v/>
      </c>
      <c r="AO311" t="inlineStr">
        <is>
          <t>CLASSIFIED_PATTERN</t>
        </is>
      </c>
    </row>
    <row r="312" ht="15.5" customHeight="1">
      <c r="A312" s="1" t="n"/>
      <c r="B312" s="67" t="inlineStr">
        <is>
          <t>Emilly Maria</t>
        </is>
      </c>
      <c r="C312" s="70">
        <f>VLOOKUP(I:I,'Referencias '!H:I,2,0)</f>
        <v/>
      </c>
      <c r="D312" s="71" t="n">
        <v>26015915</v>
      </c>
      <c r="E312" s="71" t="inlineStr">
        <is>
          <t>0</t>
        </is>
      </c>
      <c r="F312" s="126" t="inlineStr">
        <is>
          <t>2622519186379</t>
        </is>
      </c>
      <c r="G312" s="72">
        <f>VLOOKUP(H:H,'Referencias '!B:C,2,0)</f>
        <v/>
      </c>
      <c r="H312" s="72">
        <f>TRIM(_xlfn.TEXTBEFORE(_xlfn.TEXTAFTER(U312,"CNPJ/CPF:&lt;/strong&gt;"),"&lt;/p&gt;"))</f>
        <v/>
      </c>
      <c r="I312" s="70" t="inlineStr">
        <is>
          <t>Inclusão de PO NF</t>
        </is>
      </c>
      <c r="J312" s="126" t="n"/>
      <c r="K312" s="72" t="n"/>
      <c r="L312" s="70" t="inlineStr">
        <is>
          <t>FINALIZADO</t>
        </is>
      </c>
      <c r="M312" s="73" t="inlineStr">
        <is>
          <t>Médio</t>
        </is>
      </c>
      <c r="N312" s="71" t="inlineStr">
        <is>
          <t>1018 Financeiro | Desejo falar com o setor financeiro | Debora | cobrancati@cinemark.com.br</t>
        </is>
      </c>
      <c r="O312" s="74" t="n">
        <v>46247</v>
      </c>
      <c r="P312" s="123" t="n">
        <v>46248</v>
      </c>
      <c r="Q312" s="177">
        <f>TEXT(O312,"mmm/aaaa")</f>
        <v/>
      </c>
      <c r="R312" s="71" t="inlineStr">
        <is>
          <t>ECOMMERCE BP SUPORTE FINANCEIRO N2</t>
        </is>
      </c>
      <c r="S312" s="71" t="inlineStr">
        <is>
          <t>cobrancati@cinemark.com.br</t>
        </is>
      </c>
      <c r="T312" s="71" t="inlineStr"/>
      <c r="U312" s="71" t="inlineStr">
        <is>
          <t>Olá, segue formulário enviado para Cielo E-commerce:&lt;p&gt;&lt;strong&gt;Endereço de e-mail:&lt;/strong&gt; cobrancati@cinemark.com.br&lt;/p&gt;&lt;p&gt;&lt;strong&gt;Qual seu nome?:&lt;/strong&gt; Debora&lt;/p&gt;&lt;p&gt;&lt;strong&gt;CNPJ/CPF:&lt;/strong&gt; 00.779.721/0001-41&lt;/p&gt;&lt;p&gt;&lt;strong&gt;Telefone:&lt;/strong&gt; (11) 94305-6481&lt;/p&gt;&lt;p&gt;&lt;strong&gt;Assunto:&lt;/strong&gt; Inclusão da P.O nas NF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Inclusão da P.O nas NF Pagador, 3DS e Cartão Protegido
OC000777457 - Antifraude jun.26
OC000778663 - 3DS
OC000778818 - Cartão
OC000779006 - Pagador&lt;/p&gt;&lt;p&gt;&lt;strong&gt;GA Client ID:&lt;/strong&gt; 1764456801.1765984201&lt;/p&gt;&lt;p&gt;&lt;strong&gt;Lead Hash ID:&lt;/strong&gt; ae4e7ca904ec5ec8b89ceeb86ba8a422c0fbd84abebe218fe785dc0bd6b548d1&lt;/p&gt;&lt;p&gt;&lt;strong&gt;Lead Form ID:&lt;/strong&gt; ae4e7ca9</t>
        </is>
      </c>
      <c r="V312" s="71">
        <f>IFERROR(_xlfn.TEXTBEFORE(_xlfn.TEXTAFTER(U312,"Descrição do problema:&lt;/strong"),"&lt;/p&gt;"),_xlfn.TEXTAFTER(U312,"Descrição do problema:&lt;/strong"))</f>
        <v/>
      </c>
      <c r="W312" s="76">
        <f>_xlfn.CONCAT(D312:E312)</f>
        <v/>
      </c>
      <c r="X312" s="77" t="n">
        <v>46252</v>
      </c>
      <c r="Y312" s="78">
        <f>IF(X312="","Aberto","Encerrado")</f>
        <v/>
      </c>
      <c r="Z312" s="78">
        <f>IF(OR(L312="PENDENTE",L312="EM ANDAMENTO",L312="PENDENTE APROVAÇÃO CANCELAMENTO NF"),TODAY()-O312,X312-O312)</f>
        <v/>
      </c>
      <c r="AA312" s="78">
        <f>IF(Y312="Aberto",Z312+ROW()/100000,"")</f>
        <v/>
      </c>
      <c r="AB312" s="2">
        <f>IF(ISNUMBER(FIND("@cielo.com.br",S312)),"Interno","Externo")</f>
        <v/>
      </c>
      <c r="AD312" t="inlineStr"/>
      <c r="AJ312" t="inlineStr">
        <is>
          <t>Sem correspondência</t>
        </is>
      </c>
      <c r="AK312" t="b">
        <v>0</v>
      </c>
      <c r="AN312">
        <f>IF(OR(AG312="",AM312=""),"",IF(AG312=AM312,"SIM","NÃO"))</f>
        <v/>
      </c>
      <c r="AO312" t="inlineStr">
        <is>
          <t>NO_PATTERN</t>
        </is>
      </c>
    </row>
    <row r="313" ht="15.5" customHeight="1">
      <c r="A313" s="1" t="n"/>
      <c r="B313" s="67" t="inlineStr">
        <is>
          <t>Amanda Silva</t>
        </is>
      </c>
      <c r="C313" s="70">
        <f>VLOOKUP(I:I,'Referencias '!H:I,2,0)</f>
        <v/>
      </c>
      <c r="D313" s="71" t="n">
        <v>26011491</v>
      </c>
      <c r="E313" s="71" t="inlineStr">
        <is>
          <t>0</t>
        </is>
      </c>
      <c r="F313" s="126" t="inlineStr">
        <is>
          <t>2622517183903</t>
        </is>
      </c>
      <c r="G313" s="72">
        <f>T313</f>
        <v/>
      </c>
      <c r="H313" s="72">
        <f>TRIM(_xlfn.TEXTBEFORE(_xlfn.TEXTAFTER(U313,"CNPJ/CPF:&lt;/strong&gt;"),"&lt;/p&gt;"))</f>
        <v/>
      </c>
      <c r="I313" s="70" t="inlineStr">
        <is>
          <t>Cancelamento de Nota fiscal</t>
        </is>
      </c>
      <c r="J313" s="72" t="n"/>
      <c r="K313" s="72" t="inlineStr">
        <is>
          <t>Financeiro</t>
        </is>
      </c>
      <c r="L313" s="122" t="inlineStr">
        <is>
          <t>PENDENTE</t>
        </is>
      </c>
      <c r="M313" s="73" t="inlineStr">
        <is>
          <t>Médio</t>
        </is>
      </c>
      <c r="N313" s="71" t="inlineStr">
        <is>
          <t>1018 Financeiro | Desejo falar com o setor financeiro | CHAT-TECH INFORMATICA E SERVICOS LT | ariane.pasilva@cielo.com.br</t>
        </is>
      </c>
      <c r="O313" s="74" t="n">
        <v>46247</v>
      </c>
      <c r="P313" s="123" t="n">
        <v>46248</v>
      </c>
      <c r="Q313" s="177">
        <f>TEXT(O313,"mmm/aaaa")</f>
        <v/>
      </c>
      <c r="R313" s="71" t="inlineStr">
        <is>
          <t>ECOMMERCE BP SUPORTE FINANCEIRO N2</t>
        </is>
      </c>
      <c r="S313" s="71" t="inlineStr">
        <is>
          <t>ariane.pasilva@cielo.com.br</t>
        </is>
      </c>
      <c r="T313" s="71" t="inlineStr"/>
      <c r="U313" s="71" t="inlineStr">
        <is>
          <t>Olá, segue formulário enviado para Cielo E-commerce:&lt;p&gt;&lt;strong&gt;Qual seu nome?:&lt;/strong&gt; CHAT-TECH INFORMATICA E SERVICOS LT&lt;/p&gt;&lt;p&gt;&lt;strong&gt;Endereço de e-mail:&lt;/strong&gt; ariane.pasilva@cielo.com.br&lt;/p&gt;&lt;p&gt;&lt;strong&gt;CNPJ/CPF:&lt;/strong&gt; 04.525.527/0001-90&lt;/p&gt;&lt;p&gt;&lt;strong&gt;Telefone:&lt;/strong&gt; (11) 97707-1602&lt;/p&gt;&lt;p&gt;&lt;strong&gt;Assunto:&lt;/strong&gt; Cancelamento de notas&lt;/p&gt;&lt;p&gt;&lt;strong&gt;Merchant ID/Estabelecimento Comercial (EC):&lt;/strong&gt; 04525527000190&lt;/p&gt;&lt;p&gt;&lt;strong&gt;Descrição do problema:&lt;/strong&gt; Favor cancelar todas as notas do cliente.
Conforme evidência a funcionária do financeiro em 2023 afirmou que a o serviço estava sendo bloqueado em30/05/2023.
Desvio da antiga funcionária, pois continuamos faturando até março/2026 de forma indevida.&lt;/p&gt;&lt;p&gt;&lt;strong&gt;ID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
        </is>
      </c>
      <c r="V313" s="71">
        <f>IFERROR(_xlfn.TEXTBEFORE(_xlfn.TEXTAFTER(U313,"Descrição do problema:&lt;/strong"),"&lt;/p&gt;"),_xlfn.TEXTAFTER(U313,"Descrição do problema:&lt;/strong"))</f>
        <v/>
      </c>
      <c r="W313" s="76">
        <f>_xlfn.CONCAT(D313:E313)</f>
        <v/>
      </c>
      <c r="X313" s="77" t="n"/>
      <c r="Y313" s="78">
        <f>IF(X313="","Aberto","Encerrado")</f>
        <v/>
      </c>
      <c r="Z313" s="78">
        <f>IF(OR(L313="PENDENTE",L313="EM ANDAMENTO",L313="PENDENTE APROVAÇÃO CANCELAMENTO NF"),TODAY()-O313,X313-O313)</f>
        <v/>
      </c>
      <c r="AA313" s="78">
        <f>IF(Y313="Aberto",Z313+ROW()/100000,"")</f>
        <v/>
      </c>
      <c r="AB313" s="2">
        <f>IF(ISNUMBER(FIND("@cielo.com.br",S313)),"Interno","Externo")</f>
        <v/>
      </c>
      <c r="AC313" t="inlineStr">
        <is>
          <t>Cancelar, substituir ou reemitir nota fiscal.</t>
        </is>
      </c>
      <c r="AD313" t="inlineStr">
        <is>
          <t>cancelar todas as notas; cancelamento de nota; cancelamento de notas; favor cancelar todas as notas; cancelar + nf; cancelamento + nf</t>
        </is>
      </c>
      <c r="AE313" t="inlineStr">
        <is>
          <t>Cancelamento de NF</t>
        </is>
      </c>
      <c r="AF313" t="inlineStr">
        <is>
          <t>Documento Fiscal</t>
        </is>
      </c>
      <c r="AG313" t="inlineStr">
        <is>
          <t>Cancelamento e Reemissão de Nota Fiscal</t>
        </is>
      </c>
      <c r="AI313" t="inlineStr">
        <is>
          <t>INT_NF_CANCEL_REEMISSAO</t>
        </is>
      </c>
      <c r="AJ313" t="inlineStr">
        <is>
          <t>Sugerida</t>
        </is>
      </c>
      <c r="AK313" t="b">
        <v>0</v>
      </c>
      <c r="AN313">
        <f>IF(OR(AG313="",AM313=""),"",IF(AG313=AM313,"SIM","NÃO"))</f>
        <v/>
      </c>
      <c r="AO313" t="inlineStr">
        <is>
          <t>CLASSIFIED_PATTERN</t>
        </is>
      </c>
    </row>
    <row r="314" ht="15.5" customHeight="1">
      <c r="A314" s="1" t="n"/>
      <c r="B314" s="67" t="inlineStr">
        <is>
          <t>Stephany Lima</t>
        </is>
      </c>
      <c r="C314" s="70">
        <f>VLOOKUP(I:I,'Referencias '!H:I,2,0)</f>
        <v/>
      </c>
      <c r="D314" s="71" t="n">
        <v>25860869</v>
      </c>
      <c r="E314" s="71" t="inlineStr">
        <is>
          <t>0</t>
        </is>
      </c>
      <c r="F314" s="126" t="inlineStr">
        <is>
          <t>2622311088706</t>
        </is>
      </c>
      <c r="G314" s="72">
        <f>VLOOKUP(H:H,'Referencias '!B:C,2,0)</f>
        <v/>
      </c>
      <c r="H314" s="72">
        <f>TRIM(_xlfn.TEXTBEFORE(_xlfn.TEXTAFTER(U314,"CNPJ/CPF:&lt;/strong&gt;"),"&lt;/p&gt;"))</f>
        <v/>
      </c>
      <c r="I314" s="70" t="inlineStr">
        <is>
          <t>Atualização de Cadastro</t>
        </is>
      </c>
      <c r="J314" s="72" t="n"/>
      <c r="K314" s="72" t="inlineStr">
        <is>
          <t>Cliente</t>
        </is>
      </c>
      <c r="L314" s="122" t="inlineStr">
        <is>
          <t>PENDENTE</t>
        </is>
      </c>
      <c r="M314" s="73" t="inlineStr">
        <is>
          <t>Médio</t>
        </is>
      </c>
      <c r="N314" s="71" t="inlineStr">
        <is>
          <t>1018 Financeiro | Desejo falar com o setor financeiro | Daniela Alves | daniela.alves@sbb.org.br</t>
        </is>
      </c>
      <c r="O314" s="74" t="n">
        <v>46245</v>
      </c>
      <c r="P314" s="123" t="n">
        <v>46245</v>
      </c>
      <c r="Q314" s="177">
        <f>TEXT(O314,"mmm/aaaa")</f>
        <v/>
      </c>
      <c r="R314" s="71" t="inlineStr">
        <is>
          <t>ECOMMERCE BP SUPORTE FINANCEIRO N2</t>
        </is>
      </c>
      <c r="S314" s="71" t="inlineStr">
        <is>
          <t>daniela.alves@sbb.org.br</t>
        </is>
      </c>
      <c r="T314" s="71" t="inlineStr"/>
      <c r="U314" s="71" t="inlineStr">
        <is>
          <t>Olá, segue formulário enviado para Cielo E-commerce:&lt;p&gt;&lt;strong&gt;Qual seu nome?:&lt;/strong&gt; Daniela Alves&lt;/p&gt;&lt;p&gt;&lt;strong&gt;Endereço de e-mail:&lt;/strong&gt; daniela.alves@sbb.org.br&lt;/p&gt;&lt;p&gt;&lt;strong&gt;CNPJ/CPF:&lt;/strong&gt; 33.579.376/0001-51&lt;/p&gt;&lt;p&gt;&lt;strong&gt;Telefone:&lt;/strong&gt; (11) 3474-5802&lt;/p&gt;&lt;p&gt;&lt;strong&gt;Assunto:&lt;/strong&gt; ATUALIZAÇÃO CADASTRAL&lt;/p&gt;&lt;p&gt;&lt;strong&gt;Merchant ID/Estabelecimento Comercial (EC):&lt;/strong&gt; 4563012573&lt;/p&gt;&lt;p&gt;&lt;strong&gt;Sobre qual produto ou área deseja falar?:&lt;/strong&gt; Financeiro&lt;/p&gt;&lt;p&gt;&lt;strong&gt;Descrição do problema:&lt;/strong&gt; Atualização para enviar boletos e notas fiscais.
Necessitamos de atualização no cadastro da empresa:
Dados:
Razão Social: Sociedade Bíblica do Brasil
CNPJ: 33.579.376/0001-51
Por favor, para os próximos envios de cobrança
Enviar somente para 
Leticia Eugenio &amp;lt;leticia.eugenio@sbb.org.br&amp;gt;; 
Leandro Silva &amp;lt;leandro.silva@sbb.org.br&amp;gt;; 
Daniela Alves&amp;lt;daniela.alves@sbb.org.br&amp;gt;&lt;/p&gt;&lt;p&gt;&lt;strong&gt;Como podemos te ajudar?:&lt;/strong&gt; Desejo falar com o setor financeiro</t>
        </is>
      </c>
      <c r="V314" s="71">
        <f>IFERROR(_xlfn.TEXTBEFORE(_xlfn.TEXTAFTER(U314,"Descrição do problema:&lt;/strong"),"&lt;/p&gt;"),_xlfn.TEXTAFTER(U314,"Descrição do problema:&lt;/strong"))</f>
        <v/>
      </c>
      <c r="W314" s="76">
        <f>_xlfn.CONCAT(D314:E314)</f>
        <v/>
      </c>
      <c r="X314" s="77" t="n"/>
      <c r="Y314" s="78">
        <f>IF(X314="","Aberto","Encerrado")</f>
        <v/>
      </c>
      <c r="Z314" s="78">
        <f>IF(OR(L314="PENDENTE",L314="EM ANDAMENTO",L314="PENDENTE APROVAÇÃO CANCELAMENTO NF"),TODAY()-O314,X314-O314)</f>
        <v/>
      </c>
      <c r="AA314" s="78">
        <f>IF(Y314="Aberto",Z314+ROW()/100000,"")</f>
        <v/>
      </c>
      <c r="AB314" s="2">
        <f>IF(ISNUMBER(FIND("@cielo.com.br",S314)),"Interno","Externo")</f>
        <v/>
      </c>
      <c r="AC314" t="inlineStr">
        <is>
          <t>Reenviar nota fiscal não recebida.</t>
        </is>
      </c>
      <c r="AD314" t="inlineStr">
        <is>
          <t>enviar + nf</t>
        </is>
      </c>
      <c r="AE314" t="inlineStr">
        <is>
          <t>Reenvio de NF</t>
        </is>
      </c>
      <c r="AF314" t="inlineStr">
        <is>
          <t>Parâmetro de Faturamento</t>
        </is>
      </c>
      <c r="AG314" t="inlineStr">
        <is>
          <t>Faturamento e Obrigações Fiscais</t>
        </is>
      </c>
      <c r="AI314" t="inlineStr">
        <is>
          <t>INT_FAT_REENVIO_NF</t>
        </is>
      </c>
      <c r="AJ314" t="inlineStr">
        <is>
          <t>Sugerida</t>
        </is>
      </c>
      <c r="AK314" t="b">
        <v>0</v>
      </c>
      <c r="AN314">
        <f>IF(OR(AG314="",AM314=""),"",IF(AG314=AM314,"SIM","NÃO"))</f>
        <v/>
      </c>
      <c r="AO314" t="inlineStr">
        <is>
          <t>CLASSIFIED_PATTERN</t>
        </is>
      </c>
    </row>
    <row r="315" ht="15.5" customHeight="1">
      <c r="A315" s="1" t="n"/>
      <c r="B315" s="67" t="inlineStr">
        <is>
          <t>Emilly Maria</t>
        </is>
      </c>
      <c r="C315" s="70">
        <f>VLOOKUP(I:I,'Referencias '!H:I,2,0)</f>
        <v/>
      </c>
      <c r="D315" s="71" t="n">
        <v>26000391</v>
      </c>
      <c r="E315" s="71" t="inlineStr">
        <is>
          <t>0</t>
        </is>
      </c>
      <c r="F315" s="126" t="inlineStr">
        <is>
          <t>2622515177145</t>
        </is>
      </c>
      <c r="G315" s="72">
        <f>VLOOKUP(H:H,'Referencias '!B:C,2,0)</f>
        <v/>
      </c>
      <c r="H315" s="72">
        <f>TRIM(_xlfn.TEXTBEFORE(_xlfn.TEXTAFTER(U315,"CNPJ/CPF:&lt;/strong&gt;"),"&lt;/p&gt;"))</f>
        <v/>
      </c>
      <c r="I315" s="70" t="inlineStr">
        <is>
          <t>Informações sobre faturamento</t>
        </is>
      </c>
      <c r="J315" s="72" t="n"/>
      <c r="K315" s="72" t="inlineStr">
        <is>
          <t>Cliente</t>
        </is>
      </c>
      <c r="L315" s="122" t="inlineStr">
        <is>
          <t>PENDENTE</t>
        </is>
      </c>
      <c r="M315" s="73" t="inlineStr">
        <is>
          <t>Médio</t>
        </is>
      </c>
      <c r="N315" s="71" t="inlineStr">
        <is>
          <t>1018 Financeiro | Desejo falar com o setor financeiro | Fernanda | fernanda.scamarneira@cielo.com.br</t>
        </is>
      </c>
      <c r="O315" s="74" t="n">
        <v>46247</v>
      </c>
      <c r="P315" s="123" t="n">
        <v>46247</v>
      </c>
      <c r="Q315" s="177">
        <f>TEXT(O315,"mmm/aaaa")</f>
        <v/>
      </c>
      <c r="R315" s="71" t="inlineStr">
        <is>
          <t>ECOMMERCE BP SUPORTE FINANCEIRO N2</t>
        </is>
      </c>
      <c r="S315" s="71" t="inlineStr">
        <is>
          <t>fernanda.scamarneira@cielo.com.br</t>
        </is>
      </c>
      <c r="T315" s="71" t="inlineStr">
        <is>
          <t>EDITORA O GLOBO VALOR</t>
        </is>
      </c>
      <c r="U315" s="71" t="inlineStr">
        <is>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Ed Globo - avaliar cobrança de cartão protegido&lt;/p&gt;&lt;p&gt;&lt;strong&gt;Merchant ID/Estabelecimento Comercial (EC):&lt;/strong&gt; ee4e6d1b-9ca6-47d6-a706-a1964b986376&lt;/p&gt;&lt;p&gt;&lt;strong&gt;Descrição do problema:&lt;/strong&gt; Preciso saber quais MIDs estão sendo puxado na cobrança do Cartão protegido do cliente Editora Globo: 
CNPJ 04.067.191/0001-60&lt;/p&gt;&lt;p&gt;&lt;strong&gt;ID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1403402793.1752501889&lt;/p&gt;&lt;p&gt;&lt;strong&gt;Lead Hash ID:&lt;/strong&gt; 36dd63d400823d05da2aa803d2f8723</t>
        </is>
      </c>
      <c r="V315" s="71">
        <f>IFERROR(_xlfn.TEXTBEFORE(_xlfn.TEXTAFTER(U315,"Descrição do problema:&lt;/strong"),"&lt;/p&gt;"),_xlfn.TEXTAFTER(U315,"Descrição do problema:&lt;/strong"))</f>
        <v/>
      </c>
      <c r="W315" s="76">
        <f>_xlfn.CONCAT(D315:E315)</f>
        <v/>
      </c>
      <c r="X315" s="77" t="n"/>
      <c r="Y315" s="78">
        <f>IF(X315="","Aberto","Encerrado")</f>
        <v/>
      </c>
      <c r="Z315" s="78">
        <f>IF(OR(L315="PENDENTE",L315="EM ANDAMENTO",L315="PENDENTE APROVAÇÃO CANCELAMENTO NF"),TODAY()-O315,X315-O315)</f>
        <v/>
      </c>
      <c r="AA315" s="78">
        <f>IF(Y315="Aberto",Z315+ROW()/100000,"")</f>
        <v/>
      </c>
      <c r="AB315" s="2">
        <f>IF(ISNUMBER(FIND("@cielo.com.br",S315)),"Interno","Externo")</f>
        <v/>
      </c>
      <c r="AC315" t="inlineStr">
        <is>
          <t>Consultar ou verificar faturamento, fatura ou obrigações fiscais.</t>
        </is>
      </c>
      <c r="AD315" t="inlineStr">
        <is>
          <t>quais mids + cobrança</t>
        </is>
      </c>
      <c r="AE315" t="inlineStr">
        <is>
          <t>Dúvida sobre faturamento</t>
        </is>
      </c>
      <c r="AF315" t="inlineStr">
        <is>
          <t>Parâmetro de Faturamento</t>
        </is>
      </c>
      <c r="AG315" t="inlineStr">
        <is>
          <t>Faturamento e Obrigações Fiscais</t>
        </is>
      </c>
      <c r="AI315" t="inlineStr">
        <is>
          <t>INT_FAT_DUVIDA</t>
        </is>
      </c>
      <c r="AJ315" t="inlineStr">
        <is>
          <t>Sugerida</t>
        </is>
      </c>
      <c r="AK315" t="b">
        <v>0</v>
      </c>
      <c r="AN315">
        <f>IF(OR(AG315="",AM315=""),"",IF(AG315=AM315,"SIM","NÃO"))</f>
        <v/>
      </c>
      <c r="AO315" t="inlineStr">
        <is>
          <t>CLASSIFIED_PATTERN</t>
        </is>
      </c>
    </row>
    <row r="316" ht="15.5" customHeight="1">
      <c r="A316" s="1" t="n"/>
      <c r="B316" s="67" t="inlineStr">
        <is>
          <t>Amanda Silva</t>
        </is>
      </c>
      <c r="C316" s="122">
        <f>VLOOKUP(I:I,'Referencias '!H:I,2,0)</f>
        <v/>
      </c>
      <c r="D316" s="129" t="n">
        <v>25998980</v>
      </c>
      <c r="E316" s="129" t="inlineStr">
        <is>
          <t>0</t>
        </is>
      </c>
      <c r="F316" s="126" t="inlineStr">
        <is>
          <t>2622515176301</t>
        </is>
      </c>
      <c r="G316" s="126">
        <f>VLOOKUP(H:H,'Referencias '!B:C,2,0)</f>
        <v/>
      </c>
      <c r="H316" s="126">
        <f>TRIM(_xlfn.TEXTBEFORE(_xlfn.TEXTAFTER(U316,"CNPJ/CPF:&lt;/strong&gt;"),"&lt;/p&gt;"))</f>
        <v/>
      </c>
      <c r="I316" s="70" t="inlineStr">
        <is>
          <t>Prorrogação de Boleto</t>
        </is>
      </c>
      <c r="J316" s="72" t="n"/>
      <c r="K316" s="72" t="inlineStr">
        <is>
          <t>Cliente</t>
        </is>
      </c>
      <c r="L316" s="122" t="inlineStr">
        <is>
          <t>PENDENTE</t>
        </is>
      </c>
      <c r="M316" s="73" t="inlineStr">
        <is>
          <t>Médio</t>
        </is>
      </c>
      <c r="N316" s="71" t="inlineStr">
        <is>
          <t>1002 Portais E-commerce | Estou em produção e tenho uma dúvida | Paulo César Martins de Souza | admpecastoygyn@gruposaga.com.br</t>
        </is>
      </c>
      <c r="O316" s="74" t="n">
        <v>46247</v>
      </c>
      <c r="P316" s="123" t="n">
        <v>46248</v>
      </c>
      <c r="Q316" s="177">
        <f>TEXT(O316,"mmm/aaaa")</f>
        <v/>
      </c>
      <c r="R316" s="71" t="inlineStr">
        <is>
          <t>ECOMMERCE BP SUPORTE FINANCEIRO N2</t>
        </is>
      </c>
      <c r="S316" s="71" t="inlineStr">
        <is>
          <t>admpecastoygyn@gruposaga.com.br</t>
        </is>
      </c>
      <c r="T316" s="71" t="inlineStr">
        <is>
          <t>KASA MOTORS GYN</t>
        </is>
      </c>
      <c r="U316" s="71" t="inlineStr">
        <is>
          <t>Olá, segue formulário enviado para Cielo E-commerce:&lt;p&gt;&lt;strong&gt;Qual seu nome?:&lt;/strong&gt; Paulo César Martins de Souza&lt;/p&gt;&lt;p&gt;&lt;strong&gt;Endereço de e-mail:&lt;/strong&gt; admpecastoygyn@gruposaga.com.br&lt;/p&gt;&lt;p&gt;&lt;strong&gt;CNPJ/CPF:&lt;/strong&gt; 05.471.879/0001-73&lt;/p&gt;&lt;p&gt;&lt;strong&gt;Telefone:&lt;/strong&gt; (62) 99659-5321&lt;/p&gt;&lt;p&gt;&lt;strong&gt;Assunto:&lt;/strong&gt; PRORROGAÇÃO DE BOLETO&lt;/p&gt;&lt;p&gt;&lt;strong&gt;Merchant ID/Estabelecimento Comercial (EC):&lt;/strong&gt; Concecionaria&lt;/p&gt;&lt;p&gt;&lt;strong&gt;Sobre qual produto ou área deseja falar?:&lt;/strong&gt; Portais E-commerce&lt;/p&gt;&lt;p&gt;&lt;strong&gt;Descrição do problema:&lt;/strong&gt; Estamos com um boleto vencido, porém houve a troca de adm. e eu estou no lugar do antigo. Queria ver a possibilidade de prorrogação de boleto da NF0118075&lt;/p&gt;&lt;p&gt;&lt;strong&gt;Como podemos te ajudar?:&lt;/strong&gt; Estou em produção e tenho uma dúvida&lt;/p&gt;&lt;p&gt;&lt;strong&gt;GA Client ID:&lt;/strong&gt; 1417911661.1785503425&lt;/p&gt;&lt;p&gt;&lt;strong&gt;Lead Hash ID:&lt;/strong&gt; 1a28a1fd38674bb01cf41a5db3442fd491ff289f709744d6aa27a93fe5be3199&lt;/p&gt;&lt;p&gt;&lt;strong&gt;Lead Form ID:&lt;/strong&gt; 1a28</t>
        </is>
      </c>
      <c r="V316" s="71">
        <f>IFERROR(_xlfn.TEXTBEFORE(_xlfn.TEXTAFTER(U316,"Descrição do problema:&lt;/strong"),"&lt;/p&gt;"),_xlfn.TEXTAFTER(U316,"Descrição do problema:&lt;/strong"))</f>
        <v/>
      </c>
      <c r="W316" s="76">
        <f>_xlfn.CONCAT(D316:E316)</f>
        <v/>
      </c>
      <c r="X316" s="77" t="n"/>
      <c r="Y316" s="78">
        <f>IF(X316="","Aberto","Encerrado")</f>
        <v/>
      </c>
      <c r="Z316" s="78">
        <f>IF(OR(L316="PENDENTE",L316="EM ANDAMENTO",L316="PENDENTE APROVAÇÃO CANCELAMENTO NF"),TODAY()-O316,X316-O316)</f>
        <v/>
      </c>
      <c r="AA316" s="78">
        <f>IF(Y316="Aberto",Z316+ROW()/100000,"")</f>
        <v/>
      </c>
      <c r="AB316" s="2">
        <f>IF(ISNUMBER(FIND("@cielo.com.br",S316)),"Interno","Externo")</f>
        <v/>
      </c>
      <c r="AC316" t="inlineStr">
        <is>
          <t>Solicitar segunda via, reenvio ou reemissão de boleto.</t>
        </is>
      </c>
      <c r="AD316" t="inlineStr">
        <is>
          <t>boleto vencido; boleto + vencido</t>
        </is>
      </c>
      <c r="AE316" t="inlineStr">
        <is>
          <t>Reenvio de boleto</t>
        </is>
      </c>
      <c r="AF316" t="inlineStr">
        <is>
          <t>Título Financeiro</t>
        </is>
      </c>
      <c r="AG316" t="inlineStr">
        <is>
          <t>Pagamentos, Boletos e Recebimentos</t>
        </is>
      </c>
      <c r="AI316" t="inlineStr">
        <is>
          <t>INT_PAG_BOLETO_REENVIO</t>
        </is>
      </c>
      <c r="AJ316" t="inlineStr">
        <is>
          <t>Sugerida</t>
        </is>
      </c>
      <c r="AK316" t="b">
        <v>0</v>
      </c>
      <c r="AN316">
        <f>IF(OR(AG316="",AM316=""),"",IF(AG316=AM316,"SIM","NÃO"))</f>
        <v/>
      </c>
      <c r="AO316" t="inlineStr">
        <is>
          <t>CLASSIFIED_PATTERN</t>
        </is>
      </c>
    </row>
    <row r="317" ht="15.5" customHeight="1">
      <c r="A317" s="1" t="n"/>
      <c r="B317" s="67" t="inlineStr">
        <is>
          <t>Stephany Lima</t>
        </is>
      </c>
      <c r="C317" s="70">
        <f>VLOOKUP(I:I,'Referencias '!H:I,2,0)</f>
        <v/>
      </c>
      <c r="D317" s="71" t="n">
        <v>26003147</v>
      </c>
      <c r="E317" s="71" t="inlineStr">
        <is>
          <t>0</t>
        </is>
      </c>
      <c r="F317" s="126" t="inlineStr">
        <is>
          <t>2622516178899</t>
        </is>
      </c>
      <c r="G317" s="72">
        <f>VLOOKUP(H:H,'Referencias '!B:C,2,0)</f>
        <v/>
      </c>
      <c r="H317" s="72">
        <f>TRIM(_xlfn.TEXTBEFORE(_xlfn.TEXTAFTER(U317,"CNPJ/CPF:&lt;/strong&gt;"),"&lt;/p&gt;"))</f>
        <v/>
      </c>
      <c r="I317" s="70" t="inlineStr">
        <is>
          <t>Cancelamento de Nota Fiscal / Reemissão</t>
        </is>
      </c>
      <c r="J317" s="72" t="n"/>
      <c r="K317" s="72" t="inlineStr">
        <is>
          <t>Comercial</t>
        </is>
      </c>
      <c r="L317" s="122" t="inlineStr">
        <is>
          <t>PENDENTE</t>
        </is>
      </c>
      <c r="M317" s="73" t="inlineStr">
        <is>
          <t>Médio</t>
        </is>
      </c>
      <c r="N317" s="71" t="inlineStr">
        <is>
          <t>1018 Financeiro | Desejo falar com o setor financeiro | Super Mercado Pague Menos | ariane.pasilva@cielo.com.br</t>
        </is>
      </c>
      <c r="O317" s="74" t="n">
        <v>46247</v>
      </c>
      <c r="P317" s="123" t="n">
        <v>46247</v>
      </c>
      <c r="Q317" s="177">
        <f>TEXT(O317,"mmm/aaaa")</f>
        <v/>
      </c>
      <c r="R317" s="71" t="inlineStr">
        <is>
          <t>ECOMMERCE BP SUPORTE FINANCEIRO N2</t>
        </is>
      </c>
      <c r="S317" s="71" t="inlineStr">
        <is>
          <t>ariane.pasilva@cielo.com.br</t>
        </is>
      </c>
      <c r="T317" s="71" t="inlineStr">
        <is>
          <t>PAGUE MENOS COMERCIO DE PRODUTOS</t>
        </is>
      </c>
      <c r="U317" s="71" t="inlineStr">
        <is>
          <t>Olá, segue formulário enviado para Cielo E-commerce:&lt;p&gt;&lt;strong&gt;Qual seu nome?:&lt;/strong&gt; Super Mercado Pague Menos&lt;/p&gt;&lt;p&gt;&lt;strong&gt;Endereço de e-mail:&lt;/strong&gt; ariane.pasilva@cielo.com.br&lt;/p&gt;&lt;p&gt;&lt;strong&gt;CNPJ/CPF:&lt;/strong&gt; 60.494.416/0033-12&lt;/p&gt;&lt;p&gt;&lt;strong&gt;Telefone:&lt;/strong&gt; (11) 97707-1602&lt;/p&gt;&lt;p&gt;&lt;strong&gt;Assunto:&lt;/strong&gt; Faturamento em excel 1° dia útil&lt;/p&gt;&lt;p&gt;&lt;strong&gt;Merchant ID/Estabelecimento Comercial (EC):&lt;/strong&gt; 60494416003312&lt;/p&gt;&lt;p&gt;&lt;strong&gt;Descrição do problema:&lt;/strong&gt; Prezados, boa tarde. Tudo bem?
Em anexo, segue DA comercial para substituição das notas já emitidas. 
Emitindo no 1° dia útil de cada mês.&lt;/p&gt;&lt;p&gt;&lt;strong&gt;ID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t>
        </is>
      </c>
      <c r="V317" s="71">
        <f>IFERROR(_xlfn.TEXTBEFORE(_xlfn.TEXTAFTER(U317,"Descrição do problema:&lt;/strong"),"&lt;/p&gt;"),_xlfn.TEXTAFTER(U317,"Descrição do problema:&lt;/strong"))</f>
        <v/>
      </c>
      <c r="W317" s="76">
        <f>_xlfn.CONCAT(D317:E317)</f>
        <v/>
      </c>
      <c r="X317" s="77" t="n"/>
      <c r="Y317" s="78">
        <f>IF(X317="","Aberto","Encerrado")</f>
        <v/>
      </c>
      <c r="Z317" s="78">
        <f>IF(OR(L317="PENDENTE",L317="EM ANDAMENTO",L317="PENDENTE APROVAÇÃO CANCELAMENTO NF"),TODAY()-O317,X317-O317)</f>
        <v/>
      </c>
      <c r="AA317" s="78">
        <f>IF(Y317="Aberto",Z317+ROW()/100000,"")</f>
        <v/>
      </c>
      <c r="AB317" s="2">
        <f>IF(ISNUMBER(FIND("@cielo.com.br",S317)),"Interno","Externo")</f>
        <v/>
      </c>
      <c r="AC317" t="inlineStr">
        <is>
          <t>Cancelar, substituir ou reemitir nota fiscal.</t>
        </is>
      </c>
      <c r="AD317" t="inlineStr">
        <is>
          <t>substituição das notas</t>
        </is>
      </c>
      <c r="AE317" t="inlineStr">
        <is>
          <t>Cancelamento de NF</t>
        </is>
      </c>
      <c r="AF317" t="inlineStr">
        <is>
          <t>Documento Fiscal</t>
        </is>
      </c>
      <c r="AG317" t="inlineStr">
        <is>
          <t>Cancelamento e Reemissão de Nota Fiscal</t>
        </is>
      </c>
      <c r="AI317" t="inlineStr">
        <is>
          <t>INT_NF_CANCEL_REEMISSAO</t>
        </is>
      </c>
      <c r="AJ317" t="inlineStr">
        <is>
          <t>Sugerida</t>
        </is>
      </c>
      <c r="AK317" t="b">
        <v>0</v>
      </c>
      <c r="AN317">
        <f>IF(OR(AG317="",AM317=""),"",IF(AG317=AM317,"SIM","NÃO"))</f>
        <v/>
      </c>
      <c r="AO317" t="inlineStr">
        <is>
          <t>CLASSIFIED_PATTERN</t>
        </is>
      </c>
    </row>
    <row r="318" ht="15.5" customHeight="1">
      <c r="A318" s="1" t="n"/>
      <c r="B318" s="67" t="inlineStr">
        <is>
          <t>Emilly Maria</t>
        </is>
      </c>
      <c r="C318" s="70">
        <f>VLOOKUP(I:I,'Referencias '!H:I,2,0)</f>
        <v/>
      </c>
      <c r="D318" s="71" t="n">
        <v>25986550</v>
      </c>
      <c r="E318" s="71" t="inlineStr">
        <is>
          <t>0</t>
        </is>
      </c>
      <c r="F318" s="126" t="inlineStr">
        <is>
          <t>2622513168542</t>
        </is>
      </c>
      <c r="G318" s="72">
        <f>VLOOKUP(H:H,'Referencias '!B:C,2,0)</f>
        <v/>
      </c>
      <c r="H318" s="72">
        <f>TRIM(_xlfn.TEXTBEFORE(_xlfn.TEXTAFTER(U318,"CNPJ/CPF:&lt;/strong&gt;"),"&lt;/p&gt;"))</f>
        <v/>
      </c>
      <c r="I318" s="70" t="inlineStr">
        <is>
          <t>Requisito fiscal do cliente</t>
        </is>
      </c>
      <c r="J318" s="72" t="n"/>
      <c r="K318" s="72" t="inlineStr">
        <is>
          <t>Cliente</t>
        </is>
      </c>
      <c r="L318" s="122" t="inlineStr">
        <is>
          <t>PENDENTE</t>
        </is>
      </c>
      <c r="M318" s="73" t="inlineStr">
        <is>
          <t>Médio</t>
        </is>
      </c>
      <c r="N318" s="71" t="inlineStr">
        <is>
          <t>1003 Gateway de Pagamento | Estou em produção e tenho uma dúvida | VICTOR HUGO LIMA DA SILVA | victor.hugo@apamoveis.com.br</t>
        </is>
      </c>
      <c r="O318" s="74" t="n">
        <v>46247</v>
      </c>
      <c r="P318" s="123" t="n">
        <v>46247</v>
      </c>
      <c r="Q318" s="177">
        <f>TEXT(O318,"mmm/aaaa")</f>
        <v/>
      </c>
      <c r="R318" s="71" t="inlineStr">
        <is>
          <t>ECOMMERCE BP SUPORTE FINANCEIRO N2</t>
        </is>
      </c>
      <c r="S318" s="71" t="inlineStr">
        <is>
          <t>victor.hugo@apamoveis.com.br</t>
        </is>
      </c>
      <c r="T318" s="71" t="inlineStr">
        <is>
          <t>APA MOVEIS</t>
        </is>
      </c>
      <c r="U318" s="71" t="inlineStr">
        <is>
          <t>Olá, segue formulário enviado para Cielo E-commerce:&lt;p&gt;&lt;strong&gt;Qual seu nome?:&lt;/strong&gt; VICTOR HUGO LIMA DA SILVA&lt;/p&gt;&lt;p&gt;&lt;strong&gt;Endereço de e-mail:&lt;/strong&gt; victor.hugo@apamoveis.com.br&lt;/p&gt;&lt;p&gt;&lt;strong&gt;Telefone:&lt;/strong&gt; (92) 9105-7283&lt;/p&gt;&lt;p&gt;&lt;strong&gt;CNPJ/CPF:&lt;/strong&gt; 07.382.118/0001-70&lt;/p&gt;&lt;p&gt;&lt;strong&gt;Assunto:&lt;/strong&gt; Ajuste na data de envio de boleto&lt;/p&gt;&lt;p&gt;&lt;strong&gt;Merchant ID/Estabelecimento Comercial (EC):&lt;/strong&gt; 118806&lt;/p&gt;&lt;p&gt;&lt;strong&gt;Sobre qual produto ou área deseja falar?:&lt;/strong&gt; Gateway de Pagamento&lt;/p&gt;&lt;p&gt;&lt;strong&gt;Descrição do problema:&lt;/strong&gt;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
Como referência, a nota fiscal nº 118806 foi emit</t>
        </is>
      </c>
      <c r="V318" s="71">
        <f>IFERROR(_xlfn.TEXTBEFORE(_xlfn.TEXTAFTER(U318,"Descrição do problema:&lt;/strong"),"&lt;/p&gt;"),_xlfn.TEXTAFTER(U318,"Descrição do problema:&lt;/strong"))</f>
        <v/>
      </c>
      <c r="W318" s="76">
        <f>_xlfn.CONCAT(D318:E318)</f>
        <v/>
      </c>
      <c r="X318" s="77" t="n"/>
      <c r="Y318" s="78">
        <f>IF(X318="","Aberto","Encerrado")</f>
        <v/>
      </c>
      <c r="Z318" s="78">
        <f>IF(OR(L318="PENDENTE",L318="EM ANDAMENTO",L318="PENDENTE APROVAÇÃO CANCELAMENTO NF"),TODAY()-O318,X318-O318)</f>
        <v/>
      </c>
      <c r="AA318" s="78">
        <f>IF(Y318="Aberto",Z318+ROW()/100000,"")</f>
        <v/>
      </c>
      <c r="AB318" s="2">
        <f>IF(ISNUMBER(FIND("@cielo.com.br",S318)),"Interno","Externo")</f>
        <v/>
      </c>
      <c r="AC318" t="inlineStr">
        <is>
          <t>Alterar ou prorrogar vencimento ou prazo de pagamento.</t>
        </is>
      </c>
      <c r="AD318" t="inlineStr">
        <is>
          <t>vencimento sempre no mês seguinte</t>
        </is>
      </c>
      <c r="AE318" t="inlineStr">
        <is>
          <t>Alteração de vencimento</t>
        </is>
      </c>
      <c r="AF318" t="inlineStr">
        <is>
          <t>Título Financeiro</t>
        </is>
      </c>
      <c r="AG318" t="inlineStr">
        <is>
          <t>Pagamentos, Boletos e Recebimentos</t>
        </is>
      </c>
      <c r="AI318" t="inlineStr">
        <is>
          <t>INT_PAG_VENCIMENTO</t>
        </is>
      </c>
      <c r="AJ318" t="inlineStr">
        <is>
          <t>Sugerida</t>
        </is>
      </c>
      <c r="AK318" t="b">
        <v>0</v>
      </c>
      <c r="AN318">
        <f>IF(OR(AG318="",AM318=""),"",IF(AG318=AM318,"SIM","NÃO"))</f>
        <v/>
      </c>
      <c r="AO318" t="inlineStr">
        <is>
          <t>CLASSIFIED_PATTERN</t>
        </is>
      </c>
    </row>
    <row r="319" ht="15.5" customHeight="1">
      <c r="A319" s="1" t="n"/>
      <c r="B319" s="67" t="inlineStr">
        <is>
          <t>Amanda Silva</t>
        </is>
      </c>
      <c r="C319" s="70">
        <f>VLOOKUP(I:I,'Referencias '!H:I,2,0)</f>
        <v/>
      </c>
      <c r="D319" s="71" t="n">
        <v>25976644</v>
      </c>
      <c r="E319" s="71" t="inlineStr">
        <is>
          <t>0</t>
        </is>
      </c>
      <c r="F319" s="126" t="inlineStr">
        <is>
          <t>2622511162443</t>
        </is>
      </c>
      <c r="G319" s="72">
        <f>VLOOKUP(H:H,'Referencias '!B:C,2,0)</f>
        <v/>
      </c>
      <c r="H319" s="72">
        <f>TRIM(_xlfn.TEXTBEFORE(_xlfn.TEXTAFTER(U319,"CNPJ/CPF:&lt;/strong&gt;"),"&lt;/p&gt;"))</f>
        <v/>
      </c>
      <c r="I319" s="70" t="inlineStr">
        <is>
          <t>Prorrogação de Boleto</t>
        </is>
      </c>
      <c r="J319" s="72" t="n"/>
      <c r="K319" s="72" t="inlineStr">
        <is>
          <t>Cliente</t>
        </is>
      </c>
      <c r="L319" s="122" t="inlineStr">
        <is>
          <t>PENDENTE</t>
        </is>
      </c>
      <c r="M319" s="73" t="inlineStr">
        <is>
          <t>Médio</t>
        </is>
      </c>
      <c r="N319" s="71" t="inlineStr">
        <is>
          <t>1018 Financeiro | Desejo falar com o setor financeiro | Leonardo | financeiro@r11travel.com.br</t>
        </is>
      </c>
      <c r="O319" s="74" t="n">
        <v>46247</v>
      </c>
      <c r="P319" s="123" t="n">
        <v>46247</v>
      </c>
      <c r="Q319" s="177">
        <f>TEXT(O319,"mmm/aaaa")</f>
        <v/>
      </c>
      <c r="R319" s="71" t="inlineStr">
        <is>
          <t>ECOMMERCE BP SUPORTE FINANCEIRO N2</t>
        </is>
      </c>
      <c r="S319" s="71" t="inlineStr">
        <is>
          <t>financeiro@r11travel.com.br</t>
        </is>
      </c>
      <c r="T319" s="71" t="inlineStr"/>
      <c r="U319" s="71" t="inlineStr">
        <is>
          <t>Olá, segue formulário enviado para Cielo E-commerce:&lt;p&gt;&lt;strong&gt;Qual seu nome?:&lt;/strong&gt; Leonardo&lt;/p&gt;&lt;p&gt;&lt;strong&gt;Endereço de e-mail:&lt;/strong&gt; financeiro@r11travel.com.br&lt;/p&gt;&lt;p&gt;&lt;strong&gt;CNPJ/CPF:&lt;/strong&gt; 24.763.731/0001-57&lt;/p&gt;&lt;p&gt;&lt;strong&gt;Telefone:&lt;/strong&gt; (11) 3090-7261&lt;/p&gt;&lt;p&gt;&lt;strong&gt;Assunto:&lt;/strong&gt; Boleto vencido&lt;/p&gt;&lt;p&gt;&lt;strong&gt;Sobre qual produto ou área deseja falar?:&lt;/strong&gt; Financeiro&lt;/p&gt;&lt;p&gt;&lt;strong&gt;Como podemos te ajudar?:&lt;/strong&gt; Desejo falar com o setor financeiro&lt;/p&gt;&lt;p&gt;&lt;strong&gt;Descrição do problema:&lt;/strong&gt; Temos um boleto vencido,por esse motivo, precisamos que o documento seja atualizado para a data de vencimento 14/08/2026 para que possamos realizar o pagamento.
Poderiam, por favor, nos encaminhar o boleto atualizado, com o vencimento corrigido? Se possivel poderia manter o valor original do boleto.
Segue os links da NF e boleto que precisa ser atualizado:
NF 0117646
https://www.barueri.sp.gov.br/NFE/WFIMAGEMNOTA.ASPX?CODIGOAUTENTICIDADE=184X.0753.9882.9187899-T&amp;amp;NUMDOC</t>
        </is>
      </c>
      <c r="V319" s="71">
        <f>IFERROR(_xlfn.TEXTBEFORE(_xlfn.TEXTAFTER(U319,"Descrição do problema:&lt;/strong"),"&lt;/p&gt;"),_xlfn.TEXTAFTER(U319,"Descrição do problema:&lt;/strong"))</f>
        <v/>
      </c>
      <c r="W319" s="76">
        <f>_xlfn.CONCAT(D319:E319)</f>
        <v/>
      </c>
      <c r="X319" s="77" t="n"/>
      <c r="Y319" s="78">
        <f>IF(X319="","Aberto","Encerrado")</f>
        <v/>
      </c>
      <c r="Z319" s="78">
        <f>IF(OR(L319="PENDENTE",L319="EM ANDAMENTO",L319="PENDENTE APROVAÇÃO CANCELAMENTO NF"),TODAY()-O319,X319-O319)</f>
        <v/>
      </c>
      <c r="AA319" s="78">
        <f>IF(Y319="Aberto",Z319+ROW()/100000,"")</f>
        <v/>
      </c>
      <c r="AB319" s="2">
        <f>IF(ISNUMBER(FIND("@cielo.com.br",S319)),"Interno","Externo")</f>
        <v/>
      </c>
      <c r="AC319" t="inlineStr">
        <is>
          <t>Solicitar segunda via, reenvio ou reemissão de boleto.</t>
        </is>
      </c>
      <c r="AD319" t="inlineStr">
        <is>
          <t>encaminhar o boleto; boleto atualizado; boleto vencido; boleto + atualizado; boleto + vencido</t>
        </is>
      </c>
      <c r="AE319" t="inlineStr">
        <is>
          <t>Reenvio de boleto</t>
        </is>
      </c>
      <c r="AF319" t="inlineStr">
        <is>
          <t>Título Financeiro</t>
        </is>
      </c>
      <c r="AG319" t="inlineStr">
        <is>
          <t>Pagamentos, Boletos e Recebimentos</t>
        </is>
      </c>
      <c r="AI319" t="inlineStr">
        <is>
          <t>INT_PAG_BOLETO_REENVIO</t>
        </is>
      </c>
      <c r="AJ319" t="inlineStr">
        <is>
          <t>Sugerida</t>
        </is>
      </c>
      <c r="AK319" t="b">
        <v>0</v>
      </c>
      <c r="AN319">
        <f>IF(OR(AG319="",AM319=""),"",IF(AG319=AM319,"SIM","NÃO"))</f>
        <v/>
      </c>
      <c r="AO319" t="inlineStr">
        <is>
          <t>CLASSIFIED_PATTERN</t>
        </is>
      </c>
    </row>
    <row r="320" ht="15.5" customHeight="1">
      <c r="A320" s="1" t="n"/>
      <c r="B320" s="67" t="inlineStr">
        <is>
          <t>Stephany Lima</t>
        </is>
      </c>
      <c r="C320" s="70">
        <f>VLOOKUP(I:I,'Referencias '!H:I,2,0)</f>
        <v/>
      </c>
      <c r="D320" s="71" t="n">
        <v>25992473</v>
      </c>
      <c r="E320" s="71" t="inlineStr">
        <is>
          <t>0</t>
        </is>
      </c>
      <c r="F320" s="126" t="inlineStr">
        <is>
          <t>2622514172257</t>
        </is>
      </c>
      <c r="G320" s="72">
        <f>VLOOKUP(H:H,'Referencias '!B:C,2,0)</f>
        <v/>
      </c>
      <c r="H320" s="72">
        <f>TRIM(_xlfn.TEXTBEFORE(_xlfn.TEXTAFTER(U320,"CNPJ/CPF:&lt;/strong&gt;"),"&lt;/p&gt;"))</f>
        <v/>
      </c>
      <c r="I320" s="70" t="inlineStr">
        <is>
          <t>Atualização de Cadastro</t>
        </is>
      </c>
      <c r="J320" s="72" t="n"/>
      <c r="K320" s="72" t="inlineStr">
        <is>
          <t>Cliente</t>
        </is>
      </c>
      <c r="L320" s="122" t="inlineStr">
        <is>
          <t>PENDENTE</t>
        </is>
      </c>
      <c r="M320" s="73" t="inlineStr">
        <is>
          <t>Médio</t>
        </is>
      </c>
      <c r="N320" s="71" t="inlineStr">
        <is>
          <t>1018 Financeiro | Desejo falar com o setor financeiro | Fernando Macedo | fernando.macedo@plurix.com</t>
        </is>
      </c>
      <c r="O320" s="74" t="n">
        <v>46247</v>
      </c>
      <c r="P320" s="123" t="n">
        <v>46247</v>
      </c>
      <c r="Q320" s="177">
        <f>TEXT(O320,"mmm/aaaa")</f>
        <v/>
      </c>
      <c r="R320" s="71" t="inlineStr">
        <is>
          <t>ECOMMERCE BP SUPORTE FINANCEIRO N2</t>
        </is>
      </c>
      <c r="S320" s="71" t="inlineStr">
        <is>
          <t>fernando.macedo@plurix.com</t>
        </is>
      </c>
      <c r="T320" s="71" t="inlineStr"/>
      <c r="U320" s="71" t="inlineStr">
        <is>
          <t>Olá, segue formulário enviado para Cielo E-commerce:&lt;p&gt;&lt;strong&gt;Qual seu nome?:&lt;/strong&gt; Fernando Macedo&lt;/p&gt;&lt;p&gt;&lt;strong&gt;Endereço de e-mail:&lt;/strong&gt; fernando.macedo@plurix.com&lt;/p&gt;&lt;p&gt;&lt;strong&gt;CNPJ/CPF:&lt;/strong&gt; 11.517.841/0001-97&lt;/p&gt;&lt;p&gt;&lt;strong&gt;Telefone:&lt;/strong&gt; (11) 99812-7148&lt;/p&gt;&lt;p&gt;&lt;strong&gt;Assunto:&lt;/strong&gt; Lista de e-mails&lt;/p&gt;&lt;p&gt;&lt;strong&gt;Merchant ID/Estabelecimento Comercial (EC):&lt;/strong&gt; 1&lt;/p&gt;&lt;p&gt;&lt;strong&gt;Sobre qual produto ou área deseja falar?:&lt;/strong&gt; Financeiro&lt;/p&gt;&lt;p&gt;&lt;strong&gt;Como podemos te ajudar?:&lt;/strong&gt; Desejo falar com o setor financeiro&lt;/p&gt;&lt;p&gt;&lt;strong&gt;Descrição do problema:&lt;/strong&gt; Boa tarde!
Favor retirar a valdirene.carniel@grupoamigao.com da lista de recebimento das faturas do Amigão (COMPANHIA SULAMERICANA DE DISTRIBUICAO) e inserir o diego.calefi@grupoamigao.com
Obrigado!&lt;/p&gt;&lt;p&gt;&lt;strong&gt;Data e hora do erro:&lt;/strong&gt; 13-08-2026 14:20&lt;/p&gt;&lt;p&gt;&lt;strong&gt;GA Client ID:&lt;/strong&gt; 315681571.1754943942&lt;/p&gt;&lt;p&gt;&lt;strong&gt;Lead Hash ID:&lt;/strong&gt; fce90bb775fd17d34a595625434849361c8355eab844</t>
        </is>
      </c>
      <c r="V320" s="71">
        <f>IFERROR(_xlfn.TEXTBEFORE(_xlfn.TEXTAFTER(U320,"Descrição do problema:&lt;/strong"),"&lt;/p&gt;"),_xlfn.TEXTAFTER(U320,"Descrição do problema:&lt;/strong"))</f>
        <v/>
      </c>
      <c r="W320" s="76">
        <f>_xlfn.CONCAT(D320:E320)</f>
        <v/>
      </c>
      <c r="X320" s="77" t="n"/>
      <c r="Y320" s="78">
        <f>IF(X320="","Aberto","Encerrado")</f>
        <v/>
      </c>
      <c r="Z320" s="78">
        <f>IF(OR(L320="PENDENTE",L320="EM ANDAMENTO",L320="PENDENTE APROVAÇÃO CANCELAMENTO NF"),TODAY()-O320,X320-O320)</f>
        <v/>
      </c>
      <c r="AA320" s="78">
        <f>IF(Y320="Aberto",Z320+ROW()/100000,"")</f>
        <v/>
      </c>
      <c r="AB320" s="2">
        <f>IF(ISNUMBER(FIND("@cielo.com.br",S320)),"Interno","Externo")</f>
        <v/>
      </c>
      <c r="AC320" t="inlineStr">
        <is>
          <t>Atualizar dados cadastrais, e-mail ou telefone.</t>
        </is>
      </c>
      <c r="AD320" t="inlineStr">
        <is>
          <t>lista de recebimento</t>
        </is>
      </c>
      <c r="AE320" t="inlineStr">
        <is>
          <t>Atualização cadastral</t>
        </is>
      </c>
      <c r="AF320" t="inlineStr">
        <is>
          <t>Contrato/Cadastro</t>
        </is>
      </c>
      <c r="AG320" t="inlineStr">
        <is>
          <t>Contratos, Comercial e Cadastro</t>
        </is>
      </c>
      <c r="AI320" t="inlineStr">
        <is>
          <t>INT_CON_CADASTRO</t>
        </is>
      </c>
      <c r="AJ320" t="inlineStr">
        <is>
          <t>Sugerida</t>
        </is>
      </c>
      <c r="AK320" t="b">
        <v>0</v>
      </c>
      <c r="AN320">
        <f>IF(OR(AG320="",AM320=""),"",IF(AG320=AM320,"SIM","NÃO"))</f>
        <v/>
      </c>
      <c r="AO320" t="inlineStr">
        <is>
          <t>CLASSIFIED_PATTERN</t>
        </is>
      </c>
    </row>
    <row r="321" ht="15.5" customFormat="1" customHeight="1" s="91">
      <c r="A321" s="1" t="n"/>
      <c r="B321" s="67" t="inlineStr">
        <is>
          <t>Amanda Silva</t>
        </is>
      </c>
      <c r="C321" s="122">
        <f>VLOOKUP(I:I,'Referencias '!H:I,2,0)</f>
        <v/>
      </c>
      <c r="D321" s="129" t="n">
        <v>25929004</v>
      </c>
      <c r="E321" s="129" t="inlineStr">
        <is>
          <t>0</t>
        </is>
      </c>
      <c r="F321" s="126" t="inlineStr">
        <is>
          <t>2622413132142</t>
        </is>
      </c>
      <c r="G321" s="126">
        <f>T321</f>
        <v/>
      </c>
      <c r="H321" s="126">
        <f>TRIM(_xlfn.TEXTBEFORE(_xlfn.TEXTAFTER(U321,"CNPJ/CPF:&lt;/strong&gt;"),"&lt;/p&gt;"))</f>
        <v/>
      </c>
      <c r="I321" s="122" t="inlineStr">
        <is>
          <t>Cancelamento de Nota Fiscal / Reemissão</t>
        </is>
      </c>
      <c r="J321" s="126" t="n"/>
      <c r="K321" s="126" t="inlineStr">
        <is>
          <t>Foi reaberto com outra solicitação - pedimos para abrir um novo chamado</t>
        </is>
      </c>
      <c r="L321" s="70" t="inlineStr">
        <is>
          <t>FINALIZADO</t>
        </is>
      </c>
      <c r="M321" s="127" t="inlineStr">
        <is>
          <t>Médio</t>
        </is>
      </c>
      <c r="N321" s="129" t="inlineStr">
        <is>
          <t>1018 Financeiro | Desejo falar com o setor financeiro | Larissa Venancio | larissave@cielo.com.br</t>
        </is>
      </c>
      <c r="O321" s="125" t="n">
        <v>46246</v>
      </c>
      <c r="P321" s="123" t="n">
        <v>46246</v>
      </c>
      <c r="Q321" s="178">
        <f>TEXT(O321,"mmm/aaaa")</f>
        <v/>
      </c>
      <c r="R321" s="129" t="inlineStr">
        <is>
          <t>ECOMMERCE BP SUPORTE FINANCEIRO N2</t>
        </is>
      </c>
      <c r="S321" s="129" t="inlineStr">
        <is>
          <t>larissave@cielo.com.br</t>
        </is>
      </c>
      <c r="T321" s="129" t="inlineStr"/>
      <c r="U321" s="129" t="inlineStr">
        <is>
          <t>Olá, segue formulário enviado para Cielo E-commerce:&lt;p&gt;&lt;strong&gt;Qual seu nome?:&lt;/strong&gt; Larissa Venancio&lt;/p&gt;&lt;p&gt;&lt;strong&gt;Endereço de e-mail:&lt;/strong&gt; larissave@cielo.com.br&lt;/p&gt;&lt;p&gt;&lt;strong&gt;CNPJ/CPF:&lt;/strong&gt; 58.119.199/0001-51&lt;/p&gt;&lt;p&gt;&lt;strong&gt;Telefone:&lt;/strong&gt; (11) 97622-8821&lt;/p&gt;&lt;p&gt;&lt;strong&gt;Assunto:&lt;/strong&gt; Cessão Contratual Odontoprev&lt;/p&gt;&lt;p&gt;&lt;strong&gt;Merchant ID/Estabelecimento Comercial (EC):&lt;/strong&gt; 58.119.199/0001-51&lt;/p&gt;&lt;p&gt;&lt;strong&gt;Descrição do problema:&lt;/strong&gt; Boa tarde,
O cliente ODONTOPREV passou por uma cessão contratual, deixando de utilizar o CNPJ 57.746.455/0001-78 e passando a utilizar o CNPJ 57.746.455/0013-01. 
Porém, por um erro comercial, ao executar a cessão no salesforce, foi feito inicialmente a cessão de 57.746.455/0001-78 para 57.746.455/0001-78
sendo que o correto era:
57.746.455/0001-78 para 57.746.455/0013-01. 
Nós corrigimos o processo no sf com a ajuda do time técnico (Cicero) do SF. Pedimos que validem se está tudo correto pra vocês, pois, em minha consulta ao b</t>
        </is>
      </c>
      <c r="V321" s="129">
        <f>IFERROR(_xlfn.TEXTBEFORE(_xlfn.TEXTAFTER(U321,"Descrição do problema:&lt;/strong"),"&lt;/p&gt;"),_xlfn.TEXTAFTER(U321,"Descrição do problema:&lt;/strong"))</f>
        <v/>
      </c>
      <c r="W321" s="130">
        <f>_xlfn.CONCAT(D321:E321)</f>
        <v/>
      </c>
      <c r="X321" s="77" t="n">
        <v>46279</v>
      </c>
      <c r="Y321" s="131">
        <f>IF(X321="","Aberto","Encerrado")</f>
        <v/>
      </c>
      <c r="Z321" s="131">
        <f>IF(OR(L321="PENDENTE",L321="EM ANDAMENTO",L321="PENDENTE APROVAÇÃO CANCELAMENTO NF"),TODAY()-O321,X321-O321)</f>
        <v/>
      </c>
      <c r="AA321" s="131">
        <f>IF(Y321="Aberto",Z321+ROW()/100000,"")</f>
        <v/>
      </c>
      <c r="AB321" s="2">
        <f>IF(ISNUMBER(FIND("@cielo.com.br",S321)),"Interno","Externo")</f>
        <v/>
      </c>
      <c r="AD321" t="inlineStr"/>
      <c r="AJ321" t="inlineStr">
        <is>
          <t>Sem correspondência</t>
        </is>
      </c>
      <c r="AK321" t="b">
        <v>0</v>
      </c>
      <c r="AN321">
        <f>IF(OR(AG321="",AM321=""),"",IF(AG321=AM321,"SIM","NÃO"))</f>
        <v/>
      </c>
      <c r="AO321" t="inlineStr">
        <is>
          <t>NO_PATTERN</t>
        </is>
      </c>
    </row>
    <row r="322" ht="15.5" customHeight="1">
      <c r="A322" s="1" t="n"/>
      <c r="B322" s="67" t="inlineStr">
        <is>
          <t>Emilly Maria</t>
        </is>
      </c>
      <c r="C322" s="70">
        <f>VLOOKUP(I:I,'Referencias '!H:I,2,0)</f>
        <v/>
      </c>
      <c r="D322" s="71" t="n">
        <v>25927767</v>
      </c>
      <c r="E322" s="71" t="inlineStr">
        <is>
          <t>0</t>
        </is>
      </c>
      <c r="F322" s="126" t="inlineStr">
        <is>
          <t>2622412131364</t>
        </is>
      </c>
      <c r="G322" s="72">
        <f>VLOOKUP(H:H,'Referencias '!B:C,2,0)</f>
        <v/>
      </c>
      <c r="H322" s="72">
        <f>TRIM(_xlfn.TEXTBEFORE(_xlfn.TEXTAFTER(U322,"CNPJ/CPF:&lt;/strong&gt;"),"&lt;/p&gt;"))</f>
        <v/>
      </c>
      <c r="I322" s="70" t="inlineStr">
        <is>
          <t>Cobrança de Chaves de Loja</t>
        </is>
      </c>
      <c r="J322" s="72" t="n"/>
      <c r="K322" s="72" t="inlineStr">
        <is>
          <t>Solicitação Comercial</t>
        </is>
      </c>
      <c r="L322" s="122" t="inlineStr">
        <is>
          <t>PENDENTE</t>
        </is>
      </c>
      <c r="M322" s="73" t="inlineStr">
        <is>
          <t>Médio</t>
        </is>
      </c>
      <c r="N322" s="71" t="inlineStr">
        <is>
          <t>1018 Financeiro | Desejo falar com o setor financeiro | Larissa Venancio | larissave@cielo.com.br</t>
        </is>
      </c>
      <c r="O322" s="74" t="n">
        <v>46246</v>
      </c>
      <c r="P322" s="123" t="n">
        <v>46246</v>
      </c>
      <c r="Q322" s="177">
        <f>TEXT(O322,"mmm/aaaa")</f>
        <v/>
      </c>
      <c r="R322" s="71" t="inlineStr">
        <is>
          <t>ECOMMERCE BP SUPORTE FINANCEIRO N2</t>
        </is>
      </c>
      <c r="S322" s="71" t="inlineStr">
        <is>
          <t>larissave@cielo.com.br</t>
        </is>
      </c>
      <c r="T322" s="71" t="inlineStr">
        <is>
          <t>SONDA DELIVERY</t>
        </is>
      </c>
      <c r="U322" s="71" t="inlineStr">
        <is>
          <t xml:space="preserve">Olá, segue formulário enviado para Cielo E-commerce:&lt;p&gt;&lt;strong&gt;Qual seu nome?:&lt;/strong&gt; Larissa Venancio&lt;/p&gt;&lt;p&gt;&lt;strong&gt;Endereço de e-mail:&lt;/strong&gt; larissave@cielo.com.br&lt;/p&gt;&lt;p&gt;&lt;strong&gt;CNPJ/CPF:&lt;/strong&gt; 01.937.635/0029-83&lt;/p&gt;&lt;p&gt;&lt;strong&gt;Telefone:&lt;/strong&gt; (11) 97622-8821&lt;/p&gt;&lt;p&gt;&lt;strong&gt;Assunto:&lt;/strong&gt; Corbança de chaves de loja&lt;/p&gt;&lt;p&gt;&lt;strong&gt;Merchant ID/Estabelecimento Comercial (EC):&lt;/strong&gt; 01.937.635/0029-83&lt;/p&gt;&lt;p&gt;&lt;strong&gt;Sobre qual produto ou área deseja falar?:&lt;/strong&gt; Financeiro&lt;/p&gt;&lt;p&gt;&lt;strong&gt;Como podemos te ajudar?:&lt;/strong&gt; Desejo falar com o setor financeiro&lt;/p&gt;&lt;p&gt;&lt;strong&gt;Descrição do problema:&lt;/strong&gt; Time financeiro, boa tarde! 
Na data de 10.08 criamos 9 chaves de loja para o cliente Sonda - 01.937.635/0029-83
Conforme estabelecido em contrato, ele possui um custo de R$ 500,00 por chave de loja criada. 
Favor emitir a cobrança no final do mês de todas elas. 
Valor total R$ 4.500,00
Obrigada!&lt;/p&gt;&lt;p&gt;&lt;strong&gt;GA Client ID:&lt;/strong&gt; 2039273388.1743804731&lt;/p&gt;&lt;p&gt;&lt;strong&gt;Lead </t>
        </is>
      </c>
      <c r="V322" s="71">
        <f>IFERROR(_xlfn.TEXTBEFORE(_xlfn.TEXTAFTER(U322,"Descrição do problema:&lt;/strong"),"&lt;/p&gt;"),_xlfn.TEXTAFTER(U322,"Descrição do problema:&lt;/strong"))</f>
        <v/>
      </c>
      <c r="W322" s="76">
        <f>_xlfn.CONCAT(D322:E322)</f>
        <v/>
      </c>
      <c r="X322" s="77" t="n"/>
      <c r="Y322" s="78">
        <f>IF(X322="","Aberto","Encerrado")</f>
        <v/>
      </c>
      <c r="Z322" s="78">
        <f>IF(OR(L322="PENDENTE",L322="EM ANDAMENTO",L322="PENDENTE APROVAÇÃO CANCELAMENTO NF"),TODAY()-O322,X322-O322)</f>
        <v/>
      </c>
      <c r="AA322" s="78">
        <f>IF(Y322="Aberto",Z322+ROW()/100000,"")</f>
        <v/>
      </c>
      <c r="AB322" s="2">
        <f>IF(ISNUMBER(FIND("@cielo.com.br",S322)),"Interno","Externo")</f>
        <v/>
      </c>
      <c r="AC322" t="inlineStr">
        <is>
          <t>Questionar ou corrigir cobrança de setup, taxa ou chave de loja.</t>
        </is>
      </c>
      <c r="AD322" t="inlineStr">
        <is>
          <t>chaves de loja + custo</t>
        </is>
      </c>
      <c r="AE322" t="inlineStr">
        <is>
          <t>Cobrança de setup</t>
        </is>
      </c>
      <c r="AF322" t="inlineStr">
        <is>
          <t>Valor Cobrado</t>
        </is>
      </c>
      <c r="AG322" t="inlineStr">
        <is>
          <t>Cobrança e Contestação</t>
        </is>
      </c>
      <c r="AI322" t="inlineStr">
        <is>
          <t>INT_COB_SETUP</t>
        </is>
      </c>
      <c r="AJ322" t="inlineStr">
        <is>
          <t>Sugerida</t>
        </is>
      </c>
      <c r="AK322" t="b">
        <v>0</v>
      </c>
      <c r="AN322">
        <f>IF(OR(AG322="",AM322=""),"",IF(AG322=AM322,"SIM","NÃO"))</f>
        <v/>
      </c>
      <c r="AO322" t="inlineStr">
        <is>
          <t>CLASSIFIED_PATTERN</t>
        </is>
      </c>
    </row>
    <row r="323" ht="15.5" customHeight="1">
      <c r="A323" s="1" t="n"/>
      <c r="B323" s="67" t="inlineStr">
        <is>
          <t>Amanda Silva</t>
        </is>
      </c>
      <c r="C323" s="70">
        <f>VLOOKUP(I:I,'Referencias '!H:I,2,0)</f>
        <v/>
      </c>
      <c r="D323" s="129" t="n">
        <v>25914441</v>
      </c>
      <c r="E323" s="71" t="inlineStr">
        <is>
          <t>0</t>
        </is>
      </c>
      <c r="F323" s="126" t="inlineStr">
        <is>
          <t>2622410122956</t>
        </is>
      </c>
      <c r="G323" s="72">
        <f>VLOOKUP(H:H,'Referencias '!B:C,2,0)</f>
        <v/>
      </c>
      <c r="H323" s="72">
        <f>TRIM(_xlfn.TEXTBEFORE(_xlfn.TEXTAFTER(U323,"CNPJ/CPF:&lt;/strong&gt;"),"&lt;/p&gt;"))</f>
        <v/>
      </c>
      <c r="I323" s="70" t="inlineStr">
        <is>
          <t>Solicitação de Boleto</t>
        </is>
      </c>
      <c r="J323" s="72" t="n"/>
      <c r="K323" s="72" t="inlineStr">
        <is>
          <t>Cliente</t>
        </is>
      </c>
      <c r="L323" s="122" t="inlineStr">
        <is>
          <t>PENDENTE</t>
        </is>
      </c>
      <c r="M323" s="73" t="inlineStr">
        <is>
          <t>Médio</t>
        </is>
      </c>
      <c r="N323" s="71" t="inlineStr">
        <is>
          <t>1018 Financeiro | Desejo falar com o setor financeiro | welton sousa de melo | weltonsousa@blumar.com.br</t>
        </is>
      </c>
      <c r="O323" s="74" t="n">
        <v>46246</v>
      </c>
      <c r="P323" s="123" t="n">
        <v>46246</v>
      </c>
      <c r="Q323" s="177">
        <f>TEXT(O323,"mmm/aaaa")</f>
        <v/>
      </c>
      <c r="R323" s="71" t="inlineStr">
        <is>
          <t>ECOMMERCE BP SUPORTE FINANCEIRO N2</t>
        </is>
      </c>
      <c r="S323" s="71" t="inlineStr">
        <is>
          <t>weltonsousa@blumar.com.br</t>
        </is>
      </c>
      <c r="T323" s="71" t="inlineStr">
        <is>
          <t>BLUMAR CONGRESS</t>
        </is>
      </c>
      <c r="U323" s="71" t="inlineStr">
        <is>
          <t>Olá, segue formulário enviado para Cielo E-commerce:&lt;p&gt;&lt;strong&gt;Qual seu nome?:&lt;/strong&gt; welton sousa de melo&lt;/p&gt;&lt;p&gt;&lt;strong&gt;Endereço de e-mail:&lt;/strong&gt; weltonsousa@blumar.com.br&lt;/p&gt;&lt;p&gt;&lt;strong&gt;CNPJ/CPF:&lt;/strong&gt; 40.339.657/0001-00&lt;/p&gt;&lt;p&gt;&lt;strong&gt;Telefone:&lt;/strong&gt; (21) 97242-4948&lt;/p&gt;&lt;p&gt;&lt;strong&gt;Assunto:&lt;/strong&gt; Boleto para pagamento&lt;/p&gt;&lt;p&gt;&lt;strong&gt;Merchant ID/Estabelecimento Comercial (EC):&lt;/strong&gt; nao sei&lt;/p&gt;&lt;p&gt;&lt;strong&gt;Descrição do problema:&lt;/strong&gt; Bom dia 
Preciso do boleto para pagamento que vence dia 14/08
cnpj 40339657000100&lt;/p&gt;&lt;p&gt;&lt;strong&gt;Data e hora do erro:&lt;/strong&gt; 12-08-2026 10:51&lt;/p&gt;&lt;p&gt;&lt;strong&gt;Sobre qual produto ou área deseja falar?:&lt;/strong&gt; Financeiro&lt;/p&gt;&lt;p&gt;&lt;strong&gt;Como podemos te ajudar?:&lt;/strong&gt; Desejo falar com o setor financeiro&lt;/p&gt;&lt;p&gt;&lt;strong&gt;GA Client ID:&lt;/strong&gt; 367391627.1786459112&lt;/p&gt;&lt;p&gt;&lt;strong&gt;Lead Hash ID:&lt;/strong&gt; cf9788142136f4e78b3980f911b36baedbbaff528ca489739fae731b3dd1f6c0&lt;/p&gt;&lt;p&gt;&lt;strong&gt;Lead Form ID:&lt;/strong&gt; cf9788142136f4e78b3980f911b36baedbbaff528ca4</t>
        </is>
      </c>
      <c r="V323" s="71">
        <f>IFERROR(_xlfn.TEXTBEFORE(_xlfn.TEXTAFTER(U323,"Descrição do problema:&lt;/strong"),"&lt;/p&gt;"),_xlfn.TEXTAFTER(U323,"Descrição do problema:&lt;/strong"))</f>
        <v/>
      </c>
      <c r="W323" s="76">
        <f>_xlfn.CONCAT(D323:E323)</f>
        <v/>
      </c>
      <c r="X323" s="77" t="n"/>
      <c r="Y323" s="78">
        <f>IF(X323="","Aberto","Encerrado")</f>
        <v/>
      </c>
      <c r="Z323" s="78">
        <f>IF(OR(L323="PENDENTE",L323="EM ANDAMENTO",L323="PENDENTE APROVAÇÃO CANCELAMENTO NF"),TODAY()-O323,X323-O323)</f>
        <v/>
      </c>
      <c r="AA323" s="78">
        <f>IF(Y323="Aberto",Z323+ROW()/100000,"")</f>
        <v/>
      </c>
      <c r="AB323" s="2">
        <f>IF(ISNUMBER(FIND("@cielo.com.br",S323)),"Interno","Externo")</f>
        <v/>
      </c>
      <c r="AC323" t="inlineStr">
        <is>
          <t>Solicitar segunda via, reenvio ou reemissão de boleto.</t>
        </is>
      </c>
      <c r="AD323" t="inlineStr">
        <is>
          <t>preciso do boleto</t>
        </is>
      </c>
      <c r="AE323" t="inlineStr">
        <is>
          <t>Reenvio de boleto</t>
        </is>
      </c>
      <c r="AF323" t="inlineStr">
        <is>
          <t>Título Financeiro</t>
        </is>
      </c>
      <c r="AG323" t="inlineStr">
        <is>
          <t>Pagamentos, Boletos e Recebimentos</t>
        </is>
      </c>
      <c r="AI323" t="inlineStr">
        <is>
          <t>INT_PAG_BOLETO_REENVIO</t>
        </is>
      </c>
      <c r="AJ323" t="inlineStr">
        <is>
          <t>Sugerida</t>
        </is>
      </c>
      <c r="AK323" t="b">
        <v>0</v>
      </c>
      <c r="AN323">
        <f>IF(OR(AG323="",AM323=""),"",IF(AG323=AM323,"SIM","NÃO"))</f>
        <v/>
      </c>
      <c r="AO323" t="inlineStr">
        <is>
          <t>CLASSIFIED_PATTERN</t>
        </is>
      </c>
    </row>
    <row r="324" ht="15.5" customHeight="1">
      <c r="A324" s="1" t="n"/>
      <c r="B324" s="67" t="inlineStr">
        <is>
          <t>Fabiana Lisboa</t>
        </is>
      </c>
      <c r="C324" s="70">
        <f>VLOOKUP(I:I,'Referencias '!H:I,2,0)</f>
        <v/>
      </c>
      <c r="D324" s="71" t="n">
        <v>25910090</v>
      </c>
      <c r="E324" s="71" t="inlineStr">
        <is>
          <t>0</t>
        </is>
      </c>
      <c r="F324" s="126" t="inlineStr">
        <is>
          <t>2622410120195</t>
        </is>
      </c>
      <c r="G324" s="72">
        <f>VLOOKUP(H:H,'Referencias '!B:C,2,0)</f>
        <v/>
      </c>
      <c r="H324" s="72">
        <f>TRIM(_xlfn.TEXTBEFORE(_xlfn.TEXTAFTER(U324,"CNPJ/CPF:&lt;/strong&gt;"),"&lt;/p&gt;"))</f>
        <v/>
      </c>
      <c r="I324" s="70" t="inlineStr">
        <is>
          <t>Atualização de Cadastro</t>
        </is>
      </c>
      <c r="J324" s="72" t="n"/>
      <c r="K324" s="72" t="inlineStr">
        <is>
          <t>Comercial</t>
        </is>
      </c>
      <c r="L324" s="70" t="inlineStr">
        <is>
          <t>FINALIZADO</t>
        </is>
      </c>
      <c r="M324" s="73" t="inlineStr">
        <is>
          <t>Médio</t>
        </is>
      </c>
      <c r="N324" s="71" t="inlineStr">
        <is>
          <t>1018 Financeiro | Desejo falar com o setor financeiro | Raphael Felipe Palmeira | raphael.palmeira@cielo.com.br</t>
        </is>
      </c>
      <c r="O324" s="74" t="n">
        <v>46246</v>
      </c>
      <c r="P324" s="123" t="n">
        <v>46248</v>
      </c>
      <c r="Q324" s="177">
        <f>TEXT(O324,"mmm/aaaa")</f>
        <v/>
      </c>
      <c r="R324" s="71" t="inlineStr">
        <is>
          <t>ECOMMERCE BP SUPORTE FINANCEIRO N2</t>
        </is>
      </c>
      <c r="S324" s="71" t="inlineStr">
        <is>
          <t>raphael.palmeira@cielo.com.br</t>
        </is>
      </c>
      <c r="T324" s="71" t="inlineStr">
        <is>
          <t>NERIA COMERCIALIZADORA VAREJISTA DE ENERGIA LTDA</t>
        </is>
      </c>
      <c r="U324" s="71" t="inlineStr">
        <is>
          <t xml:space="preserve">Olá, segue formulário enviado para Cielo E-commerce:&lt;p&gt;&lt;strong&gt;Qual seu nome?:&lt;/strong&gt; Raphael Felipe Palmeira&lt;/p&gt;&lt;p&gt;&lt;strong&gt;Endereço de e-mail:&lt;/strong&gt; raphael.palmeira@cielo.com.br&lt;/p&gt;&lt;p&gt;&lt;strong&gt;CNPJ/CPF:&lt;/strong&gt; 11.844.665/0001-06&lt;/p&gt;&lt;p&gt;&lt;strong&gt;Telefone:&lt;/strong&gt; (11) 98774-0847&lt;/p&gt;&lt;p&gt;&lt;strong&gt;Assunto:&lt;/strong&gt; Mudança de CNPJ&lt;/p&gt;&lt;p&gt;&lt;strong&gt;Merchant ID/Estabelecimento Comercial (EC):&lt;/strong&gt; NERIA ENERGIA E SOLUCOES LTDA&lt;/p&gt;&lt;p&gt;&lt;strong&gt;Descrição do problema:&lt;/strong&gt; Gostaria de formalizar a alteração realizada no contrato do cliente Neria e alinhar sobre os faturamentos. 
A cotação foi elaborada pela gerente Naomi, utilizando um CNPJ informado pelo cliente. Após dois meses de negociação, no momento da elaboração do contrato Braspag, o cliente informou outro CNPJ.
Essa divergência foi identificada posteriormente durante a implantação, tornando necessária a correção cadastral para que o contrato refletisse o mesmo CNPJ utilizado na cotação comercial e, consequentemente, garantisse </t>
        </is>
      </c>
      <c r="V324" s="71">
        <f>IFERROR(_xlfn.TEXTBEFORE(_xlfn.TEXTAFTER(U324,"Descrição do problema:&lt;/strong"),"&lt;/p&gt;"),_xlfn.TEXTAFTER(U324,"Descrição do problema:&lt;/strong"))</f>
        <v/>
      </c>
      <c r="W324" s="76">
        <f>_xlfn.CONCAT(D324:E324)</f>
        <v/>
      </c>
      <c r="X324" s="77">
        <f>P324</f>
        <v/>
      </c>
      <c r="Y324" s="78">
        <f>IF(X324="","Aberto","Encerrado")</f>
        <v/>
      </c>
      <c r="Z324" s="78">
        <f>IF(OR(L324="PENDENTE",L324="EM ANDAMENTO",L324="PENDENTE APROVAÇÃO CANCELAMENTO NF"),TODAY()-O324,X324-O324)</f>
        <v/>
      </c>
      <c r="AA324" s="78">
        <f>IF(Y324="Aberto",Z324+ROW()/100000,"")</f>
        <v/>
      </c>
      <c r="AB324" s="2">
        <f>IF(ISNUMBER(FIND("@cielo.com.br",S324)),"Interno","Externo")</f>
        <v/>
      </c>
      <c r="AC324" t="inlineStr">
        <is>
          <t>Atualizar dados cadastrais, e-mail ou telefone.</t>
        </is>
      </c>
      <c r="AD324" t="inlineStr">
        <is>
          <t>mudança + cnpj; mudança de cnpj; correção cadastral</t>
        </is>
      </c>
      <c r="AE324" t="inlineStr">
        <is>
          <t>Atualização cadastral</t>
        </is>
      </c>
      <c r="AF324" t="inlineStr">
        <is>
          <t>Contrato/Cadastro</t>
        </is>
      </c>
      <c r="AG324" t="inlineStr">
        <is>
          <t>Contratos, Comercial e Cadastro</t>
        </is>
      </c>
      <c r="AI324" t="inlineStr">
        <is>
          <t>INT_CON_CADASTRO</t>
        </is>
      </c>
      <c r="AJ324" t="inlineStr">
        <is>
          <t>Sugerida</t>
        </is>
      </c>
      <c r="AK324" t="b">
        <v>0</v>
      </c>
      <c r="AN324">
        <f>IF(OR(AG324="",AM324=""),"",IF(AG324=AM324,"SIM","NÃO"))</f>
        <v/>
      </c>
      <c r="AO324" t="inlineStr">
        <is>
          <t>CLASSIFIED_PATTERN</t>
        </is>
      </c>
    </row>
    <row r="325" ht="15.5" customHeight="1">
      <c r="A325" s="1" t="n"/>
      <c r="B325" s="67" t="inlineStr">
        <is>
          <t>Stephany Lima</t>
        </is>
      </c>
      <c r="C325" s="70">
        <f>VLOOKUP(I:I,'Referencias '!H:I,2,0)</f>
        <v/>
      </c>
      <c r="D325" s="71" t="n">
        <v>25974810</v>
      </c>
      <c r="E325" s="71" t="inlineStr">
        <is>
          <t>0</t>
        </is>
      </c>
      <c r="F325" s="126" t="inlineStr">
        <is>
          <t>2622510161267</t>
        </is>
      </c>
      <c r="G325" s="72">
        <f>VLOOKUP(H:H,'Referencias '!B:C,2,0)</f>
        <v/>
      </c>
      <c r="H325" s="72">
        <f>TRIM(_xlfn.TEXTBEFORE(_xlfn.TEXTAFTER(U325,"CNPJ/CPF:&lt;/strong&gt;"),"&lt;/p&gt;"))</f>
        <v/>
      </c>
      <c r="I325" s="70" t="inlineStr">
        <is>
          <t>Contestação de cobrança</t>
        </is>
      </c>
      <c r="J325" s="72" t="n"/>
      <c r="K325" s="72" t="inlineStr">
        <is>
          <t>Em análise</t>
        </is>
      </c>
      <c r="L325" s="122" t="inlineStr">
        <is>
          <t>PENDENTE</t>
        </is>
      </c>
      <c r="M325" s="73" t="inlineStr">
        <is>
          <t>Médio</t>
        </is>
      </c>
      <c r="N325" s="71" t="inlineStr">
        <is>
          <t>1018 Financeiro | Desejo falar com o setor financeiro | EDITORA E LIVRARIA SEFER LTDA | ariane.pasilva@cielo.com.br</t>
        </is>
      </c>
      <c r="O325" s="74" t="n">
        <v>46247</v>
      </c>
      <c r="P325" s="123" t="n">
        <v>46247</v>
      </c>
      <c r="Q325" s="177">
        <f>TEXT(O325,"mmm/aaaa")</f>
        <v/>
      </c>
      <c r="R325" s="71" t="inlineStr">
        <is>
          <t>ECOMMERCE BP SUPORTE FINANCEIRO N2</t>
        </is>
      </c>
      <c r="S325" s="71" t="inlineStr">
        <is>
          <t>ariane.pasilva@cielo.com.br</t>
        </is>
      </c>
      <c r="T325" s="71" t="inlineStr"/>
      <c r="U325" s="71" t="inlineStr">
        <is>
          <t>Olá, segue formulário enviado para Cielo E-commerce:&lt;p&gt;&lt;strong&gt;Qual seu nome?:&lt;/strong&gt; EDITORA E LIVRARIA SEFER LTDA&lt;/p&gt;&lt;p&gt;&lt;strong&gt;Endereço de e-mail:&lt;/strong&gt; ariane.pasilva@cielo.com.br&lt;/p&gt;&lt;p&gt;&lt;strong&gt;CNPJ/CPF:&lt;/strong&gt; 60.047.743/0001-49&lt;/p&gt;&lt;p&gt;&lt;strong&gt;Telefone:&lt;/strong&gt; (11) 97707-1602&lt;/p&gt;&lt;p&gt;&lt;strong&gt;Assunto:&lt;/strong&gt; Cancelamento de nota&lt;/p&gt;&lt;p&gt;&lt;strong&gt;Merchant ID/Estabelecimento Comercial (EC):&lt;/strong&gt; 60047743000149&lt;/p&gt;&lt;p&gt;&lt;strong&gt;Descrição do problema:&lt;/strong&gt; Prezados, favor cancelar a nota:116129
Já cobramos o setup na nota:114015
O contrato só prevê uma cobrança de setup.&lt;/p&gt;&lt;p&gt;&lt;strong&gt;ID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2a07344672c93c9ca782cc07cf9dc37d0cd4c270e817a83b9f87f9b32f0130a9&lt;/p&gt;&lt;p&gt;&lt;st</t>
        </is>
      </c>
      <c r="V325" s="71">
        <f>IFERROR(_xlfn.TEXTBEFORE(_xlfn.TEXTAFTER(U325,"Descrição do problema:&lt;/strong"),"&lt;/p&gt;"),_xlfn.TEXTAFTER(U325,"Descrição do problema:&lt;/strong"))</f>
        <v/>
      </c>
      <c r="W325" s="76">
        <f>_xlfn.CONCAT(D325:E325)</f>
        <v/>
      </c>
      <c r="X325" s="77" t="n"/>
      <c r="Y325" s="78">
        <f>IF(X325="","Aberto","Encerrado")</f>
        <v/>
      </c>
      <c r="Z325" s="78">
        <f>IF(OR(L325="PENDENTE",L325="EM ANDAMENTO",L325="PENDENTE APROVAÇÃO CANCELAMENTO NF"),TODAY()-O325,X325-O325)</f>
        <v/>
      </c>
      <c r="AA325" s="78">
        <f>IF(Y325="Aberto",Z325+ROW()/100000,"")</f>
        <v/>
      </c>
      <c r="AB325" s="2">
        <f>IF(ISNUMBER(FIND("@cielo.com.br",S325)),"Interno","Externo")</f>
        <v/>
      </c>
      <c r="AC325" t="inlineStr">
        <is>
          <t>Cancelar, substituir ou reemitir nota fiscal.</t>
        </is>
      </c>
      <c r="AD325" t="inlineStr">
        <is>
          <t>cancelamento de nota; favor cancelar a nota</t>
        </is>
      </c>
      <c r="AE325" t="inlineStr">
        <is>
          <t>Cancelamento de NF</t>
        </is>
      </c>
      <c r="AF325" t="inlineStr">
        <is>
          <t>Documento Fiscal</t>
        </is>
      </c>
      <c r="AG325" t="inlineStr">
        <is>
          <t>Cancelamento e Reemissão de Nota Fiscal</t>
        </is>
      </c>
      <c r="AI325" t="inlineStr">
        <is>
          <t>INT_NF_CANCEL_REEMISSAO</t>
        </is>
      </c>
      <c r="AJ325" t="inlineStr">
        <is>
          <t>Sugerida</t>
        </is>
      </c>
      <c r="AK325" t="b">
        <v>0</v>
      </c>
      <c r="AN325">
        <f>IF(OR(AG325="",AM325=""),"",IF(AG325=AM325,"SIM","NÃO"))</f>
        <v/>
      </c>
      <c r="AO325" t="inlineStr">
        <is>
          <t>CLASSIFIED_PATTERN</t>
        </is>
      </c>
    </row>
    <row r="326" ht="15.5" customHeight="1">
      <c r="A326" s="1" t="n"/>
      <c r="B326" s="67" t="inlineStr">
        <is>
          <t>Emilly Maria</t>
        </is>
      </c>
      <c r="C326" s="70">
        <f>VLOOKUP(I:I,'Referencias '!H:I,2,0)</f>
        <v/>
      </c>
      <c r="D326" s="71" t="n">
        <v>25793618</v>
      </c>
      <c r="E326" s="71" t="inlineStr">
        <is>
          <t>0</t>
        </is>
      </c>
      <c r="F326" s="126" t="inlineStr">
        <is>
          <t>2622210046249</t>
        </is>
      </c>
      <c r="G326" s="72">
        <f>T326</f>
        <v/>
      </c>
      <c r="H326" s="72" t="n"/>
      <c r="I326" s="70" t="inlineStr">
        <is>
          <t>Prorrogação de Boleto</t>
        </is>
      </c>
      <c r="J326" s="72" t="n"/>
      <c r="K326" s="72" t="inlineStr">
        <is>
          <t>Cliente</t>
        </is>
      </c>
      <c r="L326" s="70" t="inlineStr">
        <is>
          <t>FINALIZADO</t>
        </is>
      </c>
      <c r="M326" s="73" t="inlineStr">
        <is>
          <t>Médio</t>
        </is>
      </c>
      <c r="N326" s="71" t="inlineStr">
        <is>
          <t>Prorrogação myPLACE - Setup</t>
        </is>
      </c>
      <c r="O326" s="74" t="n">
        <v>46244</v>
      </c>
      <c r="P326" s="123" t="n">
        <v>46245</v>
      </c>
      <c r="Q326" s="177">
        <f>TEXT(O326,"mmm/aaaa")</f>
        <v/>
      </c>
      <c r="R326" s="71" t="inlineStr">
        <is>
          <t>ECOMMERCE BP SUPORTE FINANCEIRO N2</t>
        </is>
      </c>
      <c r="S326" s="71" t="inlineStr">
        <is>
          <t>gerencia.ecommerce@myplace.com.br</t>
        </is>
      </c>
      <c r="T326" s="71" t="inlineStr">
        <is>
          <t>MYPLACE INDUSTRIA</t>
        </is>
      </c>
      <c r="U326"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Tivemos alguns imprevistos e, por isso, ainda não conseguimos avançar com a implantação.
Como seguimos analisando todos os pontos necessários para concluir essa etapa, gostaria de verificar se é possível prorrogar o vencimento do boleto referente ao setup por mais 15 dias.
Esse prazo já seria suficiente para nos organizarmos.
Obrigada!
--
Att,
[https://ci3.googleusercontent.com/mail-sig/AIorK4zkE066u-Yp0MiEgALiSNIECadUOIhu_M5wAsj5LuGtUp6UU3HXQtyJrN1ZDNkFYUuOnKpoQUvDNlh2][X]</t>
        </is>
      </c>
      <c r="V326" s="71">
        <f>IFERROR(_xlfn.TEXTBEFORE(_xlfn.TEXTAFTER(U326,"Descrição do problema:&lt;/strong"),"&lt;/p&gt;"),_xlfn.TEXTAFTER(U326,"Descrição do problema:&lt;/strong"))</f>
        <v/>
      </c>
      <c r="W326" s="76">
        <f>_xlfn.CONCAT(D326:E326)</f>
        <v/>
      </c>
      <c r="X326" s="77">
        <f>P326</f>
        <v/>
      </c>
      <c r="Y326" s="78">
        <f>IF(X326="","Aberto","Encerrado")</f>
        <v/>
      </c>
      <c r="Z326" s="78">
        <f>IF(OR(L326="PENDENTE",L326="EM ANDAMENTO",L326="PENDENTE APROVAÇÃO CANCELAMENTO NF"),TODAY()-O326,X326-O326)</f>
        <v/>
      </c>
      <c r="AA326" s="78">
        <f>IF(Y326="Aberto",Z326+ROW()/100000,"")</f>
        <v/>
      </c>
      <c r="AB326" s="2">
        <f>IF(ISNUMBER(FIND("@cielo.com.br",S326)),"Interno","Externo")</f>
        <v/>
      </c>
      <c r="AC326" t="inlineStr">
        <is>
          <t>Alterar ou prorrogar vencimento ou prazo de pagamento.</t>
        </is>
      </c>
      <c r="AD326" t="inlineStr">
        <is>
          <t>prorrogar + vencimento; prorrogar + vencimento</t>
        </is>
      </c>
      <c r="AE326" t="inlineStr">
        <is>
          <t>Alteração de vencimento</t>
        </is>
      </c>
      <c r="AF326" t="inlineStr">
        <is>
          <t>Título Financeiro</t>
        </is>
      </c>
      <c r="AG326" t="inlineStr">
        <is>
          <t>Pagamentos, Boletos e Recebimentos</t>
        </is>
      </c>
      <c r="AI326" t="inlineStr">
        <is>
          <t>INT_PAG_VENCIMENTO</t>
        </is>
      </c>
      <c r="AJ326" t="inlineStr">
        <is>
          <t>Sugerida</t>
        </is>
      </c>
      <c r="AK326" t="b">
        <v>0</v>
      </c>
      <c r="AN326">
        <f>IF(OR(AG326="",AM326=""),"",IF(AG326=AM326,"SIM","NÃO"))</f>
        <v/>
      </c>
      <c r="AO326" t="inlineStr">
        <is>
          <t>CLASSIFIED_PATTERN</t>
        </is>
      </c>
    </row>
    <row r="327" ht="15.5" customHeight="1">
      <c r="A327" s="1" t="n"/>
      <c r="B327" s="67" t="inlineStr">
        <is>
          <t>Emilly Maria</t>
        </is>
      </c>
      <c r="C327" s="70">
        <f>VLOOKUP(I:I,'Referencias '!H:I,2,0)</f>
        <v/>
      </c>
      <c r="D327" s="71" t="n">
        <v>25792655</v>
      </c>
      <c r="E327" s="71" t="inlineStr">
        <is>
          <t>0</t>
        </is>
      </c>
      <c r="F327" s="126" t="inlineStr">
        <is>
          <t>2622210045738</t>
        </is>
      </c>
      <c r="G327" s="72">
        <f>VLOOKUP(H:H,'Referencias '!B:C,2,0)</f>
        <v/>
      </c>
      <c r="H327" s="72">
        <f>TRIM(_xlfn.TEXTBEFORE(_xlfn.TEXTAFTER(U327,"CNPJ/CPF:&lt;/strong&gt;"),"&lt;/p&gt;"))</f>
        <v/>
      </c>
      <c r="I327" s="70" t="inlineStr">
        <is>
          <t>Cobrança Setup</t>
        </is>
      </c>
      <c r="J327" s="72" t="n"/>
      <c r="K327" s="72" t="inlineStr">
        <is>
          <t>Solicitação Comercial</t>
        </is>
      </c>
      <c r="L327" s="122" t="inlineStr">
        <is>
          <t>PENDENTE</t>
        </is>
      </c>
      <c r="M327" s="73" t="inlineStr">
        <is>
          <t>Médio</t>
        </is>
      </c>
      <c r="N327" s="71" t="inlineStr">
        <is>
          <t>1018 Financeiro | Desejo falar com o setor financeiro | Júlia Angelozzi | julia.djesus@cielo.com.br</t>
        </is>
      </c>
      <c r="O327" s="74" t="n">
        <v>46244</v>
      </c>
      <c r="P327" s="123" t="n">
        <v>46244</v>
      </c>
      <c r="Q327" s="177">
        <f>TEXT(O327,"mmm/aaaa")</f>
        <v/>
      </c>
      <c r="R327" s="71" t="inlineStr">
        <is>
          <t>ECOMMERCE BP SUPORTE FINANCEIRO N2</t>
        </is>
      </c>
      <c r="S327" s="71" t="inlineStr">
        <is>
          <t>julia.djesus@cielo.com.br</t>
        </is>
      </c>
      <c r="T327" s="71" t="inlineStr">
        <is>
          <t>E-PECA</t>
        </is>
      </c>
      <c r="U327" s="71" t="inlineStr">
        <is>
          <t>Olá, segue formulário enviado para Cielo E-commerce:&lt;p&gt;&lt;strong&gt;Qual seu nome?:&lt;/strong&gt; Júlia Angelozzi&lt;/p&gt;&lt;p&gt;&lt;strong&gt;Endereço de e-mail:&lt;/strong&gt; julia.djesus@cielo.com.br&lt;/p&gt;&lt;p&gt;&lt;strong&gt;CNPJ/CPF:&lt;/strong&gt; 25.382.893/0001-08&lt;/p&gt;&lt;p&gt;&lt;strong&gt;Telefone:&lt;/strong&gt; (11) 94452-6362&lt;/p&gt;&lt;p&gt;&lt;strong&gt;Assunto:&lt;/strong&gt; Cobrança de setup&lt;/p&gt;&lt;p&gt;&lt;strong&gt;Merchant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pessoal!
Sou a gerente comercial da E-PECA DESENVOLVIMENTO DE SISTEMAS LTDA, CNPJ 25.382.893/0001-08. Preciso que realizem a geração da cobrança de um setup para o cliente devido a geração de uma nova chave na solução de Split de Pagamentos.&lt;/p&gt;&lt;p&gt;&lt;strong&gt;GA Client ID:&lt;/strong&gt; 1748044628.1765558654&lt;/p&gt;&lt;p&gt;&lt;strong&gt;Lead Hash ID:&lt;/strong&gt; 3dc5c78ff78351c9b79cf06b80b413fa18042906d6688441ed31</t>
        </is>
      </c>
      <c r="V327" s="71">
        <f>IFERROR(_xlfn.TEXTBEFORE(_xlfn.TEXTAFTER(U327,"Descrição do problema:&lt;/strong"),"&lt;/p&gt;"),_xlfn.TEXTAFTER(U327,"Descrição do problema:&lt;/strong"))</f>
        <v/>
      </c>
      <c r="W327" s="76">
        <f>_xlfn.CONCAT(D327:E327)</f>
        <v/>
      </c>
      <c r="X327" s="77" t="n"/>
      <c r="Y327" s="78">
        <f>IF(X327="","Aberto","Encerrado")</f>
        <v/>
      </c>
      <c r="Z327" s="78">
        <f>IF(OR(L327="PENDENTE",L327="EM ANDAMENTO",L327="PENDENTE APROVAÇÃO CANCELAMENTO NF"),TODAY()-O327,X327-O327)</f>
        <v/>
      </c>
      <c r="AA327" s="78">
        <f>IF(Y327="Aberto",Z327+ROW()/100000,"")</f>
        <v/>
      </c>
      <c r="AB327" s="2">
        <f>IF(ISNUMBER(FIND("@cielo.com.br",S327)),"Interno","Externo")</f>
        <v/>
      </c>
      <c r="AC327" t="inlineStr">
        <is>
          <t>Questionar ou corrigir cobrança de setup, taxa ou chave de loja.</t>
        </is>
      </c>
      <c r="AD327" t="inlineStr">
        <is>
          <t>cobrança de setup; nova chave na solução de split de pagamentos; cobrança + setup</t>
        </is>
      </c>
      <c r="AE327" t="inlineStr">
        <is>
          <t>Cobrança de setup</t>
        </is>
      </c>
      <c r="AF327" t="inlineStr">
        <is>
          <t>Valor Cobrado</t>
        </is>
      </c>
      <c r="AG327" t="inlineStr">
        <is>
          <t>Cobrança e Contestação</t>
        </is>
      </c>
      <c r="AI327" t="inlineStr">
        <is>
          <t>INT_COB_SETUP</t>
        </is>
      </c>
      <c r="AJ327" t="inlineStr">
        <is>
          <t>Sugerida</t>
        </is>
      </c>
      <c r="AK327" t="b">
        <v>0</v>
      </c>
      <c r="AN327">
        <f>IF(OR(AG327="",AM327=""),"",IF(AG327=AM327,"SIM","NÃO"))</f>
        <v/>
      </c>
      <c r="AO327" t="inlineStr">
        <is>
          <t>CLASSIFIED_PATTERN</t>
        </is>
      </c>
    </row>
    <row r="328" ht="15.5" customHeight="1">
      <c r="A328" s="1" t="n"/>
      <c r="B328" s="67" t="inlineStr">
        <is>
          <t>Emilly Maria</t>
        </is>
      </c>
      <c r="C328" s="70">
        <f>VLOOKUP(I:I,'Referencias '!H:I,2,0)</f>
        <v/>
      </c>
      <c r="D328" s="71" t="n">
        <v>26187138</v>
      </c>
      <c r="E328" s="71" t="inlineStr">
        <is>
          <t>0</t>
        </is>
      </c>
      <c r="F328" s="126" t="inlineStr">
        <is>
          <t>2623015294461</t>
        </is>
      </c>
      <c r="G328" s="72">
        <f>VLOOKUP(H:H,'Referencias '!B:C,2,0)</f>
        <v/>
      </c>
      <c r="H328" s="72">
        <f>TRIM(_xlfn.TEXTBEFORE(_xlfn.TEXTAFTER(U328,"CNPJ/CPF:&lt;/strong&gt;"),"&lt;/p&gt;"))</f>
        <v/>
      </c>
      <c r="I328" s="70" t="inlineStr">
        <is>
          <t>Informações geral</t>
        </is>
      </c>
      <c r="J328" s="72" t="n"/>
      <c r="K328" s="72" t="n"/>
      <c r="L328" s="70" t="inlineStr">
        <is>
          <t>FINALIZADO</t>
        </is>
      </c>
      <c r="M328" s="73" t="inlineStr">
        <is>
          <t>Médio</t>
        </is>
      </c>
      <c r="N328" s="129" t="inlineStr">
        <is>
          <t>1018 Financeiro | Desejo falar com o setor financeiro | lainia | lainiasantos@terramaceio.com.br</t>
        </is>
      </c>
      <c r="O328" s="125" t="n">
        <v>46252</v>
      </c>
      <c r="P328" s="123" t="n">
        <v>46252</v>
      </c>
      <c r="Q328" s="177">
        <f>TEXT(O328,"mmm/aaaa")</f>
        <v/>
      </c>
      <c r="R328" s="71" t="inlineStr">
        <is>
          <t>ECOMMERCE BP SUPORTE FINANCEIRO N2</t>
        </is>
      </c>
      <c r="S328" s="129" t="inlineStr">
        <is>
          <t>lainiasantos@terramaceio.com.br</t>
        </is>
      </c>
      <c r="T328" s="129" t="inlineStr">
        <is>
          <t>TERRA MACEIO</t>
        </is>
      </c>
      <c r="U328" s="129" t="inlineStr">
        <is>
          <t>Olá, segue formulário enviado para Cielo E-commerce:&lt;p&gt;&lt;strong&gt;Qual seu nome?:&lt;/strong&gt; lainia&lt;/p&gt;&lt;p&gt;&lt;strong&gt;Endereço de e-mail:&lt;/strong&gt; lainiasantos@terramaceio.com.br&lt;/p&gt;&lt;p&gt;&lt;strong&gt;CNPJ/CPF:&lt;/strong&gt; 46.401.065/0001-40&lt;/p&gt;&lt;p&gt;&lt;strong&gt;Telefone:&lt;/strong&gt; (82) 9909-6281&lt;/p&gt;&lt;p&gt;&lt;strong&gt;Assunto:&lt;/strong&gt; cancelamento de pedido&lt;/p&gt;&lt;p&gt;&lt;strong&gt;Merchant ID/Estabelecimento Comercial (EC):&lt;/strong&gt; REDE PECAS TOYOTA&lt;/p&gt;&lt;p&gt;&lt;strong&gt;Sobre qual produto ou área deseja falar?:&lt;/strong&gt; Financeiro&lt;/p&gt;&lt;p&gt;&lt;strong&gt;Descrição do problema:&lt;/strong&gt; Dia 27-07-26, fizemos o cancelando do pedido: 21931 através do portal Rede Toyota
Poderia confirmar?
Identificação do pagamento:&lt;/p&gt;&lt;p&gt;&lt;strong&gt;ID da transação:&lt;/strong&gt; 6c94e415-3512-44c1-b09c-2b4282e1b506&lt;/p&gt;&lt;p&gt;&lt;strong&gt;Data e hora do erro:&lt;/strong&gt; 27-05-2026 09:17&lt;/p&gt;&lt;p&gt;&lt;strong&gt;Como podemos te ajudar?:&lt;/strong&gt; Desejo falar com o setor financeiro&lt;/p&gt;&lt;p&gt;&lt;strong&gt;GA Client ID:&lt;/strong&gt; 134291847.1787077979&lt;/p&gt;&lt;p&gt;&lt;strong&gt;Lead Hash ID:&lt;/strong&gt; 01bfa6307aa2dc37304c11</t>
        </is>
      </c>
      <c r="V328" s="71">
        <f>IFERROR(_xlfn.TEXTBEFORE(_xlfn.TEXTAFTER(U328,"Descrição do problema:&lt;/strong"),"&lt;/p&gt;"),_xlfn.TEXTAFTER(U328,"Descrição do problema:&lt;/strong"))</f>
        <v/>
      </c>
      <c r="W328" s="76">
        <f>_xlfn.CONCAT(D328:E328)</f>
        <v/>
      </c>
      <c r="X328" s="77" t="n">
        <v>46267</v>
      </c>
      <c r="Y328" s="78">
        <f>IF(X328="","Aberto","Encerrado")</f>
        <v/>
      </c>
      <c r="Z328" s="78">
        <f>IF(OR(L328="PENDENTE",L328="EM ANDAMENTO",L328="PENDENTE APROVAÇÃO CANCELAMENTO NF"),TODAY()-O328,X328-O328)</f>
        <v/>
      </c>
      <c r="AA328" s="78">
        <f>IF(Y328="Aberto",Z328+ROW()/100000,"")</f>
        <v/>
      </c>
      <c r="AB328" s="2">
        <f>IF(ISNUMBER(FIND("@cielo.com.br",S328)),"Interno","Externo")</f>
        <v/>
      </c>
      <c r="AC328" t="inlineStr">
        <is>
          <t>Cancelar, substituir ou reemitir nota fiscal.</t>
        </is>
      </c>
      <c r="AD328" t="inlineStr">
        <is>
          <t>cancelamento + nf</t>
        </is>
      </c>
      <c r="AE328" t="inlineStr">
        <is>
          <t>Cancelamento de NF</t>
        </is>
      </c>
      <c r="AF328" t="inlineStr">
        <is>
          <t>Documento Fiscal</t>
        </is>
      </c>
      <c r="AG328" t="inlineStr">
        <is>
          <t>Cancelamento e Reemissão de Nota Fiscal</t>
        </is>
      </c>
      <c r="AI328" t="inlineStr">
        <is>
          <t>INT_NF_CANCEL_REEMISSAO</t>
        </is>
      </c>
      <c r="AJ328" t="inlineStr">
        <is>
          <t>Sugerida</t>
        </is>
      </c>
      <c r="AK328" t="b">
        <v>0</v>
      </c>
      <c r="AN328">
        <f>IF(OR(AG328="",AM328=""),"",IF(AG328=AM328,"SIM","NÃO"))</f>
        <v/>
      </c>
      <c r="AO328" t="inlineStr">
        <is>
          <t>CLASSIFIED_PATTERN</t>
        </is>
      </c>
    </row>
    <row r="329" ht="15.5" customHeight="1">
      <c r="A329" s="1" t="n"/>
      <c r="B329" s="67" t="inlineStr">
        <is>
          <t>Emilly Maria</t>
        </is>
      </c>
      <c r="C329" s="70">
        <f>VLOOKUP(I:I,'Referencias '!H:I,2,0)</f>
        <v/>
      </c>
      <c r="D329" s="71" t="n">
        <v>26186115</v>
      </c>
      <c r="E329" s="71" t="inlineStr">
        <is>
          <t>0</t>
        </is>
      </c>
      <c r="F329" s="126" t="inlineStr">
        <is>
          <t>2623015293826</t>
        </is>
      </c>
      <c r="G329" s="72">
        <f>VLOOKUP(H:H,'Referencias '!B:C,2,0)</f>
        <v/>
      </c>
      <c r="H329" s="72">
        <f>TRIM(_xlfn.TEXTBEFORE(_xlfn.TEXTAFTER(U329,"CNPJ/CPF:&lt;/strong&gt;"),"&lt;/p&gt;"))</f>
        <v/>
      </c>
      <c r="I329" s="70" t="inlineStr">
        <is>
          <t>Troca de conta para depósito</t>
        </is>
      </c>
      <c r="J329" s="72" t="n"/>
      <c r="K329" s="72" t="n"/>
      <c r="L329" s="122" t="inlineStr">
        <is>
          <t>PENDENTE</t>
        </is>
      </c>
      <c r="M329" s="73" t="inlineStr">
        <is>
          <t>Médio</t>
        </is>
      </c>
      <c r="N329" s="129" t="inlineStr">
        <is>
          <t>1018 Financeiro | Desejo falar com o setor financeiro | Marcio dos Santos | msantos@payamigo.com</t>
        </is>
      </c>
      <c r="O329" s="125" t="n">
        <v>46252</v>
      </c>
      <c r="P329" s="123" t="n">
        <v>46252</v>
      </c>
      <c r="Q329" s="177">
        <f>TEXT(O329,"mmm/aaaa")</f>
        <v/>
      </c>
      <c r="R329" s="71" t="inlineStr">
        <is>
          <t>ECOMMERCE BP SUPORTE FINANCEIRO N2</t>
        </is>
      </c>
      <c r="S329" s="129" t="inlineStr">
        <is>
          <t>msantos@payamigo.com</t>
        </is>
      </c>
      <c r="T329" s="129" t="inlineStr">
        <is>
          <t>PAYAMIGO STERRAMEDIA</t>
        </is>
      </c>
      <c r="U329" s="129" t="inlineStr">
        <is>
          <t>Olá, segue formulário enviado para Cielo E-commerce:&lt;p&gt;&lt;strong&gt;Qual seu nome?:&lt;/strong&gt; Marcio dos Santos&lt;/p&gt;&lt;p&gt;&lt;strong&gt;Endereço de e-mail:&lt;/strong&gt; msantos@payamigo.com&lt;/p&gt;&lt;p&gt;&lt;strong&gt;Descrição do problema:&lt;/strong&gt; Banco: 290 - PagSeguro Internet Instituição de Pagamento S.A.
Agência: 0001
Número da conta: 80065820-5
Tipo: Conta de pagamento
CNPJ: 26.183.032/0001-63
Nome: PAYAMIGO BRASIL MEIOS DE PAGAMENTO LTDA&lt;/p&gt;&lt;p&gt;&lt;strong&gt;CNPJ/CPF:&lt;/strong&gt; 26.183.032/0001-63&lt;/p&gt;&lt;p&gt;&lt;strong&gt;Telefone:&lt;/strong&gt; (11) 99590-4440&lt;/p&gt;&lt;p&gt;&lt;strong&gt;Assunto:&lt;/strong&gt; troca da credencial bancaria para deposito dos recebiveis&lt;/p&gt;&lt;p&gt;&lt;strong&gt;Merchant ID/Estabelecimento Comercial (EC):&lt;/strong&gt; 1086969941&lt;/p&gt;&lt;p&gt;&lt;strong&gt;Sobre qual produto ou área deseja falar?:&lt;/strong&gt; Financeiro&lt;/p&gt;&lt;p&gt;&lt;strong&gt;Como podemos te ajudar?:&lt;/strong&gt; Desejo falar com o setor financeiro&lt;/p&gt;&lt;p&gt;&lt;strong&gt;Data e hora do erro:&lt;/strong&gt; 18-08-2026 15:41&lt;/p&gt;&lt;p&gt;&lt;strong&gt;GA Client ID:&lt;/strong&gt; 1551101285.1747059164&lt;/p&gt;&lt;p&gt;&lt;strong&gt;Lead Hash ID:&lt;/strong</t>
        </is>
      </c>
      <c r="V329" s="71">
        <f>IFERROR(_xlfn.TEXTBEFORE(_xlfn.TEXTAFTER(U329,"Descrição do problema:&lt;/strong"),"&lt;/p&gt;"),_xlfn.TEXTAFTER(U329,"Descrição do problema:&lt;/strong"))</f>
        <v/>
      </c>
      <c r="W329" s="76">
        <f>_xlfn.CONCAT(D329:E329)</f>
        <v/>
      </c>
      <c r="X329" s="77" t="n"/>
      <c r="Y329" s="78">
        <f>IF(X329="","Aberto","Encerrado")</f>
        <v/>
      </c>
      <c r="Z329" s="78">
        <f>IF(OR(L329="PENDENTE",L329="EM ANDAMENTO",L329="PENDENTE APROVAÇÃO CANCELAMENTO NF"),TODAY()-O329,X329-O329)</f>
        <v/>
      </c>
      <c r="AA329" s="78">
        <f>IF(Y329="Aberto",Z329+ROW()/100000,"")</f>
        <v/>
      </c>
      <c r="AB329" s="2">
        <f>IF(ISNUMBER(FIND("@cielo.com.br",S329)),"Interno","Externo")</f>
        <v/>
      </c>
      <c r="AD329" t="inlineStr"/>
      <c r="AJ329" t="inlineStr">
        <is>
          <t>Sem correspondência</t>
        </is>
      </c>
      <c r="AK329" t="b">
        <v>0</v>
      </c>
      <c r="AN329">
        <f>IF(OR(AG329="",AM329=""),"",IF(AG329=AM329,"SIM","NÃO"))</f>
        <v/>
      </c>
      <c r="AO329" t="inlineStr">
        <is>
          <t>NO_PATTERN</t>
        </is>
      </c>
    </row>
    <row r="330" ht="15.5" customHeight="1">
      <c r="A330" s="1" t="n"/>
      <c r="B330" s="67" t="inlineStr">
        <is>
          <t>Pamela de Sá</t>
        </is>
      </c>
      <c r="C330" s="70">
        <f>VLOOKUP(I:I,'Referencias '!H:I,2,0)</f>
        <v/>
      </c>
      <c r="D330" s="71" t="n">
        <v>26158573</v>
      </c>
      <c r="E330" s="71" t="inlineStr">
        <is>
          <t>0</t>
        </is>
      </c>
      <c r="F330" s="126" t="inlineStr">
        <is>
          <t>2623010276710</t>
        </is>
      </c>
      <c r="G330" s="72">
        <f>VLOOKUP(H:H,'Referencias '!B:C,2,0)</f>
        <v/>
      </c>
      <c r="H330" s="72">
        <f>TRIM(_xlfn.TEXTBEFORE(_xlfn.TEXTAFTER(U330,"CNPJ/CPF:&lt;/strong&gt;"),"&lt;/p&gt;"))</f>
        <v/>
      </c>
      <c r="I330" s="70" t="inlineStr">
        <is>
          <t>Contestação de cobrança</t>
        </is>
      </c>
      <c r="J330" s="72" t="n"/>
      <c r="K330" s="72" t="n"/>
      <c r="L330" s="122" t="inlineStr">
        <is>
          <t>PENDENTE</t>
        </is>
      </c>
      <c r="M330" s="73" t="inlineStr">
        <is>
          <t>Médio</t>
        </is>
      </c>
      <c r="N330" s="129" t="inlineStr">
        <is>
          <t>1018 Financeiro | Desejo falar com o setor financeiro | Suelen Thums | suelen.thums@bertolini.com.br</t>
        </is>
      </c>
      <c r="O330" s="125" t="n">
        <v>46252</v>
      </c>
      <c r="P330" s="123" t="n">
        <v>46252</v>
      </c>
      <c r="Q330" s="177">
        <f>TEXT(O330,"mmm/aaaa")</f>
        <v/>
      </c>
      <c r="R330" s="71" t="inlineStr">
        <is>
          <t>ECOMMERCE BP SUPORTE FINANCEIRO N2</t>
        </is>
      </c>
      <c r="S330" s="129" t="inlineStr">
        <is>
          <t>suelen.thums@bertolini.com.br</t>
        </is>
      </c>
      <c r="T330" s="129" t="inlineStr">
        <is>
          <t>BERTOLINI SA</t>
        </is>
      </c>
      <c r="U330" s="129" t="inlineStr">
        <is>
          <t>Olá, segue formulário enviado para Cielo E-commerce:&lt;p&gt;&lt;strong&gt;Qual seu nome?:&lt;/strong&gt; Suelen Thums&lt;/p&gt;&lt;p&gt;&lt;strong&gt;Endereço de e-mail:&lt;/strong&gt; suelen.thums@bertolini.com.br&lt;/p&gt;&lt;p&gt;&lt;strong&gt;CNPJ/CPF:&lt;/strong&gt; 87.556.650/0015-00&lt;/p&gt;&lt;p&gt;&lt;strong&gt;Telefone:&lt;/strong&gt; (54) 99164-8560&lt;/p&gt;&lt;p&gt;&lt;strong&gt;Assunto:&lt;/strong&gt; NF 0119956 - Valor do serviço&lt;/p&gt;&lt;p&gt;&lt;strong&gt;Merchant ID/Estabelecimento Comercial (EC):&lt;/strong&gt; cda4bb7b-2b8c-4798-a223-37f388e6e6d3&lt;/p&gt;&lt;p&gt;&lt;strong&gt;Descrição do problema:&lt;/strong&gt; Quero entender o motivo do valor do antifraude ter mais que dobrado de um mês para o outro. No mês passado pagamos R$ 259,15, e neste mês a nota (119956) foi emitida no valor de 601,73.
Foi por conta do aumento de transações no período? 
Aguardo.&lt;/p&gt;&lt;p&gt;&lt;strong&gt;ID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t>
        </is>
      </c>
      <c r="V330" s="71">
        <f>IFERROR(_xlfn.TEXTBEFORE(_xlfn.TEXTAFTER(U330,"Descrição do problema:&lt;/strong"),"&lt;/p&gt;"),_xlfn.TEXTAFTER(U330,"Descrição do problema:&lt;/strong"))</f>
        <v/>
      </c>
      <c r="W330" s="76">
        <f>_xlfn.CONCAT(D330:E330)</f>
        <v/>
      </c>
      <c r="X330" s="77" t="n"/>
      <c r="Y330" s="78">
        <f>IF(X330="","Aberto","Encerrado")</f>
        <v/>
      </c>
      <c r="Z330" s="78">
        <f>IF(OR(L330="PENDENTE",L330="EM ANDAMENTO",L330="PENDENTE APROVAÇÃO CANCELAMENTO NF"),TODAY()-O330,X330-O330)</f>
        <v/>
      </c>
      <c r="AA330" s="78">
        <f>IF(Y330="Aberto",Z330+ROW()/100000,"")</f>
        <v/>
      </c>
      <c r="AB330" s="2">
        <f>IF(ISNUMBER(FIND("@cielo.com.br",S330)),"Interno","Externo")</f>
        <v/>
      </c>
      <c r="AD330" t="inlineStr"/>
      <c r="AJ330" t="inlineStr">
        <is>
          <t>Sem correspondência</t>
        </is>
      </c>
      <c r="AK330" t="b">
        <v>0</v>
      </c>
      <c r="AN330">
        <f>IF(OR(AG330="",AM330=""),"",IF(AG330=AM330,"SIM","NÃO"))</f>
        <v/>
      </c>
      <c r="AO330" t="inlineStr">
        <is>
          <t>NO_PATTERN</t>
        </is>
      </c>
    </row>
    <row r="331" ht="15.5" customHeight="1">
      <c r="A331" s="1" t="n"/>
      <c r="B331" s="67" t="inlineStr">
        <is>
          <t>Pamela de Sá</t>
        </is>
      </c>
      <c r="C331" s="70">
        <f>VLOOKUP(I:I,'Referencias '!H:I,2,0)</f>
        <v/>
      </c>
      <c r="D331" s="71" t="n">
        <v>26158420</v>
      </c>
      <c r="E331" s="71" t="inlineStr">
        <is>
          <t>0</t>
        </is>
      </c>
      <c r="F331" s="126" t="inlineStr">
        <is>
          <t>2623010276608</t>
        </is>
      </c>
      <c r="G331" s="72">
        <f>VLOOKUP(H:H,'Referencias '!B:C,2,0)</f>
        <v/>
      </c>
      <c r="H331" s="72">
        <f>TRIM(_xlfn.TEXTBEFORE(_xlfn.TEXTAFTER(U331,"CNPJ/CPF:&lt;/strong&gt;"),"&lt;/p&gt;"))</f>
        <v/>
      </c>
      <c r="I331" s="70" t="inlineStr">
        <is>
          <t>Informação sobre contrato</t>
        </is>
      </c>
      <c r="J331" s="72" t="n"/>
      <c r="K331" s="72" t="n"/>
      <c r="L331" s="122" t="inlineStr">
        <is>
          <t>PENDENTE</t>
        </is>
      </c>
      <c r="M331" s="73" t="inlineStr">
        <is>
          <t>Médio</t>
        </is>
      </c>
      <c r="N331" s="129" t="inlineStr">
        <is>
          <t>1018 Financeiro | Desejo falar com o setor financeiro | Caroline Mendes | carolineal@cielo.com.br</t>
        </is>
      </c>
      <c r="O331" s="125" t="n">
        <v>46252</v>
      </c>
      <c r="P331" s="123" t="n">
        <v>46252</v>
      </c>
      <c r="Q331" s="177">
        <f>TEXT(O331,"mmm/aaaa")</f>
        <v/>
      </c>
      <c r="R331" s="71" t="inlineStr">
        <is>
          <t>ECOMMERCE BP SUPORTE FINANCEIRO N2</t>
        </is>
      </c>
      <c r="S331" s="129" t="inlineStr">
        <is>
          <t>carolineal@cielo.com.br</t>
        </is>
      </c>
      <c r="T331" s="129" t="inlineStr">
        <is>
          <t>Garmin  Loja Moema 01 POS2 Fisic</t>
        </is>
      </c>
      <c r="U331" s="129" t="inlineStr">
        <is>
          <t>Olá, segue formulário enviado para Cielo E-commerce:&lt;p&gt;&lt;strong&gt;Qual seu nome?:&lt;/strong&gt; Caroline Mendes&lt;/p&gt;&lt;p&gt;&lt;strong&gt;Endereço de e-mail:&lt;/strong&gt; carolineal@cielo.com.br&lt;/p&gt;&lt;p&gt;&lt;strong&gt;CNPJ/CPF:&lt;/strong&gt; 68.365.501/0001-05&lt;/p&gt;&lt;p&gt;&lt;strong&gt;Descrição do problema:&lt;/strong&gt; Prezados, boa tarde!
Estou negociando o produto de antifraude da Cybersource com o cliente ProParts, e ao enviar o termo de aditivo de novos produtos o cliente me trouxe o seguinte ponto e solicitação em relação a data base: 
3. Reajuste potencialmente desfavorável
O contrato informa que:
•	o reajuste mantém a data-base original  
•	upgrades não reiniciam a data-base  
Risco: Podemos contratar aumento de escopo e sofrer reajuste pouco tempo depois.
Exemplo:
•	contrata hoje
•	em 2 meses ocorre reajuste anual completo
Recomendação:
Negociar:
•	nova data-base após upgrade relevante
OU
•	congelamento de reajuste por 12 meses da contratação adicional.
Abri a solicitação 13252 no fiori e o time jurídico solicitou essa valida</t>
        </is>
      </c>
      <c r="V331" s="71">
        <f>IFERROR(_xlfn.TEXTBEFORE(_xlfn.TEXTAFTER(U331,"Descrição do problema:&lt;/strong"),"&lt;/p&gt;"),_xlfn.TEXTAFTER(U331,"Descrição do problema:&lt;/strong"))</f>
        <v/>
      </c>
      <c r="W331" s="76">
        <f>_xlfn.CONCAT(D331:E331)</f>
        <v/>
      </c>
      <c r="X331" s="77" t="n"/>
      <c r="Y331" s="78">
        <f>IF(X331="","Aberto","Encerrado")</f>
        <v/>
      </c>
      <c r="Z331" s="78">
        <f>IF(OR(L331="PENDENTE",L331="EM ANDAMENTO",L331="PENDENTE APROVAÇÃO CANCELAMENTO NF"),TODAY()-O331,X331-O331)</f>
        <v/>
      </c>
      <c r="AA331" s="78">
        <f>IF(Y331="Aberto",Z331+ROW()/100000,"")</f>
        <v/>
      </c>
      <c r="AB331" s="2">
        <f>IF(ISNUMBER(FIND("@cielo.com.br",S331)),"Interno","Externo")</f>
        <v/>
      </c>
      <c r="AC331" t="inlineStr">
        <is>
          <t>Congelar ou suspender temporariamente contrato ou serviço.</t>
        </is>
      </c>
      <c r="AD331" t="inlineStr">
        <is>
          <t>ACAO:SUSPENDER; OBJETO:CONTRATO; OBJETO:SUSPENDER</t>
        </is>
      </c>
      <c r="AE331" t="inlineStr">
        <is>
          <t>Congelamento de contrato</t>
        </is>
      </c>
      <c r="AF331" t="inlineStr">
        <is>
          <t>Contrato/Cadastro</t>
        </is>
      </c>
      <c r="AG331" t="inlineStr">
        <is>
          <t>Contratos, Comercial e Cadastro</t>
        </is>
      </c>
      <c r="AI331" t="inlineStr">
        <is>
          <t>INT_CON_CONGELAMENTO</t>
        </is>
      </c>
      <c r="AJ331" t="inlineStr">
        <is>
          <t>Sugerida</t>
        </is>
      </c>
      <c r="AK331" t="b">
        <v>0</v>
      </c>
      <c r="AN331">
        <f>IF(OR(AG331="",AM331=""),"",IF(AG331=AM331,"SIM","NÃO"))</f>
        <v/>
      </c>
      <c r="AO331" t="inlineStr">
        <is>
          <t>CLASSIFIED_SIGNATURE</t>
        </is>
      </c>
    </row>
    <row r="332" ht="15.5" customHeight="1">
      <c r="A332" s="1" t="n"/>
      <c r="B332" s="67" t="inlineStr">
        <is>
          <t>Pamela de Sá</t>
        </is>
      </c>
      <c r="C332" s="70">
        <f>VLOOKUP(I:I,'Referencias '!H:I,2,0)</f>
        <v/>
      </c>
      <c r="D332" s="71" t="n">
        <v>26123054</v>
      </c>
      <c r="E332" s="71" t="inlineStr">
        <is>
          <t>0</t>
        </is>
      </c>
      <c r="F332" s="126" t="inlineStr">
        <is>
          <t>2622915254208</t>
        </is>
      </c>
      <c r="G332" s="72">
        <f>VLOOKUP(H:H,'Referencias '!B:C,2,0)</f>
        <v/>
      </c>
      <c r="H332" s="72">
        <f>TRIM(_xlfn.TEXTBEFORE(_xlfn.TEXTAFTER(U332,"CNPJ/CPF:&lt;/strong&gt;"),"&lt;/p&gt;"))</f>
        <v/>
      </c>
      <c r="I332" s="70" t="inlineStr">
        <is>
          <t>Cancelamento de NF</t>
        </is>
      </c>
      <c r="J332" s="72" t="n"/>
      <c r="K332" s="72" t="n"/>
      <c r="L332" s="122" t="inlineStr">
        <is>
          <t>PENDENTE</t>
        </is>
      </c>
      <c r="M332" s="73" t="inlineStr">
        <is>
          <t>Médio</t>
        </is>
      </c>
      <c r="N332" s="129" t="inlineStr">
        <is>
          <t>1018 Financeiro | Desejo falar com o setor financeiro | ALFA AGENCIA DE VIAGENS LTDA | ariane.pasilva@cielo.com.br</t>
        </is>
      </c>
      <c r="O332" s="125" t="n">
        <v>46251</v>
      </c>
      <c r="P332" s="123" t="n">
        <v>46251</v>
      </c>
      <c r="Q332" s="177">
        <f>TEXT(O332,"mmm/aaaa")</f>
        <v/>
      </c>
      <c r="R332" s="71" t="inlineStr">
        <is>
          <t>ECOMMERCE BP SUPORTE FINANCEIRO N2</t>
        </is>
      </c>
      <c r="S332" s="129" t="inlineStr">
        <is>
          <t>ariane.pasilva@cielo.com.br</t>
        </is>
      </c>
      <c r="T332" s="129" t="inlineStr">
        <is>
          <t>ALFA TRAVEL TURISMO</t>
        </is>
      </c>
      <c r="U332" s="129" t="inlineStr">
        <is>
          <t>Olá, segue formulário enviado para Cielo E-commerce:&lt;p&gt;&lt;strong&gt;Qual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notas&lt;/p&gt;&lt;p&gt;&lt;strong&gt;Merchant ID/Estabelecimento Comercial (EC):&lt;/strong&gt; 07141168000166&lt;/p&gt;&lt;p&gt;&lt;strong&gt;Descrição do problema:&lt;/strong&gt; Prezado time financeiro, boa tarde. Tudo bem?
Será necessário novamente cancelar as notas fiscais emitidas para o cliente desde julho:
117864
120138
120190
O serviço foi cancelado. Segue chamado no SF: CANCELAMENTO# 00001839&lt;/p&gt;&lt;p&gt;&lt;strong&gt;ID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t>
        </is>
      </c>
      <c r="V332" s="71">
        <f>IFERROR(_xlfn.TEXTBEFORE(_xlfn.TEXTAFTER(U332,"Descrição do problema:&lt;/strong"),"&lt;/p&gt;"),_xlfn.TEXTAFTER(U332,"Descrição do problema:&lt;/strong"))</f>
        <v/>
      </c>
      <c r="W332" s="76">
        <f>_xlfn.CONCAT(D332:E332)</f>
        <v/>
      </c>
      <c r="X332" s="77" t="n"/>
      <c r="Y332" s="78">
        <f>IF(X332="","Aberto","Encerrado")</f>
        <v/>
      </c>
      <c r="Z332" s="78">
        <f>IF(OR(L332="PENDENTE",L332="EM ANDAMENTO",L332="PENDENTE APROVAÇÃO CANCELAMENTO NF"),TODAY()-O332,X332-O332)</f>
        <v/>
      </c>
      <c r="AA332" s="78">
        <f>IF(Y332="Aberto",Z332+ROW()/100000,"")</f>
        <v/>
      </c>
      <c r="AB332" s="2">
        <f>IF(ISNUMBER(FIND("@cielo.com.br",S332)),"Interno","Externo")</f>
        <v/>
      </c>
      <c r="AC332" t="inlineStr">
        <is>
          <t>Cancelar, substituir ou reemitir nota fiscal.</t>
        </is>
      </c>
      <c r="AD332" t="inlineStr">
        <is>
          <t>ACAO:CANCELAR; OBJETO:NOTA_FISCAL</t>
        </is>
      </c>
      <c r="AE332" t="inlineStr">
        <is>
          <t>Cancelamento de NF</t>
        </is>
      </c>
      <c r="AF332" t="inlineStr">
        <is>
          <t>Documento Fiscal</t>
        </is>
      </c>
      <c r="AG332" t="inlineStr">
        <is>
          <t>Cancelamento e Reemissão de Nota Fiscal</t>
        </is>
      </c>
      <c r="AI332" t="inlineStr">
        <is>
          <t>INT_NF_CANCEL_REEMISSAO</t>
        </is>
      </c>
      <c r="AJ332" t="inlineStr">
        <is>
          <t>Sugerida</t>
        </is>
      </c>
      <c r="AK332" t="b">
        <v>0</v>
      </c>
      <c r="AN332">
        <f>IF(OR(AG332="",AM332=""),"",IF(AG332=AM332,"SIM","NÃO"))</f>
        <v/>
      </c>
      <c r="AO332" t="inlineStr">
        <is>
          <t>CLASSIFIED_SIGNATURE</t>
        </is>
      </c>
    </row>
    <row r="333" ht="15.5" customHeight="1">
      <c r="A333" s="1" t="n"/>
      <c r="B333" s="67" t="inlineStr">
        <is>
          <t>Pamela de Sá</t>
        </is>
      </c>
      <c r="C333" s="70">
        <f>VLOOKUP(I:I,'Referencias '!H:I,2,0)</f>
        <v/>
      </c>
      <c r="D333" s="71" t="n">
        <v>26120128</v>
      </c>
      <c r="E333" s="71" t="inlineStr">
        <is>
          <t>0</t>
        </is>
      </c>
      <c r="F333" s="126" t="inlineStr">
        <is>
          <t>2622915252385</t>
        </is>
      </c>
      <c r="G333" s="72">
        <f>VLOOKUP(H:H,'Referencias '!B:C,2,0)</f>
        <v/>
      </c>
      <c r="H333" s="72">
        <f>TRIM(_xlfn.TEXTBEFORE(_xlfn.TEXTAFTER(U333,"CNPJ/CPF:&lt;/strong&gt;"),"&lt;/p&gt;"))</f>
        <v/>
      </c>
      <c r="I333" s="70" t="inlineStr">
        <is>
          <t>Dúvida sobre faturamento</t>
        </is>
      </c>
      <c r="J333" s="72" t="n"/>
      <c r="K333" s="72" t="n"/>
      <c r="L333" s="122" t="inlineStr">
        <is>
          <t>PENDENTE</t>
        </is>
      </c>
      <c r="M333" s="73" t="inlineStr">
        <is>
          <t>Médio</t>
        </is>
      </c>
      <c r="N333" s="129" t="inlineStr">
        <is>
          <t>1004 Gestão de Risco (Antifraude) | Estou em produção e tenho uma dúvida | Marcelo | mparo.sjp@ecori.com.br</t>
        </is>
      </c>
      <c r="O333" s="125" t="n">
        <v>46251</v>
      </c>
      <c r="P333" s="123" t="n">
        <v>46252</v>
      </c>
      <c r="Q333" s="177">
        <f>TEXT(O333,"mmm/aaaa")</f>
        <v/>
      </c>
      <c r="R333" s="71" t="inlineStr">
        <is>
          <t>ECOMMERCE BP SUPORTE FINANCEIRO N2</t>
        </is>
      </c>
      <c r="S333" s="129" t="inlineStr">
        <is>
          <t>mparo.sjp@ecori.com.br</t>
        </is>
      </c>
      <c r="T333" s="129" t="inlineStr">
        <is>
          <t>ECORI  PISOS E REVESTIMENTOS EC</t>
        </is>
      </c>
      <c r="U333" s="129" t="inlineStr">
        <is>
          <t>Olá, segue formulário enviado para Cielo E-commerce:&lt;p&gt;&lt;strong&gt;Qual seu nome?:&lt;/strong&gt; Marcelo&lt;/p&gt;&lt;p&gt;&lt;strong&gt;Endereço de e-mail:&lt;/strong&gt; mparo.sjp@ecori.com.br&lt;/p&gt;&lt;p&gt;&lt;strong&gt;CNPJ/CPF:&lt;/strong&gt; 13.329.758/0001-10&lt;/p&gt;&lt;p&gt;&lt;strong&gt;Telefone:&lt;/strong&gt; (17) 99711-3271&lt;/p&gt;&lt;p&gt;&lt;strong&gt;Assunto:&lt;/strong&gt; NOTA FISCAL (DUPLICIDADE ???)&lt;/p&gt;&lt;p&gt;&lt;strong&gt;Merchant ID/Estabelecimento Comercial (EC):&lt;/strong&gt; 2810722840&lt;/p&gt;&lt;p&gt;&lt;strong&gt;Sobre qual produto ou área deseja falar?:&lt;/strong&gt; Gestão de Risco (Antifraude)&lt;/p&gt;&lt;p&gt;&lt;strong&gt;Como podemos te ajudar?:&lt;/strong&gt; Estou em produção e tenho uma dúvida&lt;/p&gt;&lt;p&gt;&lt;strong&gt;Descrição do problema:&lt;/strong&gt; Boa tarde
Recebemos 2 notas fiscais, a 0120001 0120117 ambas emitidas em 14/08/2026 para o cnpj 13.329.758/0001-10 com os  mesmos servicos , periodos e valores.
Gostariamos de saber se estao corretas e o porque ? Lembrando que ambas as notas estao com vencimento para 28/08/2026.
Aguardamos retorno.
Obrigado
Marcelo&lt;/p&gt;&lt;p&gt;&lt;strong&gt;GA Client ID:&lt;/strong&gt; 1027059026.1786989</t>
        </is>
      </c>
      <c r="V333" s="71">
        <f>IFERROR(_xlfn.TEXTBEFORE(_xlfn.TEXTAFTER(U333,"Descrição do problema:&lt;/strong"),"&lt;/p&gt;"),_xlfn.TEXTAFTER(U333,"Descrição do problema:&lt;/strong"))</f>
        <v/>
      </c>
      <c r="W333" s="76">
        <f>_xlfn.CONCAT(D333:E333)</f>
        <v/>
      </c>
      <c r="X333" s="77" t="n"/>
      <c r="Y333" s="78">
        <f>IF(X333="","Aberto","Encerrado")</f>
        <v/>
      </c>
      <c r="Z333" s="78">
        <f>IF(OR(L333="PENDENTE",L333="EM ANDAMENTO",L333="PENDENTE APROVAÇÃO CANCELAMENTO NF"),TODAY()-O333,X333-O333)</f>
        <v/>
      </c>
      <c r="AA333" s="78">
        <f>IF(Y333="Aberto",Z333+ROW()/100000,"")</f>
        <v/>
      </c>
      <c r="AB333" s="2">
        <f>IF(ISNUMBER(FIND("@cielo.com.br",S333)),"Interno","Externo")</f>
        <v/>
      </c>
      <c r="AC333" t="inlineStr">
        <is>
          <t>Corrigir cobrança ou pagamento em duplicidade.</t>
        </is>
      </c>
      <c r="AD333" t="inlineStr">
        <is>
          <t>OBJETO:NOTA_FISCAL; CONTEXTO:DUPLICIDADE</t>
        </is>
      </c>
      <c r="AE333" t="inlineStr">
        <is>
          <t>Duplicidade de cobrança</t>
        </is>
      </c>
      <c r="AF333" t="inlineStr">
        <is>
          <t>Valor Cobrado</t>
        </is>
      </c>
      <c r="AG333" t="inlineStr">
        <is>
          <t>Cobrança e Contestação</t>
        </is>
      </c>
      <c r="AI333" t="inlineStr">
        <is>
          <t>INT_COB_DUPLICIDADE</t>
        </is>
      </c>
      <c r="AJ333" t="inlineStr">
        <is>
          <t>Sugerida</t>
        </is>
      </c>
      <c r="AK333" t="b">
        <v>0</v>
      </c>
      <c r="AN333">
        <f>IF(OR(AG333="",AM333=""),"",IF(AG333=AM333,"SIM","NÃO"))</f>
        <v/>
      </c>
      <c r="AO333" t="inlineStr">
        <is>
          <t>CLASSIFIED_SIGNATURE</t>
        </is>
      </c>
    </row>
    <row r="334" ht="15.5" customHeight="1">
      <c r="A334" s="1" t="n"/>
      <c r="B334" s="67" t="inlineStr">
        <is>
          <t>Emilly Maria</t>
        </is>
      </c>
      <c r="C334" s="70">
        <f>VLOOKUP(I:I,'Referencias '!H:I,2,0)</f>
        <v/>
      </c>
      <c r="D334" s="129" t="n">
        <v>26091612</v>
      </c>
      <c r="E334" s="71" t="inlineStr">
        <is>
          <t>0</t>
        </is>
      </c>
      <c r="F334" s="126" t="inlineStr">
        <is>
          <t>2622910234580</t>
        </is>
      </c>
      <c r="G334" s="72">
        <f>VLOOKUP(H:H,'Referencias '!B:C,2,0)</f>
        <v/>
      </c>
      <c r="H334" s="72">
        <f>TRIM(_xlfn.TEXTBEFORE(_xlfn.TEXTAFTER(U334,"CNPJ/CPF:&lt;/strong&gt;"),"&lt;/p&gt;"))</f>
        <v/>
      </c>
      <c r="I334" s="70" t="inlineStr">
        <is>
          <t>Alteração de cadastro (e-mail)</t>
        </is>
      </c>
      <c r="J334" s="72" t="n"/>
      <c r="K334" s="72" t="n"/>
      <c r="L334" s="122" t="inlineStr">
        <is>
          <t>PENDENTE</t>
        </is>
      </c>
      <c r="M334" s="73" t="inlineStr">
        <is>
          <t>Médio</t>
        </is>
      </c>
      <c r="N334" s="129" t="inlineStr">
        <is>
          <t>1018 Financeiro | Desejo falar com o setor financeiro | Sara | sara@lider.design</t>
        </is>
      </c>
      <c r="O334" s="125" t="n">
        <v>46251</v>
      </c>
      <c r="P334" s="123" t="n">
        <v>46251</v>
      </c>
      <c r="Q334" s="177">
        <f>TEXT(O334,"mmm/aaaa")</f>
        <v/>
      </c>
      <c r="R334" s="71" t="inlineStr">
        <is>
          <t>ECOMMERCE BP SUPORTE FINANCEIRO N2</t>
        </is>
      </c>
      <c r="S334" s="129" t="inlineStr">
        <is>
          <t>sara@lider.design</t>
        </is>
      </c>
      <c r="T334" s="129" t="inlineStr">
        <is>
          <t>LIDER INTERIORES</t>
        </is>
      </c>
      <c r="U334" s="129" t="inlineStr">
        <is>
          <t xml:space="preserve">Olá, segue formulário enviado para Cielo E-commerce:&lt;p&gt;&lt;strong&gt;Qual seu nome?:&lt;/strong&gt; Sara&lt;/p&gt;&lt;p&gt;&lt;strong&gt;Endereço de e-mail:&lt;/strong&gt; sara@lider.design&lt;/p&gt;&lt;p&gt;&lt;strong&gt;Telefone:&lt;/strong&gt; (37) 3244-0348&lt;/p&gt;&lt;p&gt;&lt;strong&gt;CNPJ/CPF:&lt;/strong&gt; 64.422.892/0001-00&lt;/p&gt;&lt;p&gt;&lt;strong&gt;Assunto:&lt;/strong&gt; e-mail para envio de fatura&lt;/p&gt;&lt;p&gt;&lt;strong&gt;Merchant ID/Estabelecimento Comercial (EC):&lt;/strong&gt; 106953362&lt;/p&gt;&lt;p&gt;&lt;strong&gt;Sobre qual produto ou área deseja falar?:&lt;/strong&gt; Financeiro&lt;/p&gt;&lt;p&gt;&lt;strong&gt;Como podemos te ajudar?:&lt;/strong&gt; Desejo falar com o setor financeiro&lt;/p&gt;&lt;p&gt;&lt;strong&gt;Descrição do problema:&lt;/strong&gt; Favor encaminhar as faturas referentes a estes dados para
contasacadastrar@lider.design&lt;/p&gt;&lt;p&gt;&lt;strong&gt;GA Client ID:&lt;/strong&gt; &lt;/p&gt;&lt;p&gt;&lt;strong&gt;Lead Hash ID:&lt;/strong&gt; d5cb3fde5d775ea2abedda7a92ee8b00f1042820e1abe0d269c4a09327aa8b63&lt;/p&gt;&lt;p&gt;&lt;strong&gt;Lead Form ID:&lt;/strong&gt; d5cb3fde5d775ea2abedda7a92ee8b00f1042820e1abe0d269c4a09327aa8b63.1786972507827&lt;/p&gt;&lt;br&gt;-json-{
    "infoClientes": [
        {
            </t>
        </is>
      </c>
      <c r="V334" s="71">
        <f>IFERROR(_xlfn.TEXTBEFORE(_xlfn.TEXTAFTER(U334,"Descrição do problema:&lt;/strong"),"&lt;/p&gt;"),_xlfn.TEXTAFTER(U334,"Descrição do problema:&lt;/strong"))</f>
        <v/>
      </c>
      <c r="W334" s="76">
        <f>_xlfn.CONCAT(D334:E334)</f>
        <v/>
      </c>
      <c r="X334" s="77" t="n"/>
      <c r="Y334" s="78">
        <f>IF(X334="","Aberto","Encerrado")</f>
        <v/>
      </c>
      <c r="Z334" s="78">
        <f>IF(OR(L334="PENDENTE",L334="EM ANDAMENTO",L334="PENDENTE APROVAÇÃO CANCELAMENTO NF"),TODAY()-O334,X334-O334)</f>
        <v/>
      </c>
      <c r="AA334" s="78">
        <f>IF(Y334="Aberto",Z334+ROW()/100000,"")</f>
        <v/>
      </c>
      <c r="AB334" s="2">
        <f>IF(ISNUMBER(FIND("@cielo.com.br",S334)),"Interno","Externo")</f>
        <v/>
      </c>
      <c r="AC334" t="inlineStr">
        <is>
          <t>Atualizar dados cadastrais, e-mail ou telefone.</t>
        </is>
      </c>
      <c r="AD334" t="inlineStr">
        <is>
          <t>encaminhar as faturas + email</t>
        </is>
      </c>
      <c r="AE334" t="inlineStr">
        <is>
          <t>Atualização cadastral</t>
        </is>
      </c>
      <c r="AF334" t="inlineStr">
        <is>
          <t>Contrato/Cadastro</t>
        </is>
      </c>
      <c r="AG334" t="inlineStr">
        <is>
          <t>Contratos, Comercial e Cadastro</t>
        </is>
      </c>
      <c r="AI334" t="inlineStr">
        <is>
          <t>INT_CON_CADASTRO</t>
        </is>
      </c>
      <c r="AJ334" t="inlineStr">
        <is>
          <t>Sugerida</t>
        </is>
      </c>
      <c r="AK334" t="b">
        <v>0</v>
      </c>
      <c r="AN334">
        <f>IF(OR(AG334="",AM334=""),"",IF(AG334=AM334,"SIM","NÃO"))</f>
        <v/>
      </c>
      <c r="AO334" t="inlineStr">
        <is>
          <t>CLASSIFIED_PATTERN</t>
        </is>
      </c>
    </row>
    <row r="335" ht="15.5" customHeight="1">
      <c r="A335" s="1" t="n"/>
      <c r="B335" s="67" t="inlineStr">
        <is>
          <t>Emilly Maria</t>
        </is>
      </c>
      <c r="C335" s="70">
        <f>VLOOKUP(I:I,'Referencias '!H:I,2,0)</f>
        <v/>
      </c>
      <c r="D335" s="71" t="n">
        <v>26087997</v>
      </c>
      <c r="E335" s="71" t="inlineStr">
        <is>
          <t>0</t>
        </is>
      </c>
      <c r="F335" s="126" t="inlineStr">
        <is>
          <t>2622909232285</t>
        </is>
      </c>
      <c r="G335" s="72">
        <f>VLOOKUP(H:H,'Referencias '!B:C,2,0)</f>
        <v/>
      </c>
      <c r="H335" s="72">
        <f>TRIM(_xlfn.TEXTBEFORE(_xlfn.TEXTAFTER(U335,"CNPJ/CPF:&lt;/strong&gt;"),"&lt;/p&gt;"))</f>
        <v/>
      </c>
      <c r="I335" s="70" t="inlineStr">
        <is>
          <t>Prorrogação de Boleto</t>
        </is>
      </c>
      <c r="J335" s="72" t="n"/>
      <c r="K335" s="72" t="n"/>
      <c r="L335" s="122" t="inlineStr">
        <is>
          <t>PENDENTE</t>
        </is>
      </c>
      <c r="M335" s="73" t="inlineStr">
        <is>
          <t>Médio</t>
        </is>
      </c>
      <c r="N335" s="129" t="inlineStr">
        <is>
          <t>1018 Financeiro | Desejo falar com o setor financeiro | Ana Carolina Lopes | ana.barcellos@venancio.com.br</t>
        </is>
      </c>
      <c r="O335" s="125" t="n">
        <v>46251</v>
      </c>
      <c r="P335" s="123" t="n">
        <v>46251</v>
      </c>
      <c r="Q335" s="177">
        <f>TEXT(O335,"mmm/aaaa")</f>
        <v/>
      </c>
      <c r="R335" s="71" t="inlineStr">
        <is>
          <t>ECOMMERCE BP SUPORTE FINANCEIRO N2</t>
        </is>
      </c>
      <c r="S335" s="129" t="inlineStr">
        <is>
          <t>ana.barcellos@venancio.com.br</t>
        </is>
      </c>
      <c r="T335" s="129" t="inlineStr">
        <is>
          <t>DROGARIA VENANCIO</t>
        </is>
      </c>
      <c r="U335" s="129" t="inlineStr">
        <is>
          <t>Olá, segue formulário enviado para Cielo E-commerce:&lt;p&gt;&lt;strong&gt;Qual seu nome?:&lt;/strong&gt; Ana Carolina Lopes&lt;/p&gt;&lt;p&gt;&lt;strong&gt;Endereço de e-mail:&lt;/strong&gt; ana.barcellos@venancio.com.br&lt;/p&gt;&lt;p&gt;&lt;strong&gt;CNPJ/CPF:&lt;/strong&gt; 00.285.753/0001-90&lt;/p&gt;&lt;p&gt;&lt;strong&gt;Telefone:&lt;/strong&gt; (21) 96570-5133&lt;/p&gt;&lt;p&gt;&lt;strong&gt;Assunto:&lt;/strong&gt;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Bom dia, Solicitamos, por gentileza, a prorrogação do boleto com vencimento para 14/08/2026, nf.119860, para o dia 24/08.&lt;/p&gt;&lt;p&gt;&lt;strong&gt;GA Client ID:&lt;/strong&gt; &lt;/p&gt;&lt;p&gt;&lt;strong&gt;Lead Hash ID:&lt;/strong&gt; 9f7f8919ef268145bb58307ea719637694a314e3a3b02c152e53d624791eee79&lt;/p&gt;&lt;p&gt;&lt;strong&gt;Lead Form ID:&lt;/strong&gt; 9f7f8919ef268145bb58307ea719637694a314e3a3b02c152e53d624791eee79.1786970434550&lt;/p&gt;</t>
        </is>
      </c>
      <c r="V335" s="71">
        <f>IFERROR(_xlfn.TEXTBEFORE(_xlfn.TEXTAFTER(U335,"Descrição do problema:&lt;/strong"),"&lt;/p&gt;"),_xlfn.TEXTAFTER(U335,"Descrição do problema:&lt;/strong"))</f>
        <v/>
      </c>
      <c r="W335" s="76">
        <f>_xlfn.CONCAT(D335:E335)</f>
        <v/>
      </c>
      <c r="X335" s="77" t="n"/>
      <c r="Y335" s="78">
        <f>IF(X335="","Aberto","Encerrado")</f>
        <v/>
      </c>
      <c r="Z335" s="78">
        <f>IF(OR(L335="PENDENTE",L335="EM ANDAMENTO",L335="PENDENTE APROVAÇÃO CANCELAMENTO NF"),TODAY()-O335,X335-O335)</f>
        <v/>
      </c>
      <c r="AA335" s="78">
        <f>IF(Y335="Aberto",Z335+ROW()/100000,"")</f>
        <v/>
      </c>
      <c r="AB335" s="2">
        <f>IF(ISNUMBER(FIND("@cielo.com.br",S335)),"Interno","Externo")</f>
        <v/>
      </c>
      <c r="AC335" t="inlineStr">
        <is>
          <t>Alterar ou prorrogar vencimento ou prazo de pagamento.</t>
        </is>
      </c>
      <c r="AD335" t="inlineStr">
        <is>
          <t>prorrogação do boleto; prorrogação + vencimento</t>
        </is>
      </c>
      <c r="AE335" t="inlineStr">
        <is>
          <t>Alteração de vencimento</t>
        </is>
      </c>
      <c r="AF335" t="inlineStr">
        <is>
          <t>Título Financeiro</t>
        </is>
      </c>
      <c r="AG335" t="inlineStr">
        <is>
          <t>Pagamentos, Boletos e Recebimentos</t>
        </is>
      </c>
      <c r="AI335" t="inlineStr">
        <is>
          <t>INT_PAG_VENCIMENTO</t>
        </is>
      </c>
      <c r="AJ335" t="inlineStr">
        <is>
          <t>Sugerida</t>
        </is>
      </c>
      <c r="AK335" t="b">
        <v>0</v>
      </c>
      <c r="AN335">
        <f>IF(OR(AG335="",AM335=""),"",IF(AG335=AM335,"SIM","NÃO"))</f>
        <v/>
      </c>
      <c r="AO335" t="inlineStr">
        <is>
          <t>CLASSIFIED_PATTERN</t>
        </is>
      </c>
    </row>
    <row r="336" ht="15.5" customHeight="1">
      <c r="A336" s="1" t="n"/>
      <c r="B336" s="67" t="inlineStr">
        <is>
          <t>Pamela de Sá</t>
        </is>
      </c>
      <c r="C336" s="70">
        <f>VLOOKUP(I:I,'Referencias '!H:I,2,0)</f>
        <v/>
      </c>
      <c r="D336" s="71" t="n">
        <v>26053298</v>
      </c>
      <c r="E336" s="71" t="inlineStr">
        <is>
          <t>0</t>
        </is>
      </c>
      <c r="F336" s="126" t="inlineStr">
        <is>
          <t>2622615209868</t>
        </is>
      </c>
      <c r="G336" s="72">
        <f>VLOOKUP(H:H,'Referencias '!B:C,2,0)</f>
        <v/>
      </c>
      <c r="H336" s="72">
        <f>TRIM(_xlfn.TEXTBEFORE(_xlfn.TEXTAFTER(U336,"CNPJ/CPF:&lt;/strong&gt;"),"&lt;/p&gt;"))</f>
        <v/>
      </c>
      <c r="I336" s="70" t="inlineStr">
        <is>
          <t>Dúvida sobre faturamento</t>
        </is>
      </c>
      <c r="J336" s="72" t="n"/>
      <c r="K336" s="72" t="n"/>
      <c r="L336" s="122" t="inlineStr">
        <is>
          <t>PENDENTE</t>
        </is>
      </c>
      <c r="M336" s="73" t="inlineStr">
        <is>
          <t>Médio</t>
        </is>
      </c>
      <c r="N336" s="129" t="inlineStr">
        <is>
          <t>1018 Financeiro | Desejo falar com o setor financeiro | DIEGO GOMES | Diego.gomes@bravium.com.br</t>
        </is>
      </c>
      <c r="O336" s="125" t="n">
        <v>46248</v>
      </c>
      <c r="P336" s="123" t="n">
        <v>46248</v>
      </c>
      <c r="Q336" s="177">
        <f>TEXT(O336,"mmm/aaaa")</f>
        <v/>
      </c>
      <c r="R336" s="71" t="inlineStr">
        <is>
          <t>ECOMMERCE BP SUPORTE FINANCEIRO N2</t>
        </is>
      </c>
      <c r="S336" s="129" t="inlineStr">
        <is>
          <t>diego.gomes@bravium.com.br</t>
        </is>
      </c>
      <c r="T336" s="129" t="inlineStr">
        <is>
          <t>MC SURPREENDA</t>
        </is>
      </c>
      <c r="U336" s="129" t="inlineStr">
        <is>
          <t>Olá, segue formulário enviado para Cielo E-commerce:&lt;p&gt;&lt;strong&gt;Qual seu nome?:&lt;/strong&gt; DIEGO GOMES&lt;/p&gt;&lt;p&gt;&lt;strong&gt;Endereço de e-mail:&lt;/strong&gt; Diego.gomes@bravium.com.br&lt;/p&gt;&lt;p&gt;&lt;strong&gt;CNPJ/CPF:&lt;/strong&gt; 01.336.140/0001-06&lt;/p&gt;&lt;p&gt;&lt;strong&gt;Merchant ID/Estabelecimento Comercial (EC):&lt;/strong&gt; 01336140000106&lt;/p&gt;&lt;p&gt;&lt;strong&gt;Assunto:&lt;/strong&gt; VALIDAÇÃO CANCELAMENTO NFs&lt;/p&gt;&lt;p&gt;&lt;strong&gt;Telefone:&lt;/strong&gt; (11) 95275-3202&lt;/p&gt;&lt;p&gt;&lt;strong&gt;Sobre qual produto ou área deseja falar?:&lt;/strong&gt; Financeiro&lt;/p&gt;&lt;p&gt;&lt;strong&gt;Como podemos te ajudar?:&lt;/strong&gt; Desejo falar com o setor financeiro&lt;/p&gt;&lt;p&gt;&lt;strong&gt;Descrição do problema:&lt;/strong&gt; Recebemos duas notas ambas com o mesmo valor 
NF 86398  R$ 7.613,57
NF 86413  R$ 7.613,57
Precisamos da confirmação qual é a nota valida e o comprovante de cancelamento por gentileza.&lt;/p&gt;&lt;p&gt;&lt;strong&gt;Data e hora do erro:&lt;/strong&gt; 14-08-2026 15:04&lt;/p&gt;&lt;p&gt;&lt;strong&gt;GA Client ID:&lt;/strong&gt; 1083208537.1786730652&lt;/p&gt;&lt;p&gt;&lt;strong&gt;Lead Hash ID:&lt;/strong&gt; 6a1566e587a329c6df939bcc97d772e2f6d74e22</t>
        </is>
      </c>
      <c r="V336" s="71">
        <f>IFERROR(_xlfn.TEXTBEFORE(_xlfn.TEXTAFTER(U336,"Descrição do problema:&lt;/strong"),"&lt;/p&gt;"),_xlfn.TEXTAFTER(U336,"Descrição do problema:&lt;/strong"))</f>
        <v/>
      </c>
      <c r="W336" s="76">
        <f>_xlfn.CONCAT(D336:E336)</f>
        <v/>
      </c>
      <c r="X336" s="77" t="n"/>
      <c r="Y336" s="78">
        <f>IF(X336="","Aberto","Encerrado")</f>
        <v/>
      </c>
      <c r="Z336" s="78">
        <f>IF(OR(L336="PENDENTE",L336="EM ANDAMENTO",L336="PENDENTE APROVAÇÃO CANCELAMENTO NF"),TODAY()-O336,X336-O336)</f>
        <v/>
      </c>
      <c r="AA336" s="78">
        <f>IF(Y336="Aberto",Z336+ROW()/100000,"")</f>
        <v/>
      </c>
      <c r="AB336" s="2">
        <f>IF(ISNUMBER(FIND("@cielo.com.br",S336)),"Interno","Externo")</f>
        <v/>
      </c>
      <c r="AC336" t="inlineStr">
        <is>
          <t>Cancelar, substituir ou reemitir nota fiscal.</t>
        </is>
      </c>
      <c r="AD336" t="inlineStr">
        <is>
          <t>ACAO:CANCELAR; OBJETO:NOTA_FISCAL; CONTEXTO:DUPLICIDADE</t>
        </is>
      </c>
      <c r="AE336" t="inlineStr">
        <is>
          <t>Cancelamento de NF</t>
        </is>
      </c>
      <c r="AF336" t="inlineStr">
        <is>
          <t>Documento Fiscal</t>
        </is>
      </c>
      <c r="AG336" t="inlineStr">
        <is>
          <t>Cancelamento e Reemissão de Nota Fiscal</t>
        </is>
      </c>
      <c r="AI336" t="inlineStr">
        <is>
          <t>INT_NF_CANCEL_REEMISSAO</t>
        </is>
      </c>
      <c r="AJ336" t="inlineStr">
        <is>
          <t>Sugerida</t>
        </is>
      </c>
      <c r="AK336" t="b">
        <v>0</v>
      </c>
      <c r="AN336">
        <f>IF(OR(AG336="",AM336=""),"",IF(AG336=AM336,"SIM","NÃO"))</f>
        <v/>
      </c>
      <c r="AO336" t="inlineStr">
        <is>
          <t>CLASSIFIED_SIGNATURE</t>
        </is>
      </c>
    </row>
    <row r="337" ht="15.5" customHeight="1">
      <c r="A337" s="1" t="n"/>
      <c r="B337" s="67" t="inlineStr">
        <is>
          <t>Emilly Maria</t>
        </is>
      </c>
      <c r="C337" s="70">
        <f>VLOOKUP(I:I,'Referencias '!H:I,2,0)</f>
        <v/>
      </c>
      <c r="D337" s="71" t="n">
        <v>26038292</v>
      </c>
      <c r="E337" s="71" t="inlineStr">
        <is>
          <t>0</t>
        </is>
      </c>
      <c r="F337" s="126" t="inlineStr">
        <is>
          <t>2622611200489</t>
        </is>
      </c>
      <c r="G337" s="72">
        <f>VLOOKUP(H:H,'Referencias '!B:C,2,0)</f>
        <v/>
      </c>
      <c r="H337" s="72">
        <f>TRIM(_xlfn.TEXTBEFORE(_xlfn.TEXTAFTER(U337,"CNPJ/CPF:&lt;/strong&gt;"),"&lt;/p&gt;"))</f>
        <v/>
      </c>
      <c r="I337" s="70" t="inlineStr">
        <is>
          <t>Cadastro de MIDs</t>
        </is>
      </c>
      <c r="J337" s="72" t="n"/>
      <c r="K337" s="72" t="n"/>
      <c r="L337" s="122" t="inlineStr">
        <is>
          <t>PENDENTE</t>
        </is>
      </c>
      <c r="M337" s="73" t="inlineStr">
        <is>
          <t>Médio</t>
        </is>
      </c>
      <c r="N337" s="129" t="inlineStr">
        <is>
          <t>1018 Financeiro | Desejo falar com o setor financeiro | Mariane | mariane.santos@cielo.com.br</t>
        </is>
      </c>
      <c r="O337" s="125" t="n">
        <v>46248</v>
      </c>
      <c r="P337" s="123" t="n">
        <v>46248</v>
      </c>
      <c r="Q337" s="177">
        <f>TEXT(O337,"mmm/aaaa")</f>
        <v/>
      </c>
      <c r="R337" s="71" t="inlineStr">
        <is>
          <t>ECOMMERCE BP SUPORTE FINANCEIRO N2</t>
        </is>
      </c>
      <c r="S337" s="129" t="inlineStr">
        <is>
          <t>mariane.santos@cielo.com.br</t>
        </is>
      </c>
      <c r="T337" s="129" t="inlineStr"/>
      <c r="U337" s="129" t="inlineStr">
        <is>
          <t>Olá, segue formulário enviado para Cielo E-commerce:&lt;p&gt;&lt;strong&gt;Qual seu nome?:&lt;/strong&gt; Mariane&lt;/p&gt;&lt;p&gt;&lt;strong&gt;Endereço de e-mail:&lt;/strong&gt; mariane.santos@cielo.com.br&lt;/p&gt;&lt;p&gt;&lt;strong&gt;CNPJ/CPF:&lt;/strong&gt; 16.991.645/0001-73&lt;/p&gt;&lt;p&gt;&lt;strong&gt;Telefone:&lt;/strong&gt; (18) 99654-0663&lt;/p&gt;&lt;p&gt;&lt;strong&gt;Assunto:&lt;/strong&gt; Criação de lojas&lt;/p&gt;&lt;p&gt;&lt;strong&gt;Merchant ID/Estabelecimento Comercial (EC):&lt;/strong&gt; 16.991.645/0001-73&lt;/p&gt;&lt;p&gt;&lt;strong&gt;Descrição do problema:&lt;/strong&gt; Bom dia, pessoal! Tudo bem?
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cobrados.&lt;/p&gt;&lt;p&gt;&lt;strong&gt;ID da transação:&lt;/strong&gt; &lt;/p&gt;&lt;p&gt;&lt;strong&gt;Código do erro:&lt;/strong&gt; &lt;/p&gt;&lt;p&gt;&lt;strong&gt;Sobre qual produto ou área deseja falar?:&lt;/strong&gt; Financeiro&lt;/p&gt;&lt;p&gt;&lt;strong&gt;Como podemos te ajudar?:&lt;/strong&gt; Desej</t>
        </is>
      </c>
      <c r="V337" s="71">
        <f>IFERROR(_xlfn.TEXTBEFORE(_xlfn.TEXTAFTER(U337,"Descrição do problema:&lt;/strong"),"&lt;/p&gt;"),_xlfn.TEXTAFTER(U337,"Descrição do problema:&lt;/strong"))</f>
        <v/>
      </c>
      <c r="W337" s="76">
        <f>_xlfn.CONCAT(D337:E337)</f>
        <v/>
      </c>
      <c r="X337" s="77" t="n"/>
      <c r="Y337" s="78">
        <f>IF(X337="","Aberto","Encerrado")</f>
        <v/>
      </c>
      <c r="Z337" s="78">
        <f>IF(OR(L337="PENDENTE",L337="EM ANDAMENTO",L337="PENDENTE APROVAÇÃO CANCELAMENTO NF"),TODAY()-O337,X337-O337)</f>
        <v/>
      </c>
      <c r="AA337" s="78">
        <f>IF(Y337="Aberto",Z337+ROW()/100000,"")</f>
        <v/>
      </c>
      <c r="AB337" s="2">
        <f>IF(ISNUMBER(FIND("@cielo.com.br",S337)),"Interno","Externo")</f>
        <v/>
      </c>
      <c r="AC337" t="inlineStr">
        <is>
          <t>Atualizar dados cadastrais, e-mail ou telefone.</t>
        </is>
      </c>
      <c r="AD337" t="inlineStr">
        <is>
          <t>mids não foram gerados</t>
        </is>
      </c>
      <c r="AE337" t="inlineStr">
        <is>
          <t>Atualização cadastral</t>
        </is>
      </c>
      <c r="AF337" t="inlineStr">
        <is>
          <t>Contrato/Cadastro</t>
        </is>
      </c>
      <c r="AG337" t="inlineStr">
        <is>
          <t>Contratos, Comercial e Cadastro</t>
        </is>
      </c>
      <c r="AI337" t="inlineStr">
        <is>
          <t>INT_CON_CADASTRO</t>
        </is>
      </c>
      <c r="AJ337" t="inlineStr">
        <is>
          <t>Sugerida</t>
        </is>
      </c>
      <c r="AK337" t="b">
        <v>0</v>
      </c>
      <c r="AN337">
        <f>IF(OR(AG337="",AM337=""),"",IF(AG337=AM337,"SIM","NÃO"))</f>
        <v/>
      </c>
      <c r="AO337" t="inlineStr">
        <is>
          <t>CLASSIFIED_PATTERN</t>
        </is>
      </c>
    </row>
    <row r="338" ht="15.5" customHeight="1">
      <c r="A338" s="1" t="n"/>
      <c r="B338" s="67" t="inlineStr">
        <is>
          <t>Emilly Maria</t>
        </is>
      </c>
      <c r="C338" s="70">
        <f>VLOOKUP(I:I,'Referencias '!H:I,2,0)</f>
        <v/>
      </c>
      <c r="D338" s="129" t="n">
        <v>26091331</v>
      </c>
      <c r="E338" s="129" t="inlineStr">
        <is>
          <t>0</t>
        </is>
      </c>
      <c r="F338" s="126" t="inlineStr">
        <is>
          <t>2622910234394</t>
        </is>
      </c>
      <c r="G338" s="72">
        <f>VLOOKUP(H:H,'Referencias '!B:C,2,0)</f>
        <v/>
      </c>
      <c r="H338" s="72">
        <f>TRIM(_xlfn.TEXTBEFORE(_xlfn.TEXTAFTER(U338,"CNPJ/CPF:&lt;/strong&gt;"),"&lt;/p&gt;"))</f>
        <v/>
      </c>
      <c r="I338" s="70" t="inlineStr">
        <is>
          <t>Contestação de cobrança</t>
        </is>
      </c>
      <c r="J338" s="72" t="n"/>
      <c r="K338" s="72" t="n"/>
      <c r="L338" s="122" t="inlineStr">
        <is>
          <t>PENDENTE</t>
        </is>
      </c>
      <c r="M338" s="73" t="inlineStr">
        <is>
          <t>Médio</t>
        </is>
      </c>
      <c r="N338" s="129" t="inlineStr">
        <is>
          <t>1020 Estratégia Antifraude | Analises | Leonardo Gonçalves de Noronha | leonardo.noronha@inbrands.com.br</t>
        </is>
      </c>
      <c r="O338" s="125" t="n">
        <v>46251</v>
      </c>
      <c r="P338" s="123" t="n">
        <v>46253</v>
      </c>
      <c r="Q338" s="177">
        <f>TEXT(O338,"mmm/aaaa")</f>
        <v/>
      </c>
      <c r="R338" s="129" t="inlineStr">
        <is>
          <t>ECOMMERCE BP SUPORTE FINANCEIRO N2</t>
        </is>
      </c>
      <c r="S338" s="129" t="inlineStr">
        <is>
          <t>leonardo.noronha@inbrands.com.br</t>
        </is>
      </c>
      <c r="T338" s="129" t="inlineStr">
        <is>
          <t>ELLUS FABRICA PE</t>
        </is>
      </c>
      <c r="U338" s="129" t="inlineStr">
        <is>
          <t>Olá, segue formulário enviado para Cielo E-commerce:&lt;p&gt;&lt;strong&gt;Qual seu nome?:&lt;/strong&gt; Leonardo Gonçalves de Noronha&lt;/p&gt;&lt;p&gt;&lt;strong&gt;Endereço de e-mail:&lt;/strong&gt; leonardo.noronha@inbrands.com.br&lt;/p&gt;&lt;p&gt;&lt;strong&gt;CNPJ/CPF:&lt;/strong&gt; 09.054.385/0001-44&lt;/p&gt;&lt;p&gt;&lt;strong&gt;Telefone:&lt;/strong&gt; (11) 99470-5562&lt;/p&gt;&lt;p&gt;&lt;strong&gt;Assunto:&lt;/strong&gt; Diferença de Analise Em NF de Serviço e Relatorio Antifraude.&lt;/p&gt;&lt;p&gt;&lt;strong&gt;Merchant ID/Estabelecimento Comercial (EC):&lt;/strong&gt; InBrands S.A.&lt;/p&gt;&lt;p&gt;&lt;strong&gt;Descrição do problema:&lt;/strong&gt; Bom dia!
Ao fazer conferencia do relatorio antifraude x nf de serviço mensal, constatei diferenças, tanto entre analises antifraude como em analises manuais.
ANALISE ANTIFRAUDE:
Total descrito em NF: 3963
Total descrito em relatorio 3998
ANALISE MANUAL + MANUAL EXPRESSA:
Total descrito em NF:  317 (316 + 1)
Total descrito em relatorio 322
Gostaria de entender o porque dessa divirgencia da descrição da NF para o relatorio que eu puxo diretamente do portal e-commerce.
Fico no a</t>
        </is>
      </c>
      <c r="V338" s="71">
        <f>IFERROR(_xlfn.TEXTBEFORE(_xlfn.TEXTAFTER(U338,"Descrição do problema:&lt;/strong"),"&lt;/p&gt;"),_xlfn.TEXTAFTER(U338,"Descrição do problema:&lt;/strong"))</f>
        <v/>
      </c>
      <c r="W338" s="76">
        <f>_xlfn.CONCAT(D338:E338)</f>
        <v/>
      </c>
      <c r="X338" s="77" t="n"/>
      <c r="Y338" s="78">
        <f>IF(X338="","Aberto","Encerrado")</f>
        <v/>
      </c>
      <c r="Z338" s="78">
        <f>IF(OR(L338="PENDENTE",L338="EM ANDAMENTO",L338="PENDENTE APROVAÇÃO CANCELAMENTO NF"),TODAY()-O338,X338-O338)</f>
        <v/>
      </c>
      <c r="AA338" s="78">
        <f>IF(Y338="Aberto",Z338+ROW()/100000,"")</f>
        <v/>
      </c>
      <c r="AB338" s="2">
        <f>IF(ISNUMBER(FIND("@cielo.com.br",S338)),"Interno","Externo")</f>
        <v/>
      </c>
      <c r="AC338" t="inlineStr">
        <is>
          <t>Contestar divergência, valor ou critério de cobrança.</t>
        </is>
      </c>
      <c r="AD338" t="inlineStr">
        <is>
          <t>relatório + nf + diferença</t>
        </is>
      </c>
      <c r="AE338" t="inlineStr">
        <is>
          <t>Contestação de cobrança</t>
        </is>
      </c>
      <c r="AF338" t="inlineStr">
        <is>
          <t>Valor Cobrado</t>
        </is>
      </c>
      <c r="AG338" t="inlineStr">
        <is>
          <t>Cobrança e Contestação</t>
        </is>
      </c>
      <c r="AI338" t="inlineStr">
        <is>
          <t>INT_COB_CONTESTACAO</t>
        </is>
      </c>
      <c r="AJ338" t="inlineStr">
        <is>
          <t>Sugerida</t>
        </is>
      </c>
      <c r="AK338" t="b">
        <v>0</v>
      </c>
      <c r="AN338">
        <f>IF(OR(AG338="",AM338=""),"",IF(AG338=AM338,"SIM","NÃO"))</f>
        <v/>
      </c>
      <c r="AO338" t="inlineStr">
        <is>
          <t>CLASSIFIED_PATTERN</t>
        </is>
      </c>
    </row>
    <row r="339" ht="15.5" customHeight="1">
      <c r="A339" s="1" t="n"/>
      <c r="B339" s="67" t="inlineStr">
        <is>
          <t>Emilly Maria</t>
        </is>
      </c>
      <c r="C339" s="70">
        <f>VLOOKUP(I:I,'Referencias '!H:I,2,0)</f>
        <v/>
      </c>
      <c r="D339" s="129" t="n">
        <v>26197883</v>
      </c>
      <c r="E339" s="129" t="inlineStr">
        <is>
          <t>0</t>
        </is>
      </c>
      <c r="F339" s="126" t="inlineStr">
        <is>
          <t>2623017301047</t>
        </is>
      </c>
      <c r="G339" s="72">
        <f>VLOOKUP(H:H,'Referencias '!B:C,2,0)</f>
        <v/>
      </c>
      <c r="H339" s="72">
        <f>TRIM(_xlfn.TEXTBEFORE(_xlfn.TEXTAFTER(U339,"CNPJ/CPF:&lt;/strong&gt;"),"&lt;/p&gt;"))</f>
        <v/>
      </c>
      <c r="I339" s="70" t="inlineStr">
        <is>
          <t>Informação conta para depósito</t>
        </is>
      </c>
      <c r="J339" s="72" t="n"/>
      <c r="K339" s="72" t="n"/>
      <c r="L339" s="122" t="inlineStr">
        <is>
          <t>PENDENTE</t>
        </is>
      </c>
      <c r="M339" s="73" t="inlineStr">
        <is>
          <t>Médio</t>
        </is>
      </c>
      <c r="N339" s="129" t="inlineStr">
        <is>
          <t>1018 Financeiro | Desejo falar com o setor financeiro | Marcos Paulo | marcos.paulo@fengbrasil.com.br</t>
        </is>
      </c>
      <c r="O339" s="125" t="n">
        <v>46252</v>
      </c>
      <c r="P339" s="123" t="n">
        <v>46253</v>
      </c>
      <c r="Q339" s="177">
        <f>TEXT(O339,"mmm/aaaa")</f>
        <v/>
      </c>
      <c r="R339" s="129" t="inlineStr">
        <is>
          <t>ECOMMERCE BP SUPORTE FINANCEIRO N2</t>
        </is>
      </c>
      <c r="S339" s="129" t="inlineStr">
        <is>
          <t>marcos.paulo@fengbrasil.com.br</t>
        </is>
      </c>
      <c r="T339" s="129" t="inlineStr">
        <is>
          <t>Botafogo Camisa 7</t>
        </is>
      </c>
      <c r="U339" s="129" t="inlineStr">
        <is>
          <t xml:space="preserve">Olá, segue formulário enviado para Cielo E-commerce:&lt;p&gt;&lt;strong&gt;Qual seu nome?:&lt;/strong&gt; Marcos Paulo&lt;/p&gt;&lt;p&gt;&lt;strong&gt;Endereço de e-mail:&lt;/strong&gt; marcos.paulo@fengbrasil.com.br&lt;/p&gt;&lt;p&gt;&lt;strong&gt;CNPJ/CPF:&lt;/strong&gt; 29.815.956/0001-23&lt;/p&gt;&lt;p&gt;&lt;strong&gt;Telefone:&lt;/strong&gt; (24) 99288-0711&lt;/p&gt;&lt;p&gt;&lt;strong&gt;Assunto:&lt;/strong&gt; Pagamentos de boletos não sendo conciliados&lt;/p&gt;&lt;p&gt;&lt;strong&gt;Merchant ID/Estabelecimento Comercial (EC):&lt;/strong&gt; 90745f96-ed89-40dc-8912-3702ee0c0ff9&lt;/p&gt;&lt;p&gt;&lt;strong&gt;Descrição do problema:&lt;/strong&gt; Conforme a habilitação do PIX, precisamos confirmar em qual conta os valores das transações realizadas via PIX serão liquidados.
MerchantID: 90745f96-ed89-40dc-8912-3702ee0c0ff9
Conseguem nos informar qual é a conta/domicílio bancário cadastrada para a liquidação dos valores vinculados ao Merchant ID acima?&lt;/p&gt;&lt;p&gt;&lt;strong&gt;ID da transação:&lt;/strong&gt; &lt;/p&gt;&lt;p&gt;&lt;strong&gt;Código do erro:&lt;/strong&gt; &lt;/p&gt;&lt;p&gt;&lt;strong&gt;Sobre qual produto ou área deseja falar?:&lt;/strong&gt; Financeiro&lt;/p&gt;&lt;p&gt;&lt;strong&gt;Como podemos te </t>
        </is>
      </c>
      <c r="V339" s="71">
        <f>IFERROR(_xlfn.TEXTBEFORE(_xlfn.TEXTAFTER(U339,"Descrição do problema:&lt;/strong"),"&lt;/p&gt;"),_xlfn.TEXTAFTER(U339,"Descrição do problema:&lt;/strong"))</f>
        <v/>
      </c>
      <c r="W339" s="76">
        <f>_xlfn.CONCAT(D339:E339)</f>
        <v/>
      </c>
      <c r="X339" s="77" t="n"/>
      <c r="Y339" s="78">
        <f>IF(X339="","Aberto","Encerrado")</f>
        <v/>
      </c>
      <c r="Z339" s="78">
        <f>IF(OR(L339="PENDENTE",L339="EM ANDAMENTO",L339="PENDENTE APROVAÇÃO CANCELAMENTO NF"),TODAY()-O339,X339-O339)</f>
        <v/>
      </c>
      <c r="AA339" s="78">
        <f>IF(Y339="Aberto",Z339+ROW()/100000,"")</f>
        <v/>
      </c>
      <c r="AB339" s="2">
        <f>IF(ISNUMBER(FIND("@cielo.com.br",S339)),"Interno","Externo")</f>
        <v/>
      </c>
      <c r="AC339" t="inlineStr">
        <is>
          <t>Alterar conta, domicílio ou forma de recebimento.</t>
        </is>
      </c>
      <c r="AD339" t="inlineStr">
        <is>
          <t>domicílio bancário</t>
        </is>
      </c>
      <c r="AE339" t="inlineStr">
        <is>
          <t>Troca de conta para depósito</t>
        </is>
      </c>
      <c r="AF339" t="inlineStr">
        <is>
          <t>Título Financeiro</t>
        </is>
      </c>
      <c r="AG339" t="inlineStr">
        <is>
          <t>Pagamentos, Boletos e Recebimentos</t>
        </is>
      </c>
      <c r="AI339" t="inlineStr">
        <is>
          <t>INT_PAG_CONTA</t>
        </is>
      </c>
      <c r="AJ339" t="inlineStr">
        <is>
          <t>Sugerida</t>
        </is>
      </c>
      <c r="AK339" t="b">
        <v>0</v>
      </c>
      <c r="AN339">
        <f>IF(OR(AG339="",AM339=""),"",IF(AG339=AM339,"SIM","NÃO"))</f>
        <v/>
      </c>
      <c r="AO339" t="inlineStr">
        <is>
          <t>CLASSIFIED_PATTERN</t>
        </is>
      </c>
    </row>
    <row r="340" ht="15.5" customHeight="1">
      <c r="A340" s="1" t="n"/>
      <c r="B340" s="67" t="inlineStr">
        <is>
          <t>Emilly Maria</t>
        </is>
      </c>
      <c r="C340" s="70">
        <f>VLOOKUP(I:I,'Referencias '!H:I,2,0)</f>
        <v/>
      </c>
      <c r="D340" s="129" t="n">
        <v>26205622</v>
      </c>
      <c r="E340" s="129" t="inlineStr">
        <is>
          <t>0</t>
        </is>
      </c>
      <c r="F340" s="126" t="inlineStr">
        <is>
          <t>2623108306151</t>
        </is>
      </c>
      <c r="G340" s="72">
        <f>VLOOKUP(H:H,'Referencias '!B:C,2,0)</f>
        <v/>
      </c>
      <c r="H340" s="72">
        <f>TRIM(_xlfn.TEXTBEFORE(_xlfn.TEXTAFTER(U340,"CNPJ/CPF:&lt;/strong&gt;"),"&lt;/p&gt;"))</f>
        <v/>
      </c>
      <c r="I340" s="70" t="inlineStr">
        <is>
          <t>Atualização de Cadastro</t>
        </is>
      </c>
      <c r="J340" s="72" t="n"/>
      <c r="K340" s="72" t="n"/>
      <c r="L340" s="122" t="inlineStr">
        <is>
          <t>PENDENTE</t>
        </is>
      </c>
      <c r="M340" s="73" t="inlineStr">
        <is>
          <t>Médio</t>
        </is>
      </c>
      <c r="N340" s="129" t="inlineStr">
        <is>
          <t>1018 Financeiro | Desejo falar com o setor financeiro | Francielly R S Buchele | francielly.silva@dentalspeed.com</t>
        </is>
      </c>
      <c r="O340" s="125" t="n">
        <v>46253</v>
      </c>
      <c r="P340" s="123" t="n">
        <v>46253</v>
      </c>
      <c r="Q340" s="177">
        <f>TEXT(O340,"mmm/aaaa")</f>
        <v/>
      </c>
      <c r="R340" s="129" t="inlineStr">
        <is>
          <t>ECOMMERCE BP SUPORTE FINANCEIRO N2</t>
        </is>
      </c>
      <c r="S340" s="129" t="inlineStr">
        <is>
          <t>francielly.silva@dentalspeed.com</t>
        </is>
      </c>
      <c r="T340" s="129" t="inlineStr">
        <is>
          <t>DENTAL SPEED GRAPH</t>
        </is>
      </c>
      <c r="U340" s="129" t="inlineStr">
        <is>
          <t>Olá, segue formulário enviado para Cielo E-commerce:&lt;p&gt;&lt;strong&gt;Qual seu nome?:&lt;/strong&gt; Francielly R S Buchele&lt;/p&gt;&lt;p&gt;&lt;strong&gt;Endereço de e-mail:&lt;/strong&gt; francielly.silva@dentalspeed.com&lt;/p&gt;&lt;p&gt;&lt;strong&gt;CNPJ/CPF:&lt;/strong&gt; 13.612.214/0001-60&lt;/p&gt;&lt;p&gt;&lt;strong&gt;Telefone:&lt;/strong&gt; (48) 98843-5656&lt;/p&gt;&lt;p&gt;&lt;strong&gt;Assunto:&lt;/strong&gt; E-mails para recebimento de notas e boletos.&lt;/p&gt;&lt;p&gt;&lt;strong&gt;Merchant ID/Estabelecimento Comercial (EC):&lt;/strong&gt; 2842458715&lt;/p&gt;&lt;p&gt;&lt;strong&gt;Descrição do problema:&lt;/strong&gt; Bom dia!
Gentileza incluir o e-mail abaixo para recebimentos das notas fiscais e boletos e manter os que já existem:
camila.medeiros@dentalspeed.com&lt;/p&gt;&lt;p&gt;&lt;strong&gt;ID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2140012810.1741613674&lt;/p&gt;&lt;p&gt;&lt;strong&gt;Lead Hash ID:&lt;/strong&gt; dc22c24ff510228633348788</t>
        </is>
      </c>
      <c r="V340" s="71">
        <f>IFERROR(_xlfn.TEXTBEFORE(_xlfn.TEXTAFTER(U340,"Descrição do problema:&lt;/strong"),"&lt;/p&gt;"),_xlfn.TEXTAFTER(U340,"Descrição do problema:&lt;/strong"))</f>
        <v/>
      </c>
      <c r="W340" s="76">
        <f>_xlfn.CONCAT(D340:E340)</f>
        <v/>
      </c>
      <c r="X340" s="77" t="n"/>
      <c r="Y340" s="78">
        <f>IF(X340="","Aberto","Encerrado")</f>
        <v/>
      </c>
      <c r="Z340" s="78">
        <f>IF(OR(L340="PENDENTE",L340="EM ANDAMENTO",L340="PENDENTE APROVAÇÃO CANCELAMENTO NF"),TODAY()-O340,X340-O340)</f>
        <v/>
      </c>
      <c r="AA340" s="78">
        <f>IF(Y340="Aberto",Z340+ROW()/100000,"")</f>
        <v/>
      </c>
      <c r="AB340" s="2">
        <f>IF(ISNUMBER(FIND("@cielo.com.br",S340)),"Interno","Externo")</f>
        <v/>
      </c>
      <c r="AC340" t="inlineStr">
        <is>
          <t>Atualizar dados cadastrais, e-mail ou telefone.</t>
        </is>
      </c>
      <c r="AD340" t="inlineStr">
        <is>
          <t>incluir + email; recebimento de notas e boletos; incluir o e-mail</t>
        </is>
      </c>
      <c r="AE340" t="inlineStr">
        <is>
          <t>Atualização cadastral</t>
        </is>
      </c>
      <c r="AF340" t="inlineStr">
        <is>
          <t>Contrato/Cadastro</t>
        </is>
      </c>
      <c r="AG340" t="inlineStr">
        <is>
          <t>Contratos, Comercial e Cadastro</t>
        </is>
      </c>
      <c r="AI340" t="inlineStr">
        <is>
          <t>INT_CON_CADASTRO</t>
        </is>
      </c>
      <c r="AJ340" t="inlineStr">
        <is>
          <t>Sugerida</t>
        </is>
      </c>
      <c r="AK340" t="b">
        <v>0</v>
      </c>
      <c r="AN340">
        <f>IF(OR(AG340="",AM340=""),"",IF(AG340=AM340,"SIM","NÃO"))</f>
        <v/>
      </c>
      <c r="AO340" t="inlineStr">
        <is>
          <t>CLASSIFIED_PATTERN</t>
        </is>
      </c>
    </row>
    <row r="341" ht="15.5" customHeight="1">
      <c r="A341" s="1" t="n"/>
      <c r="B341" s="67" t="inlineStr">
        <is>
          <t>Pamela de Sá</t>
        </is>
      </c>
      <c r="C341" s="70">
        <f>VLOOKUP(I:I,'Referencias '!H:I,2,0)</f>
        <v/>
      </c>
      <c r="D341" s="129" t="n">
        <v>26218687</v>
      </c>
      <c r="E341" s="129" t="inlineStr">
        <is>
          <t>0</t>
        </is>
      </c>
      <c r="F341" s="126" t="inlineStr">
        <is>
          <t>2623110314547</t>
        </is>
      </c>
      <c r="G341" s="72">
        <f>T341</f>
        <v/>
      </c>
      <c r="H341" s="72" t="n"/>
      <c r="I341" s="70" t="inlineStr">
        <is>
          <t>Informações sobre pagamento</t>
        </is>
      </c>
      <c r="J341" s="72" t="n"/>
      <c r="K341" s="72" t="n"/>
      <c r="L341" s="122" t="inlineStr">
        <is>
          <t>PENDENTE</t>
        </is>
      </c>
      <c r="M341" s="73" t="inlineStr">
        <is>
          <t>Médio</t>
        </is>
      </c>
      <c r="N341" s="129" t="inlineStr">
        <is>
          <t>Enc.: POXA, SEU BOLETO ESTÁ VENCIDO!</t>
        </is>
      </c>
      <c r="O341" s="125" t="n">
        <v>46253</v>
      </c>
      <c r="P341" s="123" t="n">
        <v>46253</v>
      </c>
      <c r="Q341" s="177">
        <f>TEXT(O341,"mmm/aaaa")</f>
        <v/>
      </c>
      <c r="R341" s="129" t="inlineStr">
        <is>
          <t>ECOMMERCE BP SUPORTE FINANCEIRO N2</t>
        </is>
      </c>
      <c r="S341" s="129" t="inlineStr">
        <is>
          <t>rita.barboza@ogrupomaxi.com.br</t>
        </is>
      </c>
      <c r="T341" s="129" t="inlineStr">
        <is>
          <t>MAX FERRAMENTAS LTDA</t>
        </is>
      </c>
      <c r="U341" s="129"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Preciso de um contato para tratar a situação abaixo.
[Cópia de Cópia de Assinatura Maxi 2026.png]
============ Mensagem encaminhada ============
De: &lt;cobranca.ecommerce@cielo.com.br&gt;
Para: &lt;rita.barboza@maxiferramentas.com.br&gt;, &lt;thiago.rolim@maxiferramentas.com.br&gt;, &lt;alexrolim@maxiferramentas.com.br&gt;
Data: sex., 24 jul. 2026 10:20:18 -0300
Assunto: POXA, SEU BOLETO ESTÁ VENCIDO!
============ Mensagem encaminhada ============
[braspag]
Poxa, seu boleto está
vencido!
[braspag]
Olá, cliente Braspag!
Estamos acompanhando MA</t>
        </is>
      </c>
      <c r="V341" s="71">
        <f>IFERROR(_xlfn.TEXTBEFORE(_xlfn.TEXTAFTER(U341,"Descrição do problema:&lt;/strong"),"&lt;/p&gt;"),_xlfn.TEXTAFTER(U341,"Descrição do problema:&lt;/strong"))</f>
        <v/>
      </c>
      <c r="W341" s="76">
        <f>_xlfn.CONCAT(D341:E341)</f>
        <v/>
      </c>
      <c r="X341" s="77" t="n"/>
      <c r="Y341" s="78">
        <f>IF(X341="","Aberto","Encerrado")</f>
        <v/>
      </c>
      <c r="Z341" s="78">
        <f>IF(OR(L341="PENDENTE",L341="EM ANDAMENTO",L341="PENDENTE APROVAÇÃO CANCELAMENTO NF"),TODAY()-O341,X341-O341)</f>
        <v/>
      </c>
      <c r="AA341" s="78">
        <f>IF(Y341="Aberto",Z341+ROW()/100000,"")</f>
        <v/>
      </c>
      <c r="AB341" s="2">
        <f>IF(ISNUMBER(FIND("@cielo.com.br",S341)),"Interno","Externo")</f>
        <v/>
      </c>
      <c r="AC341" t="inlineStr">
        <is>
          <t>Solicitar segunda via, reenvio ou reemissão de boleto.</t>
        </is>
      </c>
      <c r="AD341" t="inlineStr">
        <is>
          <t>boleto + vencido</t>
        </is>
      </c>
      <c r="AE341" t="inlineStr">
        <is>
          <t>Reenvio de boleto</t>
        </is>
      </c>
      <c r="AF341" t="inlineStr">
        <is>
          <t>Título Financeiro</t>
        </is>
      </c>
      <c r="AG341" t="inlineStr">
        <is>
          <t>Pagamentos, Boletos e Recebimentos</t>
        </is>
      </c>
      <c r="AI341" t="inlineStr">
        <is>
          <t>INT_PAG_BOLETO_REENVIO</t>
        </is>
      </c>
      <c r="AJ341" t="inlineStr">
        <is>
          <t>Sugerida</t>
        </is>
      </c>
      <c r="AK341" t="b">
        <v>0</v>
      </c>
      <c r="AN341">
        <f>IF(OR(AG341="",AM341=""),"",IF(AG341=AM341,"SIM","NÃO"))</f>
        <v/>
      </c>
      <c r="AO341" t="inlineStr">
        <is>
          <t>CLASSIFIED_PATTERN</t>
        </is>
      </c>
    </row>
    <row r="342" ht="15.5" customHeight="1">
      <c r="A342" s="1" t="n"/>
      <c r="B342" s="67" t="inlineStr">
        <is>
          <t>Pamela de Sá</t>
        </is>
      </c>
      <c r="C342" s="70">
        <f>VLOOKUP(I:I,'Referencias '!H:I,2,0)</f>
        <v/>
      </c>
      <c r="D342" s="129" t="n">
        <v>26243275</v>
      </c>
      <c r="E342" s="129" t="inlineStr">
        <is>
          <t>0</t>
        </is>
      </c>
      <c r="F342" s="126" t="inlineStr">
        <is>
          <t>2623115330650</t>
        </is>
      </c>
      <c r="G342" s="72">
        <f>VLOOKUP(H:H,'Referencias '!B:C,2,0)</f>
        <v/>
      </c>
      <c r="H342" s="72">
        <f>TRIM(_xlfn.TEXTBEFORE(_xlfn.TEXTAFTER(U342,"CNPJ/CPF:&lt;/strong&gt;"),"&lt;/p&gt;"))</f>
        <v/>
      </c>
      <c r="I342" s="70" t="inlineStr">
        <is>
          <t>Acesso admin</t>
        </is>
      </c>
      <c r="J342" s="72" t="n"/>
      <c r="K342" s="72" t="n"/>
      <c r="L342" s="122" t="inlineStr">
        <is>
          <t>PENDENTE</t>
        </is>
      </c>
      <c r="M342" s="73" t="inlineStr">
        <is>
          <t>Médio</t>
        </is>
      </c>
      <c r="N342" s="129" t="inlineStr">
        <is>
          <t>1003 Gateway de Pagamento | Configurações da loja | Ricardo | faturamento@insidesistemas.com.br</t>
        </is>
      </c>
      <c r="O342" s="125" t="n">
        <v>46253</v>
      </c>
      <c r="P342" s="123" t="n">
        <v>46254</v>
      </c>
      <c r="Q342" s="177">
        <f>TEXT(O342,"mmm/aaaa")</f>
        <v/>
      </c>
      <c r="R342" s="129" t="inlineStr">
        <is>
          <t>ECOMMERCE BP SUPORTE FINANCEIRO N2</t>
        </is>
      </c>
      <c r="S342" s="129" t="inlineStr">
        <is>
          <t>faturamento@insidesistemas.com.br</t>
        </is>
      </c>
      <c r="T342" s="129" t="inlineStr">
        <is>
          <t>INSIDE SISTEMAS</t>
        </is>
      </c>
      <c r="U342" s="129" t="inlineStr">
        <is>
          <t>Olá, segue formulário enviado para Cielo E-commerce:&lt;p&gt;&lt;strong&gt;Qual seu nome?:&lt;/strong&gt; Ricardo&lt;/p&gt;&lt;p&gt;&lt;strong&gt;Endereço de e-mail:&lt;/strong&gt; faturamento@insidesistemas.com.br&lt;/p&gt;&lt;p&gt;&lt;strong&gt;CNPJ/CPF:&lt;/strong&gt; 05.623.256/0001-79&lt;/p&gt;&lt;p&gt;&lt;strong&gt;Telefone:&lt;/strong&gt; (45) 93505-9506&lt;/p&gt;&lt;p&gt;&lt;strong&gt;Assunto:&lt;/strong&gt; Verificar usuário e contrato&lt;/p&gt;&lt;p&gt;&lt;strong&gt;Sobre qual produto ou área deseja falar?:&lt;/strong&gt; Gateway de Pagamento&lt;/p&gt;&lt;p&gt;&lt;strong&gt;Descrição do problema:&lt;/strong&gt; Preciso entender sobre a cobrança mensal para o CNPJ 05.623.256/0001-79&lt;/p&gt;&lt;p&gt;&lt;strong&gt;Merchant ID/Estabelecimento Comercial (EC):&lt;/strong&gt; Inside Sistemas&lt;/p&gt;&lt;p&gt;&lt;strong&gt;Como podemos te ajudar?:&lt;/strong&gt; Configurações da loja&lt;/p&gt;&lt;p&gt;&lt;strong&gt;GA Client ID:&lt;/strong&gt; 875545444.1787084196&lt;/p&gt;&lt;p&gt;&lt;strong&gt;Lead Hash ID:&lt;/strong&gt; fc6ba56195a099944cce59cffb2e3650e41942cfb135200de5da089f35589e5f&lt;/p&gt;&lt;p&gt;&lt;strong&gt;Lead Form ID:&lt;/strong&gt; fc6ba56195a099944cce59cffb2e3650e41942cfb135200de5da089f35589e5f.1787162985939&lt;/p&gt;&lt;br&gt;-json-{
    "infoClientes</t>
        </is>
      </c>
      <c r="V342" s="71">
        <f>IFERROR(_xlfn.TEXTBEFORE(_xlfn.TEXTAFTER(U342,"Descrição do problema:&lt;/strong"),"&lt;/p&gt;"),_xlfn.TEXTAFTER(U342,"Descrição do problema:&lt;/strong"))</f>
        <v/>
      </c>
      <c r="W342" s="76">
        <f>_xlfn.CONCAT(D342:E342)</f>
        <v/>
      </c>
      <c r="X342" s="77" t="n"/>
      <c r="Y342" s="78">
        <f>IF(X342="","Aberto","Encerrado")</f>
        <v/>
      </c>
      <c r="Z342" s="78">
        <f>IF(OR(L342="PENDENTE",L342="EM ANDAMENTO",L342="PENDENTE APROVAÇÃO CANCELAMENTO NF"),TODAY()-O342,X342-O342)</f>
        <v/>
      </c>
      <c r="AA342" s="78">
        <f>IF(Y342="Aberto",Z342+ROW()/100000,"")</f>
        <v/>
      </c>
      <c r="AB342" s="2">
        <f>IF(ISNUMBER(FIND("@cielo.com.br",S342)),"Interno","Externo")</f>
        <v/>
      </c>
      <c r="AC342" t="inlineStr">
        <is>
          <t>Pedir informação sobre contrato ou condição comercial.</t>
        </is>
      </c>
      <c r="AD342" t="inlineStr">
        <is>
          <t>entender sobre a cobrança mensal + contrato</t>
        </is>
      </c>
      <c r="AE342" t="inlineStr">
        <is>
          <t>Informação contratual/comercial</t>
        </is>
      </c>
      <c r="AF342" t="inlineStr">
        <is>
          <t>Contrato/Cadastro</t>
        </is>
      </c>
      <c r="AG342" t="inlineStr">
        <is>
          <t>Contratos, Comercial e Cadastro</t>
        </is>
      </c>
      <c r="AI342" t="inlineStr">
        <is>
          <t>INT_CON_INFORMACAO</t>
        </is>
      </c>
      <c r="AJ342" t="inlineStr">
        <is>
          <t>Sugerida</t>
        </is>
      </c>
      <c r="AK342" t="b">
        <v>0</v>
      </c>
      <c r="AN342">
        <f>IF(OR(AG342="",AM342=""),"",IF(AG342=AM342,"SIM","NÃO"))</f>
        <v/>
      </c>
      <c r="AO342" t="inlineStr">
        <is>
          <t>CLASSIFIED_PATTERN</t>
        </is>
      </c>
    </row>
    <row r="343" ht="15.5" customHeight="1">
      <c r="A343" s="1" t="n"/>
      <c r="B343" s="67" t="inlineStr">
        <is>
          <t>Pamela de Sá</t>
        </is>
      </c>
      <c r="C343" s="70">
        <f>VLOOKUP(I:I,'Referencias '!H:I,2,0)</f>
        <v/>
      </c>
      <c r="D343" s="129" t="n">
        <v>26288802</v>
      </c>
      <c r="E343" s="129" t="inlineStr">
        <is>
          <t>0</t>
        </is>
      </c>
      <c r="F343" s="126" t="inlineStr">
        <is>
          <t>2623212359359</t>
        </is>
      </c>
      <c r="G343" s="72">
        <f>VLOOKUP(H:H,'Referencias '!B:C,2,0)</f>
        <v/>
      </c>
      <c r="H343" s="72">
        <f>TRIM(_xlfn.TEXTBEFORE(_xlfn.TEXTAFTER(U343,"CNPJ/CPF:&lt;/strong&gt;"),"&lt;/p&gt;"))</f>
        <v/>
      </c>
      <c r="I343" s="70" t="inlineStr">
        <is>
          <t>Congelamento de contrato</t>
        </is>
      </c>
      <c r="J343" s="72" t="n"/>
      <c r="K343" s="72" t="n"/>
      <c r="L343" s="122" t="inlineStr">
        <is>
          <t>PENDENTE</t>
        </is>
      </c>
      <c r="M343" s="73" t="inlineStr">
        <is>
          <t>Médio</t>
        </is>
      </c>
      <c r="N343" s="129" t="inlineStr">
        <is>
          <t>1018 Financeiro | Desejo falar com o setor financeiro | Mariane Oliveira dos Santos | mariane.santos@cielo.com.br</t>
        </is>
      </c>
      <c r="O343" s="125" t="n">
        <v>46254</v>
      </c>
      <c r="P343" s="123" t="n">
        <v>46254</v>
      </c>
      <c r="Q343" s="177">
        <f>TEXT(O343,"mmm/aaaa")</f>
        <v/>
      </c>
      <c r="R343" s="129" t="inlineStr">
        <is>
          <t>ECOMMERCE BP SUPORTE FINANCEIRO N2</t>
        </is>
      </c>
      <c r="S343" s="129" t="inlineStr">
        <is>
          <t>mariane.santos@cielo.com.br</t>
        </is>
      </c>
      <c r="T343" s="129" t="inlineStr">
        <is>
          <t>WHITE MARTINS GILDA</t>
        </is>
      </c>
      <c r="U343" s="129" t="inlineStr">
        <is>
          <t>Olá, segue formulário enviado para Cielo E-commerce:&lt;p&gt;&lt;strong&gt;Qual seu nome?:&lt;/strong&gt; Mariane Oliveira dos Santos&lt;/p&gt;&lt;p&gt;&lt;strong&gt;Endereço de e-mail:&lt;/strong&gt; mariane.santos@cielo.com.br&lt;/p&gt;&lt;p&gt;&lt;strong&gt;CNPJ/CPF:&lt;/strong&gt; 35.820.448/0001-36&lt;/p&gt;&lt;p&gt;&lt;strong&gt;Telefone:&lt;/strong&gt; (41) 98740-2896&lt;/p&gt;&lt;p&gt;&lt;strong&gt;Assunto:&lt;/strong&gt; CANCELAMENTO NF&lt;/p&gt;&lt;p&gt;&lt;strong&gt;Sobre qual produto ou área deseja falar?:&lt;/strong&gt; Financeiro&lt;/p&gt;&lt;p&gt;&lt;strong&gt;Como podemos te ajudar?:&lt;/strong&gt; Desejo falar com o setor financeiro&lt;/p&gt;&lt;p&gt;&lt;strong&gt;Merchant ID/Estabelecimento Comercial (EC):&lt;/strong&gt; 35.820.448/0001-36&lt;/p&gt;&lt;p&gt;&lt;strong&gt;Descrição do problema:&lt;/strong&gt; Bom dia, pessoal! Tudo bem?
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
2. WhiteMartins
Há</t>
        </is>
      </c>
      <c r="V343" s="71">
        <f>IFERROR(_xlfn.TEXTBEFORE(_xlfn.TEXTAFTER(U343,"Descrição do problema:&lt;/strong"),"&lt;/p&gt;"),_xlfn.TEXTAFTER(U343,"Descrição do problema:&lt;/strong"))</f>
        <v/>
      </c>
      <c r="W343" s="76">
        <f>_xlfn.CONCAT(D343:E343)</f>
        <v/>
      </c>
      <c r="X343" s="77" t="n"/>
      <c r="Y343" s="78">
        <f>IF(X343="","Aberto","Encerrado")</f>
        <v/>
      </c>
      <c r="Z343" s="78">
        <f>IF(OR(L343="PENDENTE",L343="EM ANDAMENTO",L343="PENDENTE APROVAÇÃO CANCELAMENTO NF"),TODAY()-O343,X343-O343)</f>
        <v/>
      </c>
      <c r="AA343" s="78">
        <f>IF(Y343="Aberto",Z343+ROW()/100000,"")</f>
        <v/>
      </c>
      <c r="AB343" s="2">
        <f>IF(ISNUMBER(FIND("@cielo.com.br",S343)),"Interno","Externo")</f>
        <v/>
      </c>
      <c r="AC343" t="inlineStr">
        <is>
          <t>Cancelar, substituir ou reemitir nota fiscal.</t>
        </is>
      </c>
      <c r="AD343" t="inlineStr">
        <is>
          <t>ACAO:CANCELAR; ACAO:SUSPENDER; OBJETO:COBRANCA; OBJETO:NOTA_FISCAL; OBJETO:SUSPENDER</t>
        </is>
      </c>
      <c r="AE343" t="inlineStr">
        <is>
          <t>Cancelamento de NF</t>
        </is>
      </c>
      <c r="AF343" t="inlineStr">
        <is>
          <t>Documento Fiscal</t>
        </is>
      </c>
      <c r="AG343" t="inlineStr">
        <is>
          <t>Cancelamento e Reemissão de Nota Fiscal</t>
        </is>
      </c>
      <c r="AI343" t="inlineStr">
        <is>
          <t>INT_NF_CANCEL_REEMISSAO</t>
        </is>
      </c>
      <c r="AJ343" t="inlineStr">
        <is>
          <t>Sugerida</t>
        </is>
      </c>
      <c r="AK343" t="b">
        <v>0</v>
      </c>
      <c r="AN343">
        <f>IF(OR(AG343="",AM343=""),"",IF(AG343=AM343,"SIM","NÃO"))</f>
        <v/>
      </c>
      <c r="AO343" t="inlineStr">
        <is>
          <t>CLASSIFIED_SIGNATURE</t>
        </is>
      </c>
    </row>
    <row r="344" ht="15.5" customHeight="1">
      <c r="A344" s="1" t="n"/>
      <c r="B344" s="67" t="inlineStr">
        <is>
          <t>Pamela de Sá</t>
        </is>
      </c>
      <c r="C344" s="70">
        <f>VLOOKUP(I:I,'Referencias '!H:I,2,0)</f>
        <v/>
      </c>
      <c r="D344" s="129" t="n">
        <v>26395526</v>
      </c>
      <c r="E344" s="129" t="inlineStr">
        <is>
          <t>0</t>
        </is>
      </c>
      <c r="F344" s="126" t="inlineStr">
        <is>
          <t>2623609429491</t>
        </is>
      </c>
      <c r="G344" s="72" t="inlineStr">
        <is>
          <t>LAMARK E-COMMERCE SOLUTIONS LTDA</t>
        </is>
      </c>
      <c r="H344" s="72" t="inlineStr">
        <is>
          <t>63.321.008/0001-70</t>
        </is>
      </c>
      <c r="I344" s="70" t="inlineStr">
        <is>
          <t>Dúvida sobre faturamento</t>
        </is>
      </c>
      <c r="J344" s="72" t="n"/>
      <c r="K344" s="72" t="n"/>
      <c r="L344" s="122" t="inlineStr">
        <is>
          <t>PENDENTE</t>
        </is>
      </c>
      <c r="M344" s="73" t="inlineStr">
        <is>
          <t>Médio</t>
        </is>
      </c>
      <c r="N344" s="129" t="inlineStr">
        <is>
          <t>1018 Financeiro | Desejo falar com o setor financeiro | Rafael Roque | rafael.silva@tbfg.com.br</t>
        </is>
      </c>
      <c r="O344" s="125" t="n">
        <v>46258</v>
      </c>
      <c r="P344" s="123" t="n">
        <v>46258</v>
      </c>
      <c r="Q344" s="177">
        <f>TEXT(O344,"mmm/aaaa")</f>
        <v/>
      </c>
      <c r="R344" s="129" t="inlineStr">
        <is>
          <t>ECOMMERCE BP SUPORTE FINANCEIRO N2</t>
        </is>
      </c>
      <c r="S344" s="129" t="inlineStr">
        <is>
          <t>rafael.silva@tbfg.com.br</t>
        </is>
      </c>
      <c r="T344" s="129" t="n"/>
      <c r="U344" s="129" t="inlineStr">
        <is>
          <t>Olá, segue formulário enviado para Cielo E-commerce:&lt;p&gt;&lt;strong&gt;Qual seu nome?:&lt;/strong&gt; Rafael Roque&lt;/p&gt;&lt;p&gt;&lt;strong&gt;Endereço de e-mail:&lt;/strong&gt; rafael.silva@tbfg.com.br&lt;/p&gt;&lt;p&gt;&lt;strong&gt;CNPJ/CPF:&lt;/strong&gt; 456.680.978-11&lt;/p&gt;&lt;p&gt;&lt;strong&gt;Telefone:&lt;/strong&gt; (11) 97769-2124&lt;/p&gt;&lt;p&gt;&lt;strong&gt;Assunto:&lt;/strong&gt; Valores Nota/Boleto&lt;/p&gt;&lt;p&gt;&lt;strong&gt;Merchant ID/Estabelecimento Comercial (EC):&lt;/strong&gt; e27cd5fb-6ab9-433f-86e5-1bafb671d3f6&lt;/p&gt;&lt;p&gt;&lt;strong&gt;Sobre qual produto ou área deseja falar?:&lt;/strong&gt; Financeiro&lt;/p&gt;&lt;p&gt;&lt;strong&gt;Descrição do problema:&lt;/strong&gt; Olá, pessoal.
Gostaria de confirmar o valor correto para pagamento referente à NF nº 0120546.
Identificamos que a nota fiscal foi emitida no valor de R$ 4.214,29, enquanto o boleto apresenta o valor de R$ 3.955,12.
Poderiam, por gentileza, confirmar se o valor do boleto está correto e nos enviar o detalhamento das retenções/descontos aplicados?
Fico no aguardo da confirmação para seguirmos com o pagamento.
Obrigado!&lt;/p&gt;&lt;p&gt;&lt;strong&gt;Como podemos te ajudar</t>
        </is>
      </c>
      <c r="V344" s="71">
        <f>IFERROR(_xlfn.TEXTBEFORE(_xlfn.TEXTAFTER(U344,"Descrição do problema:&lt;/strong"),"&lt;/p&gt;"),_xlfn.TEXTAFTER(U344,"Descrição do problema:&lt;/strong"))</f>
        <v/>
      </c>
      <c r="W344" s="76">
        <f>_xlfn.CONCAT(D344:E344)</f>
        <v/>
      </c>
      <c r="X344" s="77" t="n"/>
      <c r="Y344" s="78">
        <f>IF(X344="","Aberto","Encerrado")</f>
        <v/>
      </c>
      <c r="Z344" s="78">
        <f>IF(OR(L344="PENDENTE",L344="EM ANDAMENTO",L344="PENDENTE APROVAÇÃO CANCELAMENTO NF"),TODAY()-O344,X344-O344)</f>
        <v/>
      </c>
      <c r="AA344" s="78">
        <f>IF(Y344="Aberto",Z344+ROW()/100000,"")</f>
        <v/>
      </c>
      <c r="AB344" s="2">
        <f>IF(ISNUMBER(FIND("@cielo.com.br",S344)),"Interno","Externo")</f>
        <v/>
      </c>
      <c r="AC344" t="inlineStr">
        <is>
          <t>Consultar ou verificar faturamento, fatura ou obrigações fiscais.</t>
        </is>
      </c>
      <c r="AD344" t="inlineStr">
        <is>
          <t>confirmar o valor correto para pagamento; confirmar + emitida + nf</t>
        </is>
      </c>
      <c r="AE344" t="inlineStr">
        <is>
          <t>Dúvida sobre faturamento</t>
        </is>
      </c>
      <c r="AF344" t="inlineStr">
        <is>
          <t>Parâmetro de Faturamento</t>
        </is>
      </c>
      <c r="AG344" t="inlineStr">
        <is>
          <t>Faturamento e Obrigações Fiscais</t>
        </is>
      </c>
      <c r="AI344" t="inlineStr">
        <is>
          <t>INT_FAT_DUVIDA</t>
        </is>
      </c>
      <c r="AJ344" t="inlineStr">
        <is>
          <t>Sugerida</t>
        </is>
      </c>
      <c r="AK344" t="b">
        <v>0</v>
      </c>
      <c r="AN344">
        <f>IF(OR(AG344="",AM344=""),"",IF(AG344=AM344,"SIM","NÃO"))</f>
        <v/>
      </c>
      <c r="AO344" t="inlineStr">
        <is>
          <t>CLASSIFIED_PATTERN</t>
        </is>
      </c>
    </row>
    <row r="345" ht="15.5" customHeight="1">
      <c r="A345" s="1" t="n"/>
      <c r="B345" s="67" t="inlineStr">
        <is>
          <t>Amanda Silva</t>
        </is>
      </c>
      <c r="C345" s="70">
        <f>VLOOKUP(I:I,'Referencias '!H:I,2,0)</f>
        <v/>
      </c>
      <c r="D345" s="129" t="n">
        <v>26346273</v>
      </c>
      <c r="E345" s="129" t="inlineStr">
        <is>
          <t>0</t>
        </is>
      </c>
      <c r="F345" s="126" t="inlineStr">
        <is>
          <t>2623312396077</t>
        </is>
      </c>
      <c r="G345" s="72" t="inlineStr">
        <is>
          <t>N. R. BENNESBY COMERCIO DE UTENSILI</t>
        </is>
      </c>
      <c r="H345" s="72">
        <f>TRIM(_xlfn.TEXTBEFORE(_xlfn.TEXTAFTER(U345,"CNPJ/CPF:&lt;/strong&gt;"),"&lt;/p&gt;"))</f>
        <v/>
      </c>
      <c r="I345" s="70" t="inlineStr">
        <is>
          <t>Cancelamento de NF</t>
        </is>
      </c>
      <c r="J345" s="72" t="n"/>
      <c r="K345" s="72" t="n"/>
      <c r="L345" s="122" t="inlineStr">
        <is>
          <t>EM ANDAMENTO</t>
        </is>
      </c>
      <c r="M345" s="73" t="inlineStr">
        <is>
          <t>Médio</t>
        </is>
      </c>
      <c r="N345" s="129" t="inlineStr">
        <is>
          <t>1018 Financeiro | Desejo falar com o setor financeiro | N. R. BENNESBY COMERCIO DE UTENSILI | ariane.pasilva@cielo.com.br</t>
        </is>
      </c>
      <c r="O345" s="125" t="n">
        <v>46255</v>
      </c>
      <c r="P345" s="123" t="n">
        <v>46255</v>
      </c>
      <c r="Q345" s="177">
        <f>TEXT(O345,"mmm/aaaa")</f>
        <v/>
      </c>
      <c r="R345" s="129" t="inlineStr">
        <is>
          <t>ECOMMERCE BP SUPORTE FINANCEIRO N2</t>
        </is>
      </c>
      <c r="S345" s="129" t="inlineStr">
        <is>
          <t>ariane.pasilva@cielo.com.br</t>
        </is>
      </c>
      <c r="T345" s="129" t="n"/>
      <c r="U345" s="129" t="inlineStr">
        <is>
          <t>Olá, segue formulário enviado para Cielo E-commerce:&lt;p&gt;&lt;strong&gt;Qual seu nome?:&lt;/strong&gt; N. R. BENNESBY COMERCIO DE UTENSILI&lt;/p&gt;&lt;p&gt;&lt;strong&gt;Endereço de e-mail:&lt;/strong&gt; ariane.pasilva@cielo.com.br&lt;/p&gt;&lt;p&gt;&lt;strong&gt;CNPJ/CPF:&lt;/strong&gt; 37.882.316/0001-64&lt;/p&gt;&lt;p&gt;&lt;strong&gt;Telefone:&lt;/strong&gt; (11) 97707-1602&lt;/p&gt;&lt;p&gt;&lt;strong&gt;Assunto:&lt;/strong&gt; Cancelamento de notas&lt;/p&gt;&lt;p&gt;&lt;strong&gt;Merchant ID/Estabelecimento Comercial (EC):&lt;/strong&gt; 37882316000164&lt;/p&gt;&lt;p&gt;&lt;strong&gt;Descrição do problema:&lt;/strong&gt; Time financeiro, boa tarde. Tudo bem?
Favor seguir com o cancelamento das notas (todas).
Em anexo, DA comercial.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t>
        </is>
      </c>
      <c r="V345" s="71">
        <f>IFERROR(_xlfn.TEXTBEFORE(_xlfn.TEXTAFTER(U345,"Descrição do problema:&lt;/strong"),"&lt;/p&gt;"),_xlfn.TEXTAFTER(U345,"Descrição do problema:&lt;/strong"))</f>
        <v/>
      </c>
      <c r="W345" s="76">
        <f>_xlfn.CONCAT(D345:E345)</f>
        <v/>
      </c>
      <c r="X345" s="77" t="n"/>
      <c r="Y345" s="78">
        <f>IF(X345="","Aberto","Encerrado")</f>
        <v/>
      </c>
      <c r="Z345" s="78">
        <f>IF(OR(L345="PENDENTE",L345="EM ANDAMENTO",L345="PENDENTE APROVAÇÃO CANCELAMENTO NF"),TODAY()-O345,X345-O345)</f>
        <v/>
      </c>
      <c r="AA345" s="78">
        <f>IF(Y345="Aberto",Z345+ROW()/100000,"")</f>
        <v/>
      </c>
      <c r="AB345" s="2">
        <f>IF(ISNUMBER(FIND("@cielo.com.br",S345)),"Interno","Externo")</f>
        <v/>
      </c>
      <c r="AC345" t="inlineStr">
        <is>
          <t>Cancelar, substituir ou reemitir nota fiscal.</t>
        </is>
      </c>
      <c r="AD345" t="inlineStr">
        <is>
          <t>cancelamento de nota; cancelamento de notas; cancelamento das notas; seguir com o cancelamento das notas</t>
        </is>
      </c>
      <c r="AE345" t="inlineStr">
        <is>
          <t>Cancelamento de NF</t>
        </is>
      </c>
      <c r="AF345" t="inlineStr">
        <is>
          <t>Documento Fiscal</t>
        </is>
      </c>
      <c r="AG345" t="inlineStr">
        <is>
          <t>Cancelamento e Reemissão de Nota Fiscal</t>
        </is>
      </c>
      <c r="AI345" t="inlineStr">
        <is>
          <t>INT_NF_CANCEL_REEMISSAO</t>
        </is>
      </c>
      <c r="AJ345" t="inlineStr">
        <is>
          <t>Sugerida</t>
        </is>
      </c>
      <c r="AK345" t="b">
        <v>0</v>
      </c>
      <c r="AN345">
        <f>IF(OR(AG345="",AM345=""),"",IF(AG345=AM345,"SIM","NÃO"))</f>
        <v/>
      </c>
      <c r="AO345" t="inlineStr">
        <is>
          <t>CLASSIFIED_PATTERN</t>
        </is>
      </c>
    </row>
    <row r="346" ht="15.5" customHeight="1">
      <c r="A346" s="1" t="n"/>
      <c r="B346" s="67" t="inlineStr">
        <is>
          <t>Amanda Silva</t>
        </is>
      </c>
      <c r="C346" s="70">
        <f>VLOOKUP(I:I,'Referencias '!H:I,2,0)</f>
        <v/>
      </c>
      <c r="D346" s="129" t="n">
        <v>26341250</v>
      </c>
      <c r="E346" s="129" t="inlineStr">
        <is>
          <t>0</t>
        </is>
      </c>
      <c r="F346" s="126" t="inlineStr">
        <is>
          <t>2623311392729</t>
        </is>
      </c>
      <c r="G346" s="72" t="inlineStr">
        <is>
          <t>UNINTER EDUCACIONAL S/A</t>
        </is>
      </c>
      <c r="H346" s="72">
        <f>TRIM(_xlfn.TEXTBEFORE(_xlfn.TEXTAFTER(U346,"CNPJ/CPF:&lt;/strong&gt;"),"&lt;/p&gt;"))</f>
        <v/>
      </c>
      <c r="I346" s="70" t="inlineStr">
        <is>
          <t>Cancelamento de NF</t>
        </is>
      </c>
      <c r="J346" s="72" t="n"/>
      <c r="K346" s="72" t="n"/>
      <c r="L346" s="122" t="inlineStr">
        <is>
          <t>FINALIZADO</t>
        </is>
      </c>
      <c r="M346" s="73" t="inlineStr">
        <is>
          <t>Médio</t>
        </is>
      </c>
      <c r="N346" s="129" t="inlineStr">
        <is>
          <t>1018 Financeiro | Desejo falar com o setor financeiro | UNINTER EDUCACIONAL S/A | ariane.pasilva@cielo.com.br</t>
        </is>
      </c>
      <c r="O346" s="125" t="n">
        <v>46255</v>
      </c>
      <c r="P346" s="123" t="n">
        <v>46255</v>
      </c>
      <c r="Q346" s="177">
        <f>TEXT(O346,"mmm/aaaa")</f>
        <v/>
      </c>
      <c r="R346" s="129" t="inlineStr">
        <is>
          <t>ECOMMERCE BP SUPORTE FINANCEIRO N2</t>
        </is>
      </c>
      <c r="S346" s="129" t="inlineStr">
        <is>
          <t>ariane.pasilva@cielo.com.br</t>
        </is>
      </c>
      <c r="T346" s="129" t="n"/>
      <c r="U346" s="129" t="inlineStr">
        <is>
          <t>Olá, segue formulário enviado para Cielo E-commerce:&lt;p&gt;&lt;strong&gt;Qual seu nome?:&lt;/strong&gt; UNINTER EDUCACIONAL S/A&lt;/p&gt;&lt;p&gt;&lt;strong&gt;Endereço de e-mail:&lt;/strong&gt; ariane.pasilva@cielo.com.br&lt;/p&gt;&lt;p&gt;&lt;strong&gt;CNPJ/CPF:&lt;/strong&gt; 02.261.854/0001-57&lt;/p&gt;&lt;p&gt;&lt;strong&gt;Telefone:&lt;/strong&gt; (11) 97707-1602&lt;/p&gt;&lt;p&gt;&lt;strong&gt;Assunto:&lt;/strong&gt; Cancelamento de notas&lt;/p&gt;&lt;p&gt;&lt;strong&gt;Merchant ID/Estabelecimento Comercial (EC):&lt;/strong&gt; 02.261.854/0001-57&lt;/p&gt;&lt;p&gt;&lt;strong&gt;Sobre qual produto ou área deseja falar?:&lt;/strong&gt; Financeiro&lt;/p&gt;&lt;p&gt;&lt;strong&gt;Como podemos te ajudar?:&lt;/strong&gt; Desejo falar com o setor financeiro&lt;/p&gt;&lt;p&gt;&lt;strong&gt;Descrição do problema:&lt;/strong&gt; Time financeiro, bom dia. Tudo bem?
Poderia, por favor cancelar todas as notas desse cliente?
Em anexo DA comercial.&lt;/p&gt;&lt;p&gt;&lt;strong&gt;GA Client ID:&lt;/strong&gt; 1525925276.1786460073&lt;/p&gt;&lt;p&gt;&lt;strong&gt;Lead Hash ID:&lt;/strong&gt; 2a07344672c93c9ca782cc07cf9dc37d0cd4c270e817a83b9f87f9b32f0130a9&lt;/p&gt;&lt;p&gt;&lt;strong&gt;Lead Form ID:&lt;/strong&gt; 2a07344672c93c9ca782cc07cf9dc37d0cd4c270e817a83b9f87f</t>
        </is>
      </c>
      <c r="V346" s="71">
        <f>IFERROR(_xlfn.TEXTBEFORE(_xlfn.TEXTAFTER(U346,"Descrição do problema:&lt;/strong"),"&lt;/p&gt;"),_xlfn.TEXTAFTER(U346,"Descrição do problema:&lt;/strong"))</f>
        <v/>
      </c>
      <c r="W346" s="76">
        <f>_xlfn.CONCAT(D346:E346)</f>
        <v/>
      </c>
      <c r="X346" s="77" t="n">
        <v>46288</v>
      </c>
      <c r="Y346" s="78">
        <f>IF(X346="","Aberto","Encerrado")</f>
        <v/>
      </c>
      <c r="Z346" s="78">
        <f>IF(OR(L346="PENDENTE",L346="EM ANDAMENTO",L346="PENDENTE APROVAÇÃO CANCELAMENTO NF"),TODAY()-O346,X346-O346)</f>
        <v/>
      </c>
      <c r="AA346" s="78">
        <f>IF(Y346="Aberto",Z346+ROW()/100000,"")</f>
        <v/>
      </c>
      <c r="AB346" s="2">
        <f>IF(ISNUMBER(FIND("@cielo.com.br",S346)),"Interno","Externo")</f>
        <v/>
      </c>
      <c r="AC346" t="inlineStr">
        <is>
          <t>Cancelar, substituir ou reemitir nota fiscal.</t>
        </is>
      </c>
      <c r="AD346" t="inlineStr">
        <is>
          <t>cancelar todas as notas; cancelamento de nota; cancelamento de notas; favor cancelar todas as notas</t>
        </is>
      </c>
      <c r="AE346" t="inlineStr">
        <is>
          <t>Cancelamento de NF</t>
        </is>
      </c>
      <c r="AF346" t="inlineStr">
        <is>
          <t>Documento Fiscal</t>
        </is>
      </c>
      <c r="AG346" t="inlineStr">
        <is>
          <t>Cancelamento e Reemissão de Nota Fiscal</t>
        </is>
      </c>
      <c r="AI346" t="inlineStr">
        <is>
          <t>INT_NF_CANCEL_REEMISSAO</t>
        </is>
      </c>
      <c r="AJ346" t="inlineStr">
        <is>
          <t>Sugerida</t>
        </is>
      </c>
      <c r="AK346" t="b">
        <v>0</v>
      </c>
      <c r="AN346">
        <f>IF(OR(AG346="",AM346=""),"",IF(AG346=AM346,"SIM","NÃO"))</f>
        <v/>
      </c>
      <c r="AO346" t="inlineStr">
        <is>
          <t>CLASSIFIED_PATTERN</t>
        </is>
      </c>
    </row>
    <row r="347" ht="15.5" customHeight="1">
      <c r="A347" s="1" t="n"/>
      <c r="B347" s="67" t="inlineStr">
        <is>
          <t>Emilly Maria</t>
        </is>
      </c>
      <c r="C347" s="70" t="inlineStr">
        <is>
          <t>Pagamentos, Boletos e Recebimentos</t>
        </is>
      </c>
      <c r="D347" s="129" t="n">
        <v>26503309</v>
      </c>
      <c r="E347" s="129" t="inlineStr">
        <is>
          <t>0</t>
        </is>
      </c>
      <c r="F347" s="126" t="inlineStr">
        <is>
          <t>2623717497663</t>
        </is>
      </c>
      <c r="G347" s="72">
        <f>VLOOKUP(H:H,'Referencias '!B:C,2,0)</f>
        <v/>
      </c>
      <c r="H347" s="72">
        <f>TRIM(_xlfn.TEXTBEFORE(_xlfn.TEXTAFTER(U347,"CNPJ/CPF:&lt;/strong&gt;"),"&lt;/p&gt;"))</f>
        <v/>
      </c>
      <c r="I347" s="70" t="inlineStr">
        <is>
          <t>Informações cobrança</t>
        </is>
      </c>
      <c r="J347" s="72" t="n"/>
      <c r="K347" s="72" t="n"/>
      <c r="L347" s="70" t="inlineStr">
        <is>
          <t>FINALIZADO</t>
        </is>
      </c>
      <c r="M347" s="73" t="inlineStr">
        <is>
          <t>Médio</t>
        </is>
      </c>
      <c r="N347" s="129" t="inlineStr">
        <is>
          <t>1018 Financeiro | Desejo falar com o setor financeiro | Inove Online | inoveonline0904@gmail.com</t>
        </is>
      </c>
      <c r="O347" s="125" t="n">
        <v>46259</v>
      </c>
      <c r="P347" s="123" t="n">
        <v>46260</v>
      </c>
      <c r="Q347" s="177">
        <f>TEXT(O347,"mmm/aaaa")</f>
        <v/>
      </c>
      <c r="R347" s="129" t="inlineStr">
        <is>
          <t>ECOMMERCE BP SUPORTE FINANCEIRO N2</t>
        </is>
      </c>
      <c r="S347" s="129" t="inlineStr">
        <is>
          <t>inoveonline0904@gmail.com</t>
        </is>
      </c>
      <c r="T347" s="129" t="inlineStr">
        <is>
          <t>INOVE ONLINE LTDA</t>
        </is>
      </c>
      <c r="U347" s="129" t="inlineStr">
        <is>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Pendencias Financeiras&lt;/p&gt;&lt;p&gt;&lt;strong&gt;Merchant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Quero saber se tenho alguma pendencia financeira com voces! se puderem me encaminhar as guias com os descritivos por email caso tenha por gentileza&lt;/p&gt;&lt;p&gt;&lt;strong&gt;GA Client ID:&lt;/strong&gt; 665735818.1783686937&lt;/p&gt;&lt;p&gt;&lt;strong&gt;Lead Hash ID:&lt;/strong&gt; a679912ca6021f94df11b4cae56ea265a8fdc240415072eca5b28f7eb36cd13c&lt;/p&gt;&lt;p&gt;&lt;strong&gt;Lead Form ID:&lt;/strong&gt; a679912ca6021f94df1</t>
        </is>
      </c>
      <c r="V347" s="71">
        <f>IFERROR(_xlfn.TEXTBEFORE(_xlfn.TEXTAFTER(U347,"Descrição do problema:&lt;/strong"),"&lt;/p&gt;"),_xlfn.TEXTAFTER(U347,"Descrição do problema:&lt;/strong"))</f>
        <v/>
      </c>
      <c r="W347" s="76">
        <f>_xlfn.CONCAT(D347:E347)</f>
        <v/>
      </c>
      <c r="X347" s="77" t="n">
        <v>46268</v>
      </c>
      <c r="Y347" s="78">
        <f>IF(X347="","Aberto","Encerrado")</f>
        <v/>
      </c>
      <c r="Z347" s="78">
        <f>IF(OR(L347="PENDENTE",L347="EM ANDAMENTO",L347="PENDENTE APROVAÇÃO CANCELAMENTO NF"),TODAY()-O347,X347-O347)</f>
        <v/>
      </c>
      <c r="AA347" s="78">
        <f>IF(Y347="Aberto",Z347+ROW()/100000,"")</f>
        <v/>
      </c>
      <c r="AB347" s="2">
        <f>IF(ISNUMBER(FIND("@cielo.com.br",S347)),"Interno","Externo")</f>
        <v/>
      </c>
      <c r="AC347" t="inlineStr">
        <is>
          <t>Consultar pagamentos, débitos, pendências ou recebíveis.</t>
        </is>
      </c>
      <c r="AD347" t="inlineStr">
        <is>
          <t>pendência financeira; pendências financeiras</t>
        </is>
      </c>
      <c r="AE347" t="inlineStr">
        <is>
          <t>Consulta financeira</t>
        </is>
      </c>
      <c r="AF347" t="inlineStr">
        <is>
          <t>Título Financeiro</t>
        </is>
      </c>
      <c r="AG347" t="inlineStr">
        <is>
          <t>Pagamentos, Boletos e Recebimentos</t>
        </is>
      </c>
      <c r="AI347" t="inlineStr">
        <is>
          <t>INT_PAG_FINANCEIRO</t>
        </is>
      </c>
      <c r="AJ347" t="inlineStr">
        <is>
          <t>Sugerida</t>
        </is>
      </c>
      <c r="AK347" t="b">
        <v>0</v>
      </c>
      <c r="AN347">
        <f>IF(OR(AG347="",AM347=""),"",IF(AG347=AM347,"SIM","NÃO"))</f>
        <v/>
      </c>
      <c r="AO347" t="inlineStr">
        <is>
          <t>CLASSIFIED_PATTERN</t>
        </is>
      </c>
    </row>
    <row r="348" ht="15.5" customHeight="1">
      <c r="A348" s="1" t="n"/>
      <c r="B348" s="67" t="inlineStr">
        <is>
          <t>Emilly Maria</t>
        </is>
      </c>
      <c r="C348" s="70">
        <f>VLOOKUP(I:I,'Referencias '!H:I,2,0)</f>
        <v/>
      </c>
      <c r="D348" s="129" t="n">
        <v>26476108</v>
      </c>
      <c r="E348" s="129" t="inlineStr">
        <is>
          <t>0</t>
        </is>
      </c>
      <c r="F348" s="126" t="inlineStr">
        <is>
          <t>2623712480655</t>
        </is>
      </c>
      <c r="G348" s="72">
        <f>VLOOKUP(H:H,'Referencias '!B:C,2,0)</f>
        <v/>
      </c>
      <c r="H348" s="72">
        <f>TRIM(_xlfn.TEXTBEFORE(_xlfn.TEXTAFTER(U348,"CNPJ/CPF:&lt;/strong&gt;"),"&lt;/p&gt;"))</f>
        <v/>
      </c>
      <c r="I348" s="70" t="inlineStr">
        <is>
          <t>Cancelamento de NF / reemissão</t>
        </is>
      </c>
      <c r="J348" s="72" t="n"/>
      <c r="K348" s="72" t="n"/>
      <c r="L348" s="122" t="inlineStr">
        <is>
          <t>PENDENTE</t>
        </is>
      </c>
      <c r="M348" s="73" t="inlineStr">
        <is>
          <t>Médio</t>
        </is>
      </c>
      <c r="N348" s="129" t="inlineStr">
        <is>
          <t>1018 Financeiro | Desejo falar com o setor financeiro | SMILES VIAGENS E TURISMO S.A. | ariane.pasilva@cielo.com.br</t>
        </is>
      </c>
      <c r="O348" s="125" t="n">
        <v>46259</v>
      </c>
      <c r="P348" s="123" t="n">
        <v>46259</v>
      </c>
      <c r="Q348" s="177">
        <f>TEXT(O348,"mmm/aaaa")</f>
        <v/>
      </c>
      <c r="R348" s="129" t="inlineStr">
        <is>
          <t>ECOMMERCE BP SUPORTE FINANCEIRO N2</t>
        </is>
      </c>
      <c r="S348" s="129" t="inlineStr">
        <is>
          <t>ariane.pasilva@cielo.com.br</t>
        </is>
      </c>
      <c r="T348" s="129" t="inlineStr">
        <is>
          <t>SMILES VIAGENS E TURISMO SA</t>
        </is>
      </c>
      <c r="U348" s="129" t="inlineStr">
        <is>
          <t>Olá, segue formulário enviado para Cielo E-commerce:&lt;p&gt;&lt;strong&gt;Qual seu nome?:&lt;/strong&gt; SMILES VIAGENS E TURISMO S.A.&lt;/p&gt;&lt;p&gt;&lt;strong&gt;Endereço de e-mail:&lt;/strong&gt; ariane.pasilva@cielo.com.br&lt;/p&gt;&lt;p&gt;&lt;strong&gt;CNPJ/CPF:&lt;/strong&gt; 27.413.812/0001-15&lt;/p&gt;&lt;p&gt;&lt;strong&gt;Assunto:&lt;/strong&gt; Substituição de notas&lt;/p&gt;&lt;p&gt;&lt;strong&gt;Merchant ID/Estabelecimento Comercial (EC):&lt;/strong&gt; 27413812000115&lt;/p&gt;&lt;p&gt;&lt;strong&gt;Telefone:&lt;/strong&gt; (11) 97707-1602&lt;/p&gt;&lt;p&gt;&lt;strong&gt;Sobre qual produto ou área deseja falar?:&lt;/strong&gt; Financeiro&lt;/p&gt;&lt;p&gt;&lt;strong&gt;Como podemos te ajudar?:&lt;/strong&gt; Desejo falar com o setor financeiro&lt;/p&gt;&lt;p&gt;&lt;strong&gt;Descrição do problema:&lt;/strong&gt; Time financeiro. Boa tarde. Tudo bem?
Por favor, solicito a substituição das notas fiscais do cliente, para constar a informação:
PO: 6300412390
Notas para serem substituídas:
098362
098600
100080
100251
102274
102568
104130
104509
106740
106803
108389
108752
110344
110718
112946
113111
114880
115100
117146
117281
119439
119601
IMPORTANTE: Para as demais notas e</t>
        </is>
      </c>
      <c r="V348" s="71">
        <f>IFERROR(_xlfn.TEXTBEFORE(_xlfn.TEXTAFTER(U348,"Descrição do problema:&lt;/strong"),"&lt;/p&gt;"),_xlfn.TEXTAFTER(U348,"Descrição do problema:&lt;/strong"))</f>
        <v/>
      </c>
      <c r="W348" s="76">
        <f>_xlfn.CONCAT(D348:E348)</f>
        <v/>
      </c>
      <c r="X348" s="77" t="n"/>
      <c r="Y348" s="78">
        <f>IF(X348="","Aberto","Encerrado")</f>
        <v/>
      </c>
      <c r="Z348" s="78">
        <f>IF(OR(L348="PENDENTE",L348="EM ANDAMENTO",L348="PENDENTE APROVAÇÃO CANCELAMENTO NF"),TODAY()-O348,X348-O348)</f>
        <v/>
      </c>
      <c r="AA348" s="78">
        <f>IF(Y348="Aberto",Z348+ROW()/100000,"")</f>
        <v/>
      </c>
      <c r="AB348" s="2">
        <f>IF(ISNUMBER(FIND("@cielo.com.br",S348)),"Interno","Externo")</f>
        <v/>
      </c>
      <c r="AC348" t="inlineStr">
        <is>
          <t>Substituir ou reemitir NF com PO.</t>
        </is>
      </c>
      <c r="AD348" t="inlineStr">
        <is>
          <t>ACAO:PO; ACAO:SUBSTITUIR; OBJETO:NOTA_FISCAL; OBJETO:PO; CANAL:PO</t>
        </is>
      </c>
      <c r="AE348" t="inlineStr">
        <is>
          <t>Reemissão de NF com PO</t>
        </is>
      </c>
      <c r="AF348" t="inlineStr">
        <is>
          <t>Documento Fiscal</t>
        </is>
      </c>
      <c r="AG348" t="inlineStr">
        <is>
          <t>Cancelamento e Reemissão de Nota Fiscal</t>
        </is>
      </c>
      <c r="AI348" t="inlineStr">
        <is>
          <t>INT_NF_REEMISSAO_PO</t>
        </is>
      </c>
      <c r="AJ348" t="inlineStr">
        <is>
          <t>Sugerida</t>
        </is>
      </c>
      <c r="AK348" t="b">
        <v>0</v>
      </c>
      <c r="AN348">
        <f>IF(OR(AG348="",AM348=""),"",IF(AG348=AM348,"SIM","NÃO"))</f>
        <v/>
      </c>
      <c r="AO348" t="inlineStr">
        <is>
          <t>CLASSIFIED_SIGNATURE</t>
        </is>
      </c>
    </row>
    <row r="349" ht="15.5" customHeight="1">
      <c r="A349" s="1" t="n"/>
      <c r="B349" s="67" t="inlineStr">
        <is>
          <t>Amanda Silva</t>
        </is>
      </c>
      <c r="C349" s="70">
        <f>VLOOKUP(I:I,'Referencias '!H:I,2,0)</f>
        <v/>
      </c>
      <c r="D349" s="129" t="n">
        <v>26448888</v>
      </c>
      <c r="E349" s="129" t="inlineStr">
        <is>
          <t>26404867</t>
        </is>
      </c>
      <c r="F349" s="126" t="inlineStr">
        <is>
          <t>2623620463112</t>
        </is>
      </c>
      <c r="G349" s="72" t="inlineStr">
        <is>
          <t>BRISANET SERVIOS DE TELECOMUNICACOES S.A.</t>
        </is>
      </c>
      <c r="H349" s="72" t="inlineStr">
        <is>
          <t>04.601.397/0001-28</t>
        </is>
      </c>
      <c r="I349" s="70" t="inlineStr">
        <is>
          <t>Informações geral</t>
        </is>
      </c>
      <c r="J349" s="72" t="n"/>
      <c r="K349" s="72" t="n"/>
      <c r="L349" s="122" t="inlineStr">
        <is>
          <t>PENDENTE</t>
        </is>
      </c>
      <c r="M349" s="73" t="inlineStr">
        <is>
          <t>Médio</t>
        </is>
      </c>
      <c r="N349" s="129" t="inlineStr">
        <is>
          <t>Re: Solicitação de detalhamento de transações e identificação de créditos</t>
        </is>
      </c>
      <c r="O349" s="125" t="n">
        <v>46258</v>
      </c>
      <c r="P349" s="123" t="n">
        <v>46259</v>
      </c>
      <c r="Q349" s="177">
        <f>TEXT(O349,"mmm/aaaa")</f>
        <v/>
      </c>
      <c r="R349" s="129" t="inlineStr">
        <is>
          <t>ECOMMERCE BP SUPORTE FINANCEIRO N2</t>
        </is>
      </c>
      <c r="S349" s="129" t="inlineStr">
        <is>
          <t>patricianogueira@grupobrisanet.com.br</t>
        </is>
      </c>
      <c r="T349" s="129" t="inlineStr"/>
      <c r="U349" s="129" t="n"/>
      <c r="V349" s="71">
        <f>IFERROR(_xlfn.TEXTBEFORE(_xlfn.TEXTAFTER(U349,"Descrição do problema:&lt;/strong"),"&lt;/p&gt;"),_xlfn.TEXTAFTER(U349,"Descrição do problema:&lt;/strong"))</f>
        <v/>
      </c>
      <c r="W349" s="76">
        <f>_xlfn.CONCAT(D349:E349)</f>
        <v/>
      </c>
      <c r="X349" s="77" t="n"/>
      <c r="Y349" s="78">
        <f>IF(X349="","Aberto","Encerrado")</f>
        <v/>
      </c>
      <c r="Z349" s="78">
        <f>IF(OR(L349="PENDENTE",L349="EM ANDAMENTO",L349="PENDENTE APROVAÇÃO CANCELAMENTO NF"),TODAY()-O349,X349-O349)</f>
        <v/>
      </c>
      <c r="AA349" s="78">
        <f>IF(Y349="Aberto",Z349+ROW()/100000,"")</f>
        <v/>
      </c>
      <c r="AB349" s="2">
        <f>IF(ISNUMBER(FIND("@cielo.com.br",S349)),"Interno","Externo")</f>
        <v/>
      </c>
      <c r="AD349" t="inlineStr"/>
      <c r="AJ349" t="inlineStr">
        <is>
          <t>Sem correspondência</t>
        </is>
      </c>
      <c r="AK349" t="b">
        <v>0</v>
      </c>
      <c r="AN349">
        <f>IF(OR(AG349="",AM349=""),"",IF(AG349=AM349,"SIM","NÃO"))</f>
        <v/>
      </c>
      <c r="AO349" t="inlineStr">
        <is>
          <t>NO_PATTERN</t>
        </is>
      </c>
    </row>
    <row r="350" ht="15.5" customHeight="1">
      <c r="A350" s="1" t="n"/>
      <c r="B350" s="67" t="inlineStr">
        <is>
          <t>Stephany Lima</t>
        </is>
      </c>
      <c r="C350" s="70" t="inlineStr">
        <is>
          <t>Contratos, Comercial e Cadastro</t>
        </is>
      </c>
      <c r="D350" s="129" t="n">
        <v>26446053</v>
      </c>
      <c r="E350" s="129" t="inlineStr">
        <is>
          <t>0</t>
        </is>
      </c>
      <c r="F350" s="126" t="inlineStr">
        <is>
          <t>2623618461443</t>
        </is>
      </c>
      <c r="G350" s="72">
        <f>VLOOKUP(H:H,'Referencias '!B:C,2,0)</f>
        <v/>
      </c>
      <c r="H350" s="72">
        <f>TRIM(_xlfn.TEXTBEFORE(_xlfn.TEXTAFTER(U350,"CNPJ/CPF:&lt;/strong&gt;"),"&lt;/p&gt;"))</f>
        <v/>
      </c>
      <c r="I350" s="70" t="inlineStr">
        <is>
          <t>Atualização cadastral reajuste contrato</t>
        </is>
      </c>
      <c r="J350" s="72" t="n"/>
      <c r="K350" s="72" t="n"/>
      <c r="L350" s="122" t="inlineStr">
        <is>
          <t>PENDENTE</t>
        </is>
      </c>
      <c r="M350" s="73" t="inlineStr">
        <is>
          <t>Médio</t>
        </is>
      </c>
      <c r="N350" s="129" t="inlineStr">
        <is>
          <t>1018 Financeiro | Desejo falar com o setor financeiro | Larissa Venancio Nascimento Araujo | larissave@cielo.com.br</t>
        </is>
      </c>
      <c r="O350" s="125" t="n">
        <v>46258</v>
      </c>
      <c r="P350" s="123" t="n">
        <v>46259</v>
      </c>
      <c r="Q350" s="177">
        <f>TEXT(O350,"mmm/aaaa")</f>
        <v/>
      </c>
      <c r="R350" s="129" t="inlineStr">
        <is>
          <t>ECOMMERCE BP SUPORTE FINANCEIRO N2</t>
        </is>
      </c>
      <c r="S350" s="129" t="inlineStr">
        <is>
          <t>larissave@cielo.com.br</t>
        </is>
      </c>
      <c r="T350" s="129" t="inlineStr">
        <is>
          <t>BB SEGUROS ALIANCA BR</t>
        </is>
      </c>
      <c r="U350" s="129" t="inlineStr">
        <is>
          <t>Olá, segue formulário enviado para Cielo E-commerce:&lt;p&gt;&lt;strong&gt;Qual seu nome?:&lt;/strong&gt; Larissa Venancio Nascimento Araujo&lt;/p&gt;&lt;p&gt;&lt;strong&gt;Endereço de e-mail:&lt;/strong&gt; larissave@cielo.com.br&lt;/p&gt;&lt;p&gt;&lt;strong&gt;CNPJ/CPF:&lt;/strong&gt; 28.196.889/0001-43&lt;/p&gt;&lt;p&gt;&lt;strong&gt;Merchant ID/Estabelecimento Comercial (EC):&lt;/strong&gt; 28.196.889/0001-43&lt;/p&gt;&lt;p&gt;&lt;strong&gt;Telefone:&lt;/strong&gt; (11) 97622-8821&lt;/p&gt;&lt;p&gt;&lt;strong&gt;Assunto:&lt;/strong&gt; Renovação com renegociação de preços - BrasilSeg&lt;/p&gt;&lt;p&gt;&lt;strong&gt;Sobre qual produto ou área deseja falar?:&lt;/strong&gt; Financeiro&lt;/p&gt;&lt;p&gt;&lt;strong&gt;Como podemos te ajudar?:&lt;/strong&gt; Desejo falar com o setor financeiro&lt;/p&gt;&lt;p&gt;&lt;strong&gt;Descrição do problema:&lt;/strong&gt; Boa tarde time, 
Assinamos novo termo de adesão com a BrasilSeg 28.196.889/0001-43, devido ao contrato anterior ser do modelo antigo. 
Observem que houve reajuste de preços e minimos mensais. 
Segue a oportunidade no salesforce:
https://braspag.lightning.force.com/lightning/r/Opportunity/006Np00001cIci0IAC/view
Qualquer duvida avise</t>
        </is>
      </c>
      <c r="V350" s="71">
        <f>IFERROR(_xlfn.TEXTBEFORE(_xlfn.TEXTAFTER(U350,"Descrição do problema:&lt;/strong"),"&lt;/p&gt;"),_xlfn.TEXTAFTER(U350,"Descrição do problema:&lt;/strong"))</f>
        <v/>
      </c>
      <c r="W350" s="76">
        <f>_xlfn.CONCAT(D350:E350)</f>
        <v/>
      </c>
      <c r="X350" s="77" t="n"/>
      <c r="Y350" s="78">
        <f>IF(X350="","Aberto","Encerrado")</f>
        <v/>
      </c>
      <c r="Z350" s="78">
        <f>IF(OR(L350="PENDENTE",L350="EM ANDAMENTO",L350="PENDENTE APROVAÇÃO CANCELAMENTO NF"),TODAY()-O350,X350-O350)</f>
        <v/>
      </c>
      <c r="AA350" s="78">
        <f>IF(Y350="Aberto",Z350+ROW()/100000,"")</f>
        <v/>
      </c>
      <c r="AB350" s="2">
        <f>IF(ISNUMBER(FIND("@cielo.com.br",S350)),"Interno","Externo")</f>
        <v/>
      </c>
      <c r="AC350" t="inlineStr">
        <is>
          <t>Alterar, renegociar ou atualizar condições comerciais ou contratuais.</t>
        </is>
      </c>
      <c r="AD350" t="inlineStr">
        <is>
          <t>renegociação + contrato; novo termo de adesão; ajuste de preços</t>
        </is>
      </c>
      <c r="AE350" t="inlineStr">
        <is>
          <t>Pendente retorno comercial</t>
        </is>
      </c>
      <c r="AF350" t="inlineStr">
        <is>
          <t>Contrato/Cadastro</t>
        </is>
      </c>
      <c r="AG350" t="inlineStr">
        <is>
          <t>Contratos, Comercial e Cadastro</t>
        </is>
      </c>
      <c r="AI350" t="inlineStr">
        <is>
          <t>INT_CON_CONDICOES</t>
        </is>
      </c>
      <c r="AJ350" t="inlineStr">
        <is>
          <t>Sugerida</t>
        </is>
      </c>
      <c r="AK350" t="b">
        <v>0</v>
      </c>
      <c r="AN350">
        <f>IF(OR(AG350="",AM350=""),"",IF(AG350=AM350,"SIM","NÃO"))</f>
        <v/>
      </c>
      <c r="AO350" t="inlineStr">
        <is>
          <t>CLASSIFIED_PATTERN</t>
        </is>
      </c>
    </row>
    <row r="351" ht="15.5" customHeight="1">
      <c r="A351" s="1" t="n"/>
      <c r="B351" s="67" t="inlineStr">
        <is>
          <t>Amanda Silva</t>
        </is>
      </c>
      <c r="C351" s="122" t="inlineStr">
        <is>
          <t>Pagamentos, Boletos e Recebimentos</t>
        </is>
      </c>
      <c r="D351" s="129" t="n">
        <v>26443578</v>
      </c>
      <c r="E351" s="129" t="inlineStr">
        <is>
          <t>0</t>
        </is>
      </c>
      <c r="F351" s="126" t="inlineStr">
        <is>
          <t>2623617460010</t>
        </is>
      </c>
      <c r="G351" s="126">
        <f>VLOOKUP(H:H,'Referencias '!B:C,2,0)</f>
        <v/>
      </c>
      <c r="H351" s="126">
        <f>TRIM(_xlfn.TEXTBEFORE(_xlfn.TEXTAFTER(U351,"CNPJ/CPF:&lt;/strong&gt;"),"&lt;/p&gt;"))</f>
        <v/>
      </c>
      <c r="I351" s="122" t="inlineStr">
        <is>
          <t>Informações cobrança</t>
        </is>
      </c>
      <c r="J351" s="126" t="n"/>
      <c r="K351" s="126" t="inlineStr">
        <is>
          <t>Cliente</t>
        </is>
      </c>
      <c r="L351" s="70" t="inlineStr">
        <is>
          <t>FINALIZADO</t>
        </is>
      </c>
      <c r="M351" s="127" t="inlineStr">
        <is>
          <t>Médio</t>
        </is>
      </c>
      <c r="N351" s="129" t="inlineStr">
        <is>
          <t>1018 Financeiro | Desejo falar com o setor financeiro | Maria Eduarda | marketing01@centermega.com.br</t>
        </is>
      </c>
      <c r="O351" s="125" t="n">
        <v>46258</v>
      </c>
      <c r="P351" s="123" t="n">
        <v>46259</v>
      </c>
      <c r="Q351" s="178">
        <f>TEXT(O351,"mmm/aaaa")</f>
        <v/>
      </c>
      <c r="R351" s="129" t="inlineStr">
        <is>
          <t>ECOMMERCE BP SUPORTE FINANCEIRO N2</t>
        </is>
      </c>
      <c r="S351" s="129" t="inlineStr">
        <is>
          <t>marketing01@centermega.com.br</t>
        </is>
      </c>
      <c r="T351" s="129" t="inlineStr">
        <is>
          <t>CENTER MEGA C M CONSTR</t>
        </is>
      </c>
      <c r="U351" s="129" t="inlineStr">
        <is>
          <t>Olá, segue formulário enviado para Cielo E-commerce:&lt;p&gt;&lt;strong&gt;Qual seu nome?:&lt;/strong&gt; Maria Eduarda&lt;/p&gt;&lt;p&gt;&lt;strong&gt;Endereço de e-mail:&lt;/strong&gt; marketing01@centermega.com.br&lt;/p&gt;&lt;p&gt;&lt;strong&gt;CNPJ/CPF:&lt;/strong&gt; 05.164.667/0001-43&lt;/p&gt;&lt;p&gt;&lt;strong&gt;Telefone:&lt;/strong&gt; (11) 96342-6342&lt;/p&gt;&lt;p&gt;&lt;strong&gt;Assunto:&lt;/strong&gt; Nota fiscal duplicada&lt;/p&gt;&lt;p&gt;&lt;strong&gt;Merchant ID/Estabelecimento Comercial (EC):&lt;/strong&gt; 2411222b-66fd-437b-8449-956479b03896&lt;/p&gt;&lt;p&gt;&lt;strong&gt;Sobre qual produto ou área deseja falar?:&lt;/strong&gt; Financeiro&lt;/p&gt;&lt;p&gt;&lt;strong&gt;Como podemos te ajudar?:&lt;/strong&gt; Desejo falar com o setor financeiro&lt;/p&gt;&lt;p&gt;&lt;strong&gt;Descrição do problema:&lt;/strong&gt; Estamos com uma cobrança duplcada em nosso banco. 
Nós recebemos por email a 119965 a qual realizamos o incluimento do pagamento porém o nosso financeiro contastou a cobrança duplicada da nota 2119965 e precisamos que ela seja retirada do banco&lt;/p&gt;&lt;p&gt;&lt;strong&gt;GA Client ID:&lt;/strong&gt; 711702860.1764352427&lt;/p&gt;&lt;p&gt;&lt;strong&gt;Lead Hash ID:&lt;/strong&gt; 36355055b65f583d841</t>
        </is>
      </c>
      <c r="V351" s="129">
        <f>IFERROR(_xlfn.TEXTBEFORE(_xlfn.TEXTAFTER(U351,"Descrição do problema:&lt;/strong"),"&lt;/p&gt;"),_xlfn.TEXTAFTER(U351,"Descrição do problema:&lt;/strong"))</f>
        <v/>
      </c>
      <c r="W351" s="130">
        <f>_xlfn.CONCAT(D351:E351)</f>
        <v/>
      </c>
      <c r="X351" s="77" t="n">
        <v>46279</v>
      </c>
      <c r="Y351" s="78">
        <f>IF(X351="","Aberto","Encerrado")</f>
        <v/>
      </c>
      <c r="Z351" s="78">
        <f>IF(OR(L351="PENDENTE",L351="EM ANDAMENTO",L351="PENDENTE APROVAÇÃO CANCELAMENTO NF"),TODAY()-O351,X351-O351)</f>
        <v/>
      </c>
      <c r="AA351" s="78">
        <f>IF(Y351="Aberto",Z351+ROW()/100000,"")</f>
        <v/>
      </c>
      <c r="AB351" s="2">
        <f>IF(ISNUMBER(FIND("@cielo.com.br",S351)),"Interno","Externo")</f>
        <v/>
      </c>
      <c r="AC351" t="inlineStr">
        <is>
          <t>Corrigir cobrança ou pagamento em duplicidade.</t>
        </is>
      </c>
      <c r="AD351" t="inlineStr">
        <is>
          <t>cobrança duplicada; nota fiscal duplicada; cobrança + duplicada</t>
        </is>
      </c>
      <c r="AE351" t="inlineStr">
        <is>
          <t>Duplicidade de cobrança</t>
        </is>
      </c>
      <c r="AF351" t="inlineStr">
        <is>
          <t>Valor Cobrado</t>
        </is>
      </c>
      <c r="AG351" t="inlineStr">
        <is>
          <t>Cobrança e Contestação</t>
        </is>
      </c>
      <c r="AI351" t="inlineStr">
        <is>
          <t>INT_COB_DUPLICIDADE</t>
        </is>
      </c>
      <c r="AJ351" t="inlineStr">
        <is>
          <t>Sugerida</t>
        </is>
      </c>
      <c r="AK351" t="b">
        <v>0</v>
      </c>
      <c r="AN351">
        <f>IF(OR(AG351="",AM351=""),"",IF(AG351=AM351,"SIM","NÃO"))</f>
        <v/>
      </c>
      <c r="AO351" t="inlineStr">
        <is>
          <t>CLASSIFIED_PATTERN</t>
        </is>
      </c>
    </row>
    <row r="352" ht="15.5" customHeight="1">
      <c r="A352" s="1" t="n"/>
      <c r="B352" s="67" t="inlineStr">
        <is>
          <t>Amanda Silva</t>
        </is>
      </c>
      <c r="C352" s="70">
        <f>VLOOKUP(I:I,'Referencias '!H:I,2,0)</f>
        <v/>
      </c>
      <c r="D352" s="129" t="n">
        <v>26431641</v>
      </c>
      <c r="E352" s="129" t="inlineStr">
        <is>
          <t>0</t>
        </is>
      </c>
      <c r="F352" s="126" t="inlineStr">
        <is>
          <t>2623615452431</t>
        </is>
      </c>
      <c r="G352" s="72">
        <f>VLOOKUP(H:H,'Referencias '!B:C,2,0)</f>
        <v/>
      </c>
      <c r="H352" s="72">
        <f>TRIM(_xlfn.TEXTBEFORE(_xlfn.TEXTAFTER(U352,"CNPJ/CPF:&lt;/strong&gt;"),"&lt;/p&gt;"))</f>
        <v/>
      </c>
      <c r="I352" s="70" t="inlineStr">
        <is>
          <t>Contestação de cobrança</t>
        </is>
      </c>
      <c r="J352" s="72" t="n"/>
      <c r="K352" s="72" t="n"/>
      <c r="L352" s="122" t="inlineStr">
        <is>
          <t>PENDENTE</t>
        </is>
      </c>
      <c r="M352" s="73" t="inlineStr">
        <is>
          <t>Médio</t>
        </is>
      </c>
      <c r="N352" s="129" t="inlineStr">
        <is>
          <t>1018 Financeiro | Desejo falar com o setor financeiro | José Deyfeson Fernandes Ribeiro | jose.ribeiro@pneubras.com</t>
        </is>
      </c>
      <c r="O352" s="125" t="n">
        <v>46258</v>
      </c>
      <c r="P352" s="123" t="n">
        <v>46258</v>
      </c>
      <c r="Q352" s="177">
        <f>TEXT(O352,"mmm/aaaa")</f>
        <v/>
      </c>
      <c r="R352" s="129" t="inlineStr">
        <is>
          <t>ECOMMERCE BP SUPORTE FINANCEIRO N2</t>
        </is>
      </c>
      <c r="S352" s="129" t="inlineStr">
        <is>
          <t>jose.ribeiro@pneubras.com</t>
        </is>
      </c>
      <c r="T352" s="129" t="inlineStr">
        <is>
          <t>PNEUBRAS</t>
        </is>
      </c>
      <c r="U352" s="129" t="inlineStr">
        <is>
          <t>Olá, segue formulário enviado para Cielo E-commerce:&lt;p&gt;&lt;strong&gt;Qual seu nome?:&lt;/strong&gt; José Deyfeson Fernandes Ribeiro&lt;/p&gt;&lt;p&gt;&lt;strong&gt;Endereço de e-mail:&lt;/strong&gt; jose.ribeiro@pneubras.com&lt;/p&gt;&lt;p&gt;&lt;strong&gt;Telefone:&lt;/strong&gt; (55) 7182-4831&lt;/p&gt;&lt;p&gt;&lt;strong&gt;CNPJ/CPF:&lt;/strong&gt; 08.678.386/0001-05&lt;/p&gt;&lt;p&gt;&lt;strong&gt;Assunto:&lt;/strong&gt; quero saber que analise manual expressa sendo cobrada&lt;/p&gt;&lt;p&gt;&lt;strong&gt;Merchant ID/Estabelecimento Comercial (EC):&lt;/strong&gt; 78fa5976-0218-4890-8394-941c409e5718&lt;/p&gt;&lt;p&gt;&lt;strong&gt;Sobre qual produto ou área deseja falar?:&lt;/strong&gt; Financeiro&lt;/p&gt;&lt;p&gt;&lt;strong&gt;Como podemos te ajudar?:&lt;/strong&gt; Desejo falar com o setor financeiro&lt;/p&gt;&lt;p&gt;&lt;strong&gt;Descrição do problema:&lt;/strong&gt; Boa tarde, 
Está cobrando da fatura da Pneubras a despesa &amp;quot;ANALISE MANUAL EXPRESSA&amp;quot;
01/07/2026 a 31/07/2026: 133 - R$ 1.368,57
01/06/2026 a 30/06/2026: 62 - R$ 637,98
do que se trata essa analise manual, quem solicita?  quem autorizou? veio essa cobrança alta e precisamos validar se a cobrança foi ind</t>
        </is>
      </c>
      <c r="V352" s="71">
        <f>IFERROR(_xlfn.TEXTBEFORE(_xlfn.TEXTAFTER(U352,"Descrição do problema:&lt;/strong"),"&lt;/p&gt;"),_xlfn.TEXTAFTER(U352,"Descrição do problema:&lt;/strong"))</f>
        <v/>
      </c>
      <c r="W352" s="76">
        <f>_xlfn.CONCAT(D352:E352)</f>
        <v/>
      </c>
      <c r="X352" s="77" t="n"/>
      <c r="Y352" s="78">
        <f>IF(X352="","Aberto","Encerrado")</f>
        <v/>
      </c>
      <c r="Z352" s="78">
        <f>IF(OR(L352="PENDENTE",L352="EM ANDAMENTO",L352="PENDENTE APROVAÇÃO CANCELAMENTO NF"),TODAY()-O352,X352-O352)</f>
        <v/>
      </c>
      <c r="AA352" s="78">
        <f>IF(Y352="Aberto",Z352+ROW()/100000,"")</f>
        <v/>
      </c>
      <c r="AB352" s="2">
        <f>IF(ISNUMBER(FIND("@cielo.com.br",S352)),"Interno","Externo")</f>
        <v/>
      </c>
      <c r="AD352" t="inlineStr"/>
      <c r="AJ352" t="inlineStr">
        <is>
          <t>Sem correspondência</t>
        </is>
      </c>
      <c r="AK352" t="b">
        <v>0</v>
      </c>
      <c r="AN352">
        <f>IF(OR(AG352="",AM352=""),"",IF(AG352=AM352,"SIM","NÃO"))</f>
        <v/>
      </c>
      <c r="AO352" t="inlineStr">
        <is>
          <t>NO_PATTERN</t>
        </is>
      </c>
    </row>
    <row r="353" ht="15.5" customHeight="1">
      <c r="A353" s="1" t="n"/>
      <c r="B353" s="67" t="inlineStr">
        <is>
          <t>Amanda Silva</t>
        </is>
      </c>
      <c r="C353" s="70">
        <f>VLOOKUP(I:I,'Referencias '!H:I,2,0)</f>
        <v/>
      </c>
      <c r="D353" s="129" t="n">
        <v>26428781</v>
      </c>
      <c r="E353" s="129" t="inlineStr">
        <is>
          <t>0</t>
        </is>
      </c>
      <c r="F353" s="126" t="inlineStr">
        <is>
          <t>2623615450589</t>
        </is>
      </c>
      <c r="G353" s="72">
        <f>VLOOKUP(H:H,'Referencias '!B:C,2,0)</f>
        <v/>
      </c>
      <c r="H353" s="72">
        <f>TRIM(_xlfn.TEXTBEFORE(_xlfn.TEXTAFTER(U353,"CNPJ/CPF:&lt;/strong&gt;"),"&lt;/p&gt;"))</f>
        <v/>
      </c>
      <c r="I353" s="70" t="inlineStr">
        <is>
          <t>Cancelamento de NF</t>
        </is>
      </c>
      <c r="J353" s="72" t="n"/>
      <c r="K353" s="72" t="n"/>
      <c r="L353" s="122" t="inlineStr">
        <is>
          <t>PENDENTE</t>
        </is>
      </c>
      <c r="M353" s="73" t="inlineStr">
        <is>
          <t>Médio</t>
        </is>
      </c>
      <c r="N353" s="129" t="inlineStr">
        <is>
          <t>1018 Financeiro | Desejo falar com o setor financeiro | EVENTPLACE SOLUCOES DIGITAIS LTDA | ariane.pasilva@cielo.com.br</t>
        </is>
      </c>
      <c r="O353" s="125" t="n">
        <v>46258</v>
      </c>
      <c r="P353" s="123" t="n">
        <v>46258</v>
      </c>
      <c r="Q353" s="177">
        <f>TEXT(O353,"mmm/aaaa")</f>
        <v/>
      </c>
      <c r="R353" s="129" t="inlineStr">
        <is>
          <t>ECOMMERCE BP SUPORTE FINANCEIRO N2</t>
        </is>
      </c>
      <c r="S353" s="129" t="inlineStr">
        <is>
          <t>ariane.pasilva@cielo.com.br</t>
        </is>
      </c>
      <c r="T353" s="129" t="inlineStr"/>
      <c r="U353" s="129" t="inlineStr">
        <is>
          <t>Olá, segue formulário enviado para Cielo E-commerce:&lt;p&gt;&lt;strong&gt;CNPJ/CPF:&lt;/strong&gt; 26.335.362/0001-27&lt;/p&gt;&lt;p&gt;&lt;strong&gt;Qual seu nome?:&lt;/strong&gt; EVENTPLACE SOLUCOES DIGITAIS LTDA&lt;/p&gt;&lt;p&gt;&lt;strong&gt;Endereço de e-mail:&lt;/strong&gt; ariane.pasilva@cielo.com.br&lt;/p&gt;&lt;p&gt;&lt;strong&gt;Telefone:&lt;/strong&gt; (11) 97707-1602&lt;/p&gt;&lt;p&gt;&lt;strong&gt;Assunto:&lt;/strong&gt; Cancelamento de nota&lt;/p&gt;&lt;p&gt;&lt;strong&gt;Merchant ID/Estabelecimento Comercial (EC):&lt;/strong&gt; 26335362000127&lt;/p&gt;&lt;p&gt;&lt;strong&gt;Descrição do problema:&lt;/strong&gt; Pessoal, boa tarde. Tudo bem?
As notas do cliente: 26335362000127
PRECISAM ser canceladas. o chamado que tinha sido aberto: 25501912, não foi encaminhado para o financeiro.
Não foi desvio comercial.
Em anexo, segue novamente o DA para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t>
        </is>
      </c>
      <c r="V353" s="71">
        <f>IFERROR(_xlfn.TEXTBEFORE(_xlfn.TEXTAFTER(U353,"Descrição do problema:&lt;/strong"),"&lt;/p&gt;"),_xlfn.TEXTAFTER(U353,"Descrição do problema:&lt;/strong"))</f>
        <v/>
      </c>
      <c r="W353" s="76">
        <f>_xlfn.CONCAT(D353:E353)</f>
        <v/>
      </c>
      <c r="X353" s="77" t="n"/>
      <c r="Y353" s="78">
        <f>IF(X353="","Aberto","Encerrado")</f>
        <v/>
      </c>
      <c r="Z353" s="78">
        <f>IF(OR(L353="PENDENTE",L353="EM ANDAMENTO",L353="PENDENTE APROVAÇÃO CANCELAMENTO NF"),TODAY()-O353,X353-O353)</f>
        <v/>
      </c>
      <c r="AA353" s="78">
        <f>IF(Y353="Aberto",Z353+ROW()/100000,"")</f>
        <v/>
      </c>
      <c r="AB353" s="2">
        <f>IF(ISNUMBER(FIND("@cielo.com.br",S353)),"Interno","Externo")</f>
        <v/>
      </c>
      <c r="AC353" t="inlineStr">
        <is>
          <t>Cancelar, substituir ou reemitir nota fiscal.</t>
        </is>
      </c>
      <c r="AD353" t="inlineStr">
        <is>
          <t>cancelamento de nota</t>
        </is>
      </c>
      <c r="AE353" t="inlineStr">
        <is>
          <t>Cancelamento de NF</t>
        </is>
      </c>
      <c r="AF353" t="inlineStr">
        <is>
          <t>Documento Fiscal</t>
        </is>
      </c>
      <c r="AG353" t="inlineStr">
        <is>
          <t>Cancelamento e Reemissão de Nota Fiscal</t>
        </is>
      </c>
      <c r="AI353" t="inlineStr">
        <is>
          <t>INT_NF_CANCEL_REEMISSAO</t>
        </is>
      </c>
      <c r="AJ353" t="inlineStr">
        <is>
          <t>Sugerida</t>
        </is>
      </c>
      <c r="AK353" t="b">
        <v>0</v>
      </c>
      <c r="AN353">
        <f>IF(OR(AG353="",AM353=""),"",IF(AG353=AM353,"SIM","NÃO"))</f>
        <v/>
      </c>
      <c r="AO353" t="inlineStr">
        <is>
          <t>CLASSIFIED_PATTERN</t>
        </is>
      </c>
    </row>
    <row r="354" ht="15.5" customHeight="1">
      <c r="A354" s="1" t="n"/>
      <c r="B354" s="67" t="inlineStr">
        <is>
          <t>Amanda Silva</t>
        </is>
      </c>
      <c r="C354" s="70" t="inlineStr">
        <is>
          <t>Faturamento e Obrigações Fiscais</t>
        </is>
      </c>
      <c r="D354" s="129" t="n">
        <v>26416830</v>
      </c>
      <c r="E354" s="129" t="inlineStr">
        <is>
          <t>0</t>
        </is>
      </c>
      <c r="F354" s="126" t="inlineStr">
        <is>
          <t>2623612442746</t>
        </is>
      </c>
      <c r="G354" s="72">
        <f>VLOOKUP(H:H,'Referencias '!B:C,2,0)</f>
        <v/>
      </c>
      <c r="H354" s="72">
        <f>TRIM(_xlfn.TEXTBEFORE(_xlfn.TEXTAFTER(U354,"CNPJ/CPF:&lt;/strong&gt;"),"&lt;/p&gt;"))</f>
        <v/>
      </c>
      <c r="I354" s="70" t="inlineStr">
        <is>
          <t>Correção descritivo nota fiscal</t>
        </is>
      </c>
      <c r="J354" s="72" t="n"/>
      <c r="K354" s="72" t="n"/>
      <c r="L354" s="122" t="inlineStr">
        <is>
          <t>PENDENTE</t>
        </is>
      </c>
      <c r="M354" s="73" t="inlineStr">
        <is>
          <t>Médio</t>
        </is>
      </c>
      <c r="N354" s="129" t="inlineStr">
        <is>
          <t>1018 Financeiro | Desejo falar com o setor financeiro | PAGUEVELOZ INSTITUICAO DE PAGAMENTO | ariane.pasilva@cielo.com.br</t>
        </is>
      </c>
      <c r="O354" s="125" t="n">
        <v>46258</v>
      </c>
      <c r="P354" s="123" t="n">
        <v>46258</v>
      </c>
      <c r="Q354" s="177">
        <f>TEXT(O354,"mmm/aaaa")</f>
        <v/>
      </c>
      <c r="R354" s="129" t="inlineStr">
        <is>
          <t>ECOMMERCE BP SUPORTE FINANCEIRO N2</t>
        </is>
      </c>
      <c r="S354" s="129" t="inlineStr">
        <is>
          <t>ariane.pasilva@cielo.com.br</t>
        </is>
      </c>
      <c r="T354" s="129" t="inlineStr"/>
      <c r="U354" s="129" t="inlineStr">
        <is>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 de NF&lt;/p&gt;&lt;p&gt;&lt;strong&gt;Merchant ID/Estabelecimento Comercial (EC):&lt;/strong&gt; 03816413000137&lt;/p&gt;&lt;p&gt;&lt;strong&gt;Descrição do problema:&lt;/strong&gt; Pessoal, boa tarde.
O cliente precisa que na nota fiscal:63191
Conste o NR° DA PO:97873921 
Por favor, podem corrigir?&lt;/p&gt;&lt;p&gt;&lt;strong&gt;ID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t>
        </is>
      </c>
      <c r="V354" s="71">
        <f>IFERROR(_xlfn.TEXTBEFORE(_xlfn.TEXTAFTER(U354,"Descrição do problema:&lt;/strong"),"&lt;/p&gt;"),_xlfn.TEXTAFTER(U354,"Descrição do problema:&lt;/strong"))</f>
        <v/>
      </c>
      <c r="W354" s="76">
        <f>_xlfn.CONCAT(D354:E354)</f>
        <v/>
      </c>
      <c r="X354" s="77" t="n"/>
      <c r="Y354" s="78">
        <f>IF(X354="","Aberto","Encerrado")</f>
        <v/>
      </c>
      <c r="Z354" s="78">
        <f>IF(OR(L354="PENDENTE",L354="EM ANDAMENTO",L354="PENDENTE APROVAÇÃO CANCELAMENTO NF"),TODAY()-O354,X354-O354)</f>
        <v/>
      </c>
      <c r="AA354" s="78">
        <f>IF(Y354="Aberto",Z354+ROW()/100000,"")</f>
        <v/>
      </c>
      <c r="AB354" s="2">
        <f>IF(ISNUMBER(FIND("@cielo.com.br",S354)),"Interno","Externo")</f>
        <v/>
      </c>
      <c r="AC354" t="inlineStr">
        <is>
          <t>Substituir ou reemitir NF com PO.</t>
        </is>
      </c>
      <c r="AD354" t="inlineStr">
        <is>
          <t>ACAO:PO; ACAO:SUBSTITUIR; OBJETO:NOTA_FISCAL; OBJETO:PO; CANAL:PO</t>
        </is>
      </c>
      <c r="AE354" t="inlineStr">
        <is>
          <t>Reemissão de NF com PO</t>
        </is>
      </c>
      <c r="AF354" t="inlineStr">
        <is>
          <t>Documento Fiscal</t>
        </is>
      </c>
      <c r="AG354" t="inlineStr">
        <is>
          <t>Cancelamento e Reemissão de Nota Fiscal</t>
        </is>
      </c>
      <c r="AI354" t="inlineStr">
        <is>
          <t>INT_NF_REEMISSAO_PO</t>
        </is>
      </c>
      <c r="AJ354" t="inlineStr">
        <is>
          <t>Sugerida</t>
        </is>
      </c>
      <c r="AK354" t="b">
        <v>0</v>
      </c>
      <c r="AN354">
        <f>IF(OR(AG354="",AM354=""),"",IF(AG354=AM354,"SIM","NÃO"))</f>
        <v/>
      </c>
      <c r="AO354" t="inlineStr">
        <is>
          <t>CLASSIFIED_SIGNATURE</t>
        </is>
      </c>
    </row>
    <row r="355" ht="15.5" customHeight="1">
      <c r="A355" s="1" t="n"/>
      <c r="B355" s="67" t="inlineStr">
        <is>
          <t>Amanda Silva</t>
        </is>
      </c>
      <c r="C355" s="70">
        <f>VLOOKUP(I:I,'Referencias '!H:I,2,0)</f>
        <v/>
      </c>
      <c r="D355" s="129" t="n">
        <v>26415900</v>
      </c>
      <c r="E355" s="129" t="inlineStr">
        <is>
          <t>0</t>
        </is>
      </c>
      <c r="F355" s="126" t="inlineStr">
        <is>
          <t>2623612442177</t>
        </is>
      </c>
      <c r="G355" s="72">
        <f>VLOOKUP(H:H,'Referencias '!B:C,2,0)</f>
        <v/>
      </c>
      <c r="H355" s="72">
        <f>TRIM(_xlfn.TEXTBEFORE(_xlfn.TEXTAFTER(U355,"CNPJ/CPF:&lt;/strong&gt;"),"&lt;/p&gt;"))</f>
        <v/>
      </c>
      <c r="I355" s="70" t="inlineStr">
        <is>
          <t>Cancelamento de NF</t>
        </is>
      </c>
      <c r="J355" s="72" t="n"/>
      <c r="K355" s="72" t="n"/>
      <c r="L355" s="70" t="inlineStr">
        <is>
          <t>FINALIZADO</t>
        </is>
      </c>
      <c r="M355" s="73" t="inlineStr">
        <is>
          <t>Médio</t>
        </is>
      </c>
      <c r="N355" s="129" t="inlineStr">
        <is>
          <t>1018 Financeiro | Desejo falar com o setor financeiro | MV INFORMATICA NORDESTE LTDA | ariane.pasilva@cielo.com.br</t>
        </is>
      </c>
      <c r="O355" s="125" t="n">
        <v>46258</v>
      </c>
      <c r="P355" s="123" t="n">
        <v>46258</v>
      </c>
      <c r="Q355" s="177">
        <f>TEXT(O355,"mmm/aaaa")</f>
        <v/>
      </c>
      <c r="R355" s="129" t="inlineStr">
        <is>
          <t>ECOMMERCE BP SUPORTE FINANCEIRO N2</t>
        </is>
      </c>
      <c r="S355" s="129" t="inlineStr">
        <is>
          <t>ariane.pasilva@cielo.com.br</t>
        </is>
      </c>
      <c r="T355" s="129" t="inlineStr"/>
      <c r="U355" s="129" t="inlineStr">
        <is>
          <t>Olá, segue formulário enviado para Cielo E-commerce:&lt;p&gt;&lt;strong&gt;Qual seu nome?:&lt;/strong&gt; MV INFORMATICA NORDESTE LTDA&lt;/p&gt;&lt;p&gt;&lt;strong&gt;CNPJ/CPF:&lt;/strong&gt; 92.306.257/0007-80&lt;/p&gt;&lt;p&gt;&lt;strong&gt;Assunto:&lt;/strong&gt; Cancelamento NF&lt;/p&gt;&lt;p&gt;&lt;strong&gt;Merchant ID/Estabelecimento Comercial (EC):&lt;/strong&gt; 92306257000780&lt;/p&gt;&lt;p&gt;&lt;strong&gt;Endereço de e-mail:&lt;/strong&gt; ariane.pasilva@cielo.com.br&lt;/p&gt;&lt;p&gt;&lt;strong&gt;Sobre qual produto ou área deseja falar?:&lt;/strong&gt; Financeiro&lt;/p&gt;&lt;p&gt;&lt;strong&gt;Como podemos te ajudar?:&lt;/strong&gt; Desejo falar com o setor financeiro&lt;/p&gt;&lt;p&gt;&lt;strong&gt;Descrição do problema:&lt;/strong&gt; Prezados, boa tarde. Tudo bem?
Por favor cancelar as notas emitidas para esse cliente.
Conforme firmado em contrato, o vencimento era para 90 dias após assinatura.&lt;/p&gt;&lt;p&gt;&lt;strong&gt;Telefone:&lt;/strong&gt; (11) 97707-1602&lt;/p&gt;&lt;p&gt;&lt;strong&gt;GA Client ID:&lt;/strong&gt; 1525925276.1786460073&lt;/p&gt;&lt;p&gt;&lt;strong&gt;Lead Hash ID:&lt;/strong&gt; 2a07344672c93c9ca782cc07cf9dc37d0cd4c270e817a83b9f87f9b32f0130a9&lt;/p&gt;&lt;p&gt;&lt;strong&gt;Lead Form ID:&lt;/strong&gt; 2a07344672c</t>
        </is>
      </c>
      <c r="V355" s="71">
        <f>IFERROR(_xlfn.TEXTBEFORE(_xlfn.TEXTAFTER(U355,"Descrição do problema:&lt;/strong"),"&lt;/p&gt;"),_xlfn.TEXTAFTER(U355,"Descrição do problema:&lt;/strong"))</f>
        <v/>
      </c>
      <c r="W355" s="76">
        <f>_xlfn.CONCAT(D355:E355)</f>
        <v/>
      </c>
      <c r="X355" s="77" t="n">
        <v>46261</v>
      </c>
      <c r="Y355" s="78">
        <f>IF(X355="","Aberto","Encerrado")</f>
        <v/>
      </c>
      <c r="Z355" s="78">
        <f>IF(OR(L355="PENDENTE",L355="EM ANDAMENTO",L355="PENDENTE APROVAÇÃO CANCELAMENTO NF"),TODAY()-O355,X355-O355)</f>
        <v/>
      </c>
      <c r="AA355" s="78">
        <f>IF(Y355="Aberto",Z355+ROW()/100000,"")</f>
        <v/>
      </c>
      <c r="AB355" s="2">
        <f>IF(ISNUMBER(FIND("@cielo.com.br",S355)),"Interno","Externo")</f>
        <v/>
      </c>
      <c r="AC355" t="inlineStr">
        <is>
          <t>Cancelar, substituir ou reemitir nota fiscal.</t>
        </is>
      </c>
      <c r="AD355" t="inlineStr">
        <is>
          <t>ACAO:CANCELAR; OBJETO:CONTRATO; OBJETO:NOTA_FISCAL</t>
        </is>
      </c>
      <c r="AE355" t="inlineStr">
        <is>
          <t>Cancelamento de NF</t>
        </is>
      </c>
      <c r="AF355" t="inlineStr">
        <is>
          <t>Documento Fiscal</t>
        </is>
      </c>
      <c r="AG355" t="inlineStr">
        <is>
          <t>Cancelamento e Reemissão de Nota Fiscal</t>
        </is>
      </c>
      <c r="AI355" t="inlineStr">
        <is>
          <t>INT_NF_CANCEL_REEMISSAO</t>
        </is>
      </c>
      <c r="AJ355" t="inlineStr">
        <is>
          <t>Sugerida</t>
        </is>
      </c>
      <c r="AK355" t="b">
        <v>0</v>
      </c>
      <c r="AN355">
        <f>IF(OR(AG355="",AM355=""),"",IF(AG355=AM355,"SIM","NÃO"))</f>
        <v/>
      </c>
      <c r="AO355" t="inlineStr">
        <is>
          <t>CLASSIFIED_SIGNATURE</t>
        </is>
      </c>
    </row>
    <row r="356" ht="15.5" customHeight="1">
      <c r="A356" s="1" t="n"/>
      <c r="B356" s="67" t="inlineStr">
        <is>
          <t>Amanda Silva</t>
        </is>
      </c>
      <c r="C356" s="70">
        <f>VLOOKUP(I:I,'Referencias '!H:I,2,0)</f>
        <v/>
      </c>
      <c r="D356" s="129" t="n">
        <v>26412747</v>
      </c>
      <c r="E356" s="129" t="inlineStr">
        <is>
          <t>0</t>
        </is>
      </c>
      <c r="F356" s="126" t="inlineStr">
        <is>
          <t>2623612440280</t>
        </is>
      </c>
      <c r="G356" s="72" t="inlineStr">
        <is>
          <t>SYNAPCOM COMERCIO ELETRONICO</t>
        </is>
      </c>
      <c r="H356" s="72">
        <f>TRIM(_xlfn.TEXTBEFORE(_xlfn.TEXTAFTER(U356,"CNPJ/CPF:&lt;/strong&gt;"),"&lt;/p&gt;"))</f>
        <v/>
      </c>
      <c r="I356" s="70" t="inlineStr">
        <is>
          <t>Cancelamento de NF</t>
        </is>
      </c>
      <c r="J356" s="72" t="n"/>
      <c r="K356" s="72" t="n"/>
      <c r="L356" s="122" t="inlineStr">
        <is>
          <t>FINALIZADO</t>
        </is>
      </c>
      <c r="M356" s="73" t="inlineStr">
        <is>
          <t>Médio</t>
        </is>
      </c>
      <c r="N356" s="129" t="inlineStr">
        <is>
          <t>1018 Financeiro | Desejo falar com o setor financeiro | INFRACOMMERCE SYNAPCOM COMERCIO ELE | arianede@cielo.com.br</t>
        </is>
      </c>
      <c r="O356" s="125" t="n">
        <v>46258</v>
      </c>
      <c r="P356" s="123" t="n">
        <v>46258</v>
      </c>
      <c r="Q356" s="177">
        <f>TEXT(O356,"mmm/aaaa")</f>
        <v/>
      </c>
      <c r="R356" s="129" t="inlineStr">
        <is>
          <t>ECOMMERCE BP SUPORTE FINANCEIRO N2</t>
        </is>
      </c>
      <c r="S356" s="129" t="inlineStr">
        <is>
          <t>arianede@cielo.com.br</t>
        </is>
      </c>
      <c r="T356" s="129" t="inlineStr">
        <is>
          <t>SYNAPCOM COMERCIO ELETRONICO</t>
        </is>
      </c>
      <c r="U356" s="129" t="inlineStr">
        <is>
          <t>Olá, segue formulário enviado para Cielo E-commerce:&lt;p&gt;&lt;strong&gt;Descrição do problema:&lt;/strong&gt; Time financeiro, boa tarde. Tudo bem?
Favor cancelar toas as notas fiscais desse cliente. 
Em anexo DA comercial.&lt;/p&gt;&lt;p&gt;&lt;strong&gt;Sobre qual produto ou área deseja falar?:&lt;/strong&gt; Financeiro&lt;/p&gt;&lt;p&gt;&lt;strong&gt;Como podemos te ajudar?:&lt;/strong&gt; Desejo falar com o setor financeiro&lt;/p&gt;&lt;p&gt;&lt;strong&gt;CNPJ/CPF:&lt;/strong&gt; 27.932.734/0001-65&lt;/p&gt;&lt;p&gt;&lt;strong&gt;Qual seu nome?:&lt;/strong&gt; INFRACOMMERCE SYNAPCOM COMERCIO ELE&lt;/p&gt;&lt;p&gt;&lt;strong&gt;Endereço de e-mail:&lt;/strong&gt; arianede@cielo.com.br&lt;/p&gt;&lt;p&gt;&lt;strong&gt;Telefone:&lt;/strong&gt; (11) 97707-1602&lt;/p&gt;&lt;p&gt;&lt;strong&gt;Assunto:&lt;/strong&gt; Cancelamento de contrato&lt;/p&gt;&lt;p&gt;&lt;strong&gt;Merchant ID/Estabelecimento Comercial (EC):&lt;/strong&gt; 27.932.734/0001-65&lt;/p&gt;&lt;p&gt;&lt;strong&gt;GA Client ID:&lt;/strong&gt; 1525925276.1786460073&lt;/p&gt;&lt;p&gt;&lt;strong&gt;Lead Hash ID:&lt;/strong&gt; 296feba1dab39cec9a9d28187d1078fcf7638370272db6c0540efa3942ff5f87&lt;/p&gt;&lt;p&gt;&lt;strong&gt;Lead Form ID:&lt;/strong&gt; 296feba1dab39cec9a9d28187d1078fcf7638370272db6c</t>
        </is>
      </c>
      <c r="V356" s="71">
        <f>IFERROR(_xlfn.TEXTBEFORE(_xlfn.TEXTAFTER(U356,"Descrição do problema:&lt;/strong"),"&lt;/p&gt;"),_xlfn.TEXTAFTER(U356,"Descrição do problema:&lt;/strong"))</f>
        <v/>
      </c>
      <c r="W356" s="76">
        <f>_xlfn.CONCAT(D356:E356)</f>
        <v/>
      </c>
      <c r="X356" s="77" t="n">
        <v>46288</v>
      </c>
      <c r="Y356" s="78">
        <f>IF(X356="","Aberto","Encerrado")</f>
        <v/>
      </c>
      <c r="Z356" s="78">
        <f>IF(OR(L356="PENDENTE",L356="EM ANDAMENTO",L356="PENDENTE APROVAÇÃO CANCELAMENTO NF"),TODAY()-O356,X356-O356)</f>
        <v/>
      </c>
      <c r="AA356" s="78">
        <f>IF(Y356="Aberto",Z356+ROW()/100000,"")</f>
        <v/>
      </c>
      <c r="AB356" s="2">
        <f>IF(ISNUMBER(FIND("@cielo.com.br",S356)),"Interno","Externo")</f>
        <v/>
      </c>
      <c r="AC356" t="inlineStr">
        <is>
          <t>Cancelar, substituir ou reemitir nota fiscal.</t>
        </is>
      </c>
      <c r="AD356" t="inlineStr">
        <is>
          <t>ACAO:CANCELAR; OBJETO:CONTRATO; OBJETO:NOTA_FISCAL</t>
        </is>
      </c>
      <c r="AE356" t="inlineStr">
        <is>
          <t>Cancelamento de NF</t>
        </is>
      </c>
      <c r="AF356" t="inlineStr">
        <is>
          <t>Documento Fiscal</t>
        </is>
      </c>
      <c r="AG356" t="inlineStr">
        <is>
          <t>Cancelamento e Reemissão de Nota Fiscal</t>
        </is>
      </c>
      <c r="AI356" t="inlineStr">
        <is>
          <t>INT_NF_CANCEL_REEMISSAO</t>
        </is>
      </c>
      <c r="AJ356" t="inlineStr">
        <is>
          <t>Sugerida</t>
        </is>
      </c>
      <c r="AK356" t="b">
        <v>0</v>
      </c>
      <c r="AN356">
        <f>IF(OR(AG356="",AM356=""),"",IF(AG356=AM356,"SIM","NÃO"))</f>
        <v/>
      </c>
      <c r="AO356" t="inlineStr">
        <is>
          <t>CLASSIFIED_SIGNATURE</t>
        </is>
      </c>
    </row>
    <row r="357" ht="15.5" customHeight="1">
      <c r="A357" s="1" t="n"/>
      <c r="B357" s="67" t="inlineStr">
        <is>
          <t>Amanda Silva</t>
        </is>
      </c>
      <c r="C357" s="70">
        <f>VLOOKUP(I:I,'Referencias '!H:I,2,0)</f>
        <v/>
      </c>
      <c r="D357" s="129" t="n">
        <v>26412296</v>
      </c>
      <c r="E357" s="129" t="inlineStr">
        <is>
          <t>0</t>
        </is>
      </c>
      <c r="F357" s="126" t="inlineStr">
        <is>
          <t>2623612439987</t>
        </is>
      </c>
      <c r="G357" s="72" t="inlineStr">
        <is>
          <t>SYNAPCOM COMERCIO ELETRONICO</t>
        </is>
      </c>
      <c r="H357" s="72">
        <f>TRIM(_xlfn.TEXTBEFORE(_xlfn.TEXTAFTER(U357,"CNPJ/CPF:&lt;/strong&gt;"),"&lt;/p&gt;"))</f>
        <v/>
      </c>
      <c r="I357" s="70" t="inlineStr">
        <is>
          <t>Cancelamento de NF</t>
        </is>
      </c>
      <c r="J357" s="72" t="inlineStr">
        <is>
          <t>Duplicidade de abertura</t>
        </is>
      </c>
      <c r="K357" s="72" t="n"/>
      <c r="L357" s="70" t="inlineStr">
        <is>
          <t>FINALIZADO</t>
        </is>
      </c>
      <c r="M357" s="73" t="inlineStr">
        <is>
          <t>Médio</t>
        </is>
      </c>
      <c r="N357" s="129" t="inlineStr">
        <is>
          <t>1018 Financeiro | Desejo falar com o setor financeiro | INFRACOMMERCE SYNAPCOM COMERCIO ELE | ariane.pasilva@cielo.com.br</t>
        </is>
      </c>
      <c r="O357" s="125" t="n">
        <v>46258</v>
      </c>
      <c r="P357" s="123" t="n">
        <v>46258</v>
      </c>
      <c r="Q357" s="177">
        <f>TEXT(O357,"mmm/aaaa")</f>
        <v/>
      </c>
      <c r="R357" s="129" t="inlineStr">
        <is>
          <t>ECOMMERCE BP SUPORTE FINANCEIRO N2</t>
        </is>
      </c>
      <c r="S357" s="129" t="inlineStr">
        <is>
          <t>ariane.pasilva@cielo.com.br</t>
        </is>
      </c>
      <c r="T357" s="129" t="inlineStr">
        <is>
          <t>SYNAPCOM COMERCIO ELETRONICO</t>
        </is>
      </c>
      <c r="U357" s="129" t="inlineStr">
        <is>
          <t>Olá, segue formulário enviado para Cielo E-commerce:&lt;p&gt;&lt;strong&gt;Qual seu nome?:&lt;/strong&gt; INFRACOMMERCE SYNAPCOM COMERCIO ELE&lt;/p&gt;&lt;p&gt;&lt;strong&gt;Endereço de e-mail:&lt;/strong&gt; ariane.pasilva@cielo.com.br&lt;/p&gt;&lt;p&gt;&lt;strong&gt;CNPJ/CPF:&lt;/strong&gt; 27.932.734/0001-65&lt;/p&gt;&lt;p&gt;&lt;strong&gt;Telefone:&lt;/strong&gt; (11) 97707-1602&lt;/p&gt;&lt;p&gt;&lt;strong&gt;Assunto:&lt;/strong&gt; Cancelamento de notas&lt;/p&gt;&lt;p&gt;&lt;strong&gt;Merchant ID/Estabelecimento Comercial (EC):&lt;/strong&gt; 27932734000165&lt;/p&gt;&lt;p&gt;&lt;strong&gt;Descrição do problema:&lt;/strong&gt; Time financeiro, boa tarde. Tudo bem?
Favor cancelar toas as notas fiscais desse cliente. 
Em anexo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t>
        </is>
      </c>
      <c r="V357" s="71">
        <f>IFERROR(_xlfn.TEXTBEFORE(_xlfn.TEXTAFTER(U357,"Descrição do problema:&lt;/strong"),"&lt;/p&gt;"),_xlfn.TEXTAFTER(U357,"Descrição do problema:&lt;/strong"))</f>
        <v/>
      </c>
      <c r="W357" s="76">
        <f>_xlfn.CONCAT(D357:E357)</f>
        <v/>
      </c>
      <c r="X357" s="77" t="n">
        <v>46261</v>
      </c>
      <c r="Y357" s="78">
        <f>IF(X357="","Aberto","Encerrado")</f>
        <v/>
      </c>
      <c r="Z357" s="78">
        <f>IF(OR(L357="PENDENTE",L357="EM ANDAMENTO",L357="PENDENTE APROVAÇÃO CANCELAMENTO NF"),TODAY()-O357,X357-O357)</f>
        <v/>
      </c>
      <c r="AA357" s="78">
        <f>IF(Y357="Aberto",Z357+ROW()/100000,"")</f>
        <v/>
      </c>
      <c r="AB357" s="2">
        <f>IF(ISNUMBER(FIND("@cielo.com.br",S357)),"Interno","Externo")</f>
        <v/>
      </c>
      <c r="AC357" t="inlineStr">
        <is>
          <t>Cancelar, substituir ou reemitir nota fiscal.</t>
        </is>
      </c>
      <c r="AD357" t="inlineStr">
        <is>
          <t>ACAO:CANCELAR; OBJETO:NOTA_FISCAL</t>
        </is>
      </c>
      <c r="AE357" t="inlineStr">
        <is>
          <t>Cancelamento de NF</t>
        </is>
      </c>
      <c r="AF357" t="inlineStr">
        <is>
          <t>Documento Fiscal</t>
        </is>
      </c>
      <c r="AG357" t="inlineStr">
        <is>
          <t>Cancelamento e Reemissão de Nota Fiscal</t>
        </is>
      </c>
      <c r="AI357" t="inlineStr">
        <is>
          <t>INT_NF_CANCEL_REEMISSAO</t>
        </is>
      </c>
      <c r="AJ357" t="inlineStr">
        <is>
          <t>Sugerida</t>
        </is>
      </c>
      <c r="AK357" t="b">
        <v>0</v>
      </c>
      <c r="AN357">
        <f>IF(OR(AG357="",AM357=""),"",IF(AG357=AM357,"SIM","NÃO"))</f>
        <v/>
      </c>
      <c r="AO357" t="inlineStr">
        <is>
          <t>CLASSIFIED_SIGNATURE</t>
        </is>
      </c>
    </row>
    <row r="358" ht="15.5" customHeight="1">
      <c r="A358" s="1" t="n"/>
      <c r="B358" s="67" t="inlineStr">
        <is>
          <t>Amanda Silva</t>
        </is>
      </c>
      <c r="C358" s="70">
        <f>VLOOKUP(I:I,'Referencias '!H:I,2,0)</f>
        <v/>
      </c>
      <c r="D358" s="129" t="n">
        <v>26742015</v>
      </c>
      <c r="E358" s="129" t="inlineStr">
        <is>
          <t>0</t>
        </is>
      </c>
      <c r="F358" s="126" t="inlineStr">
        <is>
          <t>2624410647554</t>
        </is>
      </c>
      <c r="G358" s="72">
        <f>VLOOKUP(H:H,'Referencias '!B:C,2,0)</f>
        <v/>
      </c>
      <c r="H358" s="72">
        <f>TRIM(_xlfn.TEXTBEFORE(_xlfn.TEXTAFTER(U358,"CNPJ/CPF:&lt;/strong&gt;"),"&lt;/p&gt;"))</f>
        <v/>
      </c>
      <c r="I358" s="70" t="inlineStr">
        <is>
          <t>Informações sobre faturamento</t>
        </is>
      </c>
      <c r="J358" s="72" t="n"/>
      <c r="K358" s="72" t="n"/>
      <c r="L358" s="70" t="inlineStr">
        <is>
          <t>FINALIZADO</t>
        </is>
      </c>
      <c r="M358" s="73" t="inlineStr">
        <is>
          <t>Médio</t>
        </is>
      </c>
      <c r="N358" s="129" t="inlineStr">
        <is>
          <t>1003 Gateway de Pagamento | Estou em produção e tenho uma dúvida | Rafael de Freitas Veloso | contasapagar@drogariaminasbrasil.com.br</t>
        </is>
      </c>
      <c r="O358" s="125" t="n">
        <v>46266</v>
      </c>
      <c r="P358" s="123" t="n">
        <v>46266</v>
      </c>
      <c r="Q358" s="177">
        <f>TEXT(O358,"mmm/aaaa")</f>
        <v/>
      </c>
      <c r="R358" s="129" t="inlineStr">
        <is>
          <t>ECOMMERCE BP SUPORTE FINANCEIRO N2</t>
        </is>
      </c>
      <c r="S358" s="129" t="inlineStr">
        <is>
          <t>contasapagar@drogariaminasbrasil.com.br</t>
        </is>
      </c>
      <c r="T358" s="129" t="inlineStr">
        <is>
          <t>DROGARIA MINAS BRASIL</t>
        </is>
      </c>
      <c r="U358" s="129" t="inlineStr">
        <is>
          <t>Olá, segue formulário enviado para Cielo E-commerce:&lt;p&gt;&lt;strong&gt;Qual seu nome?:&lt;/strong&gt; Rafael de Freitas Veloso&lt;/p&gt;&lt;p&gt;&lt;strong&gt;Endereço de e-mail:&lt;/strong&gt; contasapagar@drogariaminasbrasil.com.br&lt;/p&gt;&lt;p&gt;&lt;strong&gt;Telefone:&lt;/strong&gt; (38) 99822-0837&lt;/p&gt;&lt;p&gt;&lt;strong&gt;CNPJ/CPF:&lt;/strong&gt; 16.928.871/0036-30&lt;/p&gt;&lt;p&gt;&lt;strong&gt;Assunto:&lt;/strong&gt; Encaminhar NF CIELO&lt;/p&gt;&lt;p&gt;&lt;strong&gt;Merchant ID/Estabelecimento Comercial (EC):&lt;/strong&gt; 1100913642&lt;/p&gt;&lt;p&gt;&lt;strong&gt;Sobre qual produto ou área deseja falar?:&lt;/strong&gt; Gateway de Pagamento&lt;/p&gt;&lt;p&gt;&lt;strong&gt;Como podemos te ajudar?:&lt;/strong&gt; Estou em produção e tenho uma dúvida&lt;/p&gt;&lt;p&gt;&lt;strong&gt;Descrição do problema:&lt;/strong&gt; Gentileza solicito o envio da nota fiscal da qual o boleto venceu dia 28/08/2026 e não recebemos por e-mail,consegue me ajudar?&lt;/p&gt;&lt;p&gt;&lt;strong&gt;Data e hora do erro:&lt;/strong&gt; 28-08-2026 00:00&lt;/p&gt;&lt;p&gt;&lt;strong&gt;GA Client ID:&lt;/strong&gt; 1607506105.1788268327&lt;/p&gt;&lt;p&gt;&lt;strong&gt;Lead Hash ID:&lt;/strong&gt; 8b9a0f30a90033065d3df25a013d64e5717535b7679890985e876d57564c4afb&lt;/p&gt;&lt;p&gt;</t>
        </is>
      </c>
      <c r="V358" s="71">
        <f>IFERROR(_xlfn.TEXTBEFORE(_xlfn.TEXTAFTER(U358,"Descrição do problema:&lt;/strong"),"&lt;/p&gt;"),_xlfn.TEXTAFTER(U358,"Descrição do problema:&lt;/strong"))</f>
        <v/>
      </c>
      <c r="W358" s="76">
        <f>_xlfn.CONCAT(D358:E358)</f>
        <v/>
      </c>
      <c r="X358" s="77" t="n">
        <v>46267</v>
      </c>
      <c r="Y358" s="78">
        <f>IF(X358="","Aberto","Encerrado")</f>
        <v/>
      </c>
      <c r="Z358" s="78">
        <f>IF(OR(L358="PENDENTE",L358="EM ANDAMENTO",L358="PENDENTE APROVAÇÃO CANCELAMENTO NF"),TODAY()-O358,X358-O358)</f>
        <v/>
      </c>
      <c r="AA358" s="78">
        <f>IF(Y358="Aberto",Z358+ROW()/100000,"")</f>
        <v/>
      </c>
      <c r="AB358" s="2">
        <f>IF(ISNUMBER(FIND("@cielo.com.br",S358)),"Interno","Externo")</f>
        <v/>
      </c>
      <c r="AC358" t="inlineStr">
        <is>
          <t>Solicitar segunda via, reenvio ou reemissão de boleto.</t>
        </is>
      </c>
      <c r="AD358" t="inlineStr">
        <is>
          <t>não recebemos + boleto</t>
        </is>
      </c>
      <c r="AE358" t="inlineStr">
        <is>
          <t>Reenvio de boleto</t>
        </is>
      </c>
      <c r="AF358" t="inlineStr">
        <is>
          <t>Título Financeiro</t>
        </is>
      </c>
      <c r="AG358" t="inlineStr">
        <is>
          <t>Pagamentos, Boletos e Recebimentos</t>
        </is>
      </c>
      <c r="AI358" t="inlineStr">
        <is>
          <t>INT_PAG_BOLETO_REENVIO</t>
        </is>
      </c>
      <c r="AJ358" t="inlineStr">
        <is>
          <t>Sugerida</t>
        </is>
      </c>
      <c r="AK358" t="b">
        <v>0</v>
      </c>
      <c r="AN358">
        <f>IF(OR(AG358="",AM358=""),"",IF(AG358=AM358,"SIM","NÃO"))</f>
        <v/>
      </c>
      <c r="AO358" t="inlineStr">
        <is>
          <t>CLASSIFIED_PATTERN</t>
        </is>
      </c>
    </row>
    <row r="359" ht="15.5" customHeight="1">
      <c r="A359" s="1" t="n"/>
      <c r="B359" s="67" t="inlineStr">
        <is>
          <t>Emilly Maria</t>
        </is>
      </c>
      <c r="C359" s="70">
        <f>VLOOKUP(I:I,'Referencias '!H:I,2,0)</f>
        <v/>
      </c>
      <c r="D359" s="129" t="n">
        <v>26731758</v>
      </c>
      <c r="E359" s="129" t="inlineStr">
        <is>
          <t>0</t>
        </is>
      </c>
      <c r="F359" s="126" t="inlineStr">
        <is>
          <t>2624407640926</t>
        </is>
      </c>
      <c r="G359" s="72">
        <f>VLOOKUP(H:H,'Referencias '!B:C,2,0)</f>
        <v/>
      </c>
      <c r="H359" s="72">
        <f>TRIM(_xlfn.TEXTBEFORE(_xlfn.TEXTAFTER(U359,"CNPJ/CPF:&lt;/strong&gt;"),"&lt;/p&gt;"))</f>
        <v/>
      </c>
      <c r="I359" s="70" t="inlineStr">
        <is>
          <t>Congelamento de contrato</t>
        </is>
      </c>
      <c r="J359" s="72" t="n"/>
      <c r="K359" s="72" t="n"/>
      <c r="L359" s="122" t="inlineStr">
        <is>
          <t>FINALIZADO</t>
        </is>
      </c>
      <c r="M359" s="73" t="inlineStr">
        <is>
          <t>Médio</t>
        </is>
      </c>
      <c r="N359" s="129" t="inlineStr">
        <is>
          <t>1018 Financeiro | Desejo falar com o setor financeiro | Raphael Felipe Palmeira | raphael.palmeira@cielo.com.br</t>
        </is>
      </c>
      <c r="O359" s="125" t="n">
        <v>46266</v>
      </c>
      <c r="P359" s="123" t="n">
        <v>46266</v>
      </c>
      <c r="Q359" s="177">
        <f>TEXT(O359,"mmm/aaaa")</f>
        <v/>
      </c>
      <c r="R359" s="129" t="inlineStr">
        <is>
          <t>ECOMMERCE BP SUPORTE FINANCEIRO N2</t>
        </is>
      </c>
      <c r="S359" s="129" t="inlineStr">
        <is>
          <t>raphael.palmeira@cielo.com.br</t>
        </is>
      </c>
      <c r="T359" s="129" t="inlineStr">
        <is>
          <t>TELECALL</t>
        </is>
      </c>
      <c r="U359" s="129" t="inlineStr">
        <is>
          <t>Olá, segue formulário enviado para Cielo E-commerce:&lt;p&gt;&lt;strong&gt;Qual seu nome?:&lt;/strong&gt; Raphael Felipe Palmeira&lt;/p&gt;&lt;p&gt;&lt;strong&gt;Endereço de e-mail:&lt;/strong&gt; raphael.palmeira@cielo.com.br&lt;/p&gt;&lt;p&gt;&lt;strong&gt;CNPJ/CPF:&lt;/strong&gt; 07.625.852/0001-13&lt;/p&gt;&lt;p&gt;&lt;strong&gt;Telefone:&lt;/strong&gt; (21) 3030-1010&lt;/p&gt;&lt;p&gt;&lt;strong&gt;Assunto:&lt;/strong&gt; Congelamento Telecall&lt;/p&gt;&lt;p&gt;&lt;strong&gt;Merchant ID/Estabelecimento Comercial (EC):&lt;/strong&gt; TELEXPERTS TELECOMUNICACOES S.A&lt;/p&gt;&lt;p&gt;&lt;strong&gt;Sobre qual produto ou área deseja falar?:&lt;/strong&gt; Financeiro&lt;/p&gt;&lt;p&gt;&lt;strong&gt;Como podemos te ajudar?:&lt;/strong&gt; Desejo falar com o setor financeiro&lt;/p&gt;&lt;p&gt;&lt;strong&gt;Descrição do problema:&lt;/strong&gt; Favor efetuar o congelamento por 90 dias dos boletos emitidos e qualquer serviço do cliente TELEXPERTS TELECOMUNICACOES S.A. 
Contrato de congelamento está em anexo.&lt;/p&gt;&lt;p&gt;&lt;strong&gt;GA Client ID:&lt;/strong&gt; 1129026650.1776880361&lt;/p&gt;&lt;p&gt;&lt;strong&gt;Lead Hash ID:&lt;/strong&gt; 654a4c7ca2026bcbc95880a2d287c298f308e2f60d1edb738fdc9f171b5ec4b2&lt;/p&gt;&lt;p&gt;&lt;strong&gt;Lead Form ID:&lt;</t>
        </is>
      </c>
      <c r="V359" s="71">
        <f>IFERROR(_xlfn.TEXTBEFORE(_xlfn.TEXTAFTER(U359,"Descrição do problema:&lt;/strong"),"&lt;/p&gt;"),_xlfn.TEXTAFTER(U359,"Descrição do problema:&lt;/strong"))</f>
        <v/>
      </c>
      <c r="W359" s="76">
        <f>_xlfn.CONCAT(D359:E359)</f>
        <v/>
      </c>
      <c r="X359" s="77" t="n">
        <v>46280</v>
      </c>
      <c r="Y359" s="78">
        <f>IF(X359="","Aberto","Encerrado")</f>
        <v/>
      </c>
      <c r="Z359" s="78">
        <f>IF(OR(L359="PENDENTE",L359="EM ANDAMENTO",L359="PENDENTE APROVAÇÃO CANCELAMENTO NF"),TODAY()-O359,X359-O359)</f>
        <v/>
      </c>
      <c r="AA359" s="78">
        <f>IF(Y359="Aberto",Z359+ROW()/100000,"")</f>
        <v/>
      </c>
      <c r="AB359" s="2">
        <f>IF(ISNUMBER(FIND("@cielo.com.br",S359)),"Interno","Externo")</f>
        <v/>
      </c>
      <c r="AC359" t="inlineStr">
        <is>
          <t>Congelar ou suspender temporariamente contrato ou serviço.</t>
        </is>
      </c>
      <c r="AD359" t="inlineStr">
        <is>
          <t>ACAO:SUSPENDER; OBJETO:BOLETO; OBJETO:CONTRATO; OBJETO:SUSPENDER</t>
        </is>
      </c>
      <c r="AE359" t="inlineStr">
        <is>
          <t>Congelamento de contrato</t>
        </is>
      </c>
      <c r="AF359" t="inlineStr">
        <is>
          <t>Contrato/Cadastro</t>
        </is>
      </c>
      <c r="AG359" t="inlineStr">
        <is>
          <t>Contratos, Comercial e Cadastro</t>
        </is>
      </c>
      <c r="AI359" t="inlineStr">
        <is>
          <t>INT_CON_CONGELAMENTO</t>
        </is>
      </c>
      <c r="AJ359" t="inlineStr">
        <is>
          <t>Sugerida</t>
        </is>
      </c>
      <c r="AK359" t="b">
        <v>0</v>
      </c>
      <c r="AN359">
        <f>IF(OR(AG359="",AM359=""),"",IF(AG359=AM359,"SIM","NÃO"))</f>
        <v/>
      </c>
      <c r="AO359" t="inlineStr">
        <is>
          <t>CLASSIFIED_SIGNATURE</t>
        </is>
      </c>
    </row>
    <row r="360" ht="15.5" customHeight="1">
      <c r="A360" s="1" t="n"/>
      <c r="B360" s="67" t="inlineStr">
        <is>
          <t>Emilly Maria</t>
        </is>
      </c>
      <c r="C360" s="70">
        <f>VLOOKUP(I:I,'Referencias '!H:I,2,0)</f>
        <v/>
      </c>
      <c r="D360" s="129" t="n">
        <v>26710998</v>
      </c>
      <c r="E360" s="129" t="inlineStr">
        <is>
          <t>0</t>
        </is>
      </c>
      <c r="F360" s="126" t="inlineStr">
        <is>
          <t>2624314628043</t>
        </is>
      </c>
      <c r="G360" s="72">
        <f>VLOOKUP(H:H,'Referencias '!B:C,2,0)</f>
        <v/>
      </c>
      <c r="H360" s="72">
        <f>TRIM(_xlfn.TEXTBEFORE(_xlfn.TEXTAFTER(U360,"CNPJ/CPF:&lt;/strong&gt;"),"&lt;/p&gt;"))</f>
        <v/>
      </c>
      <c r="I360" s="70" t="inlineStr">
        <is>
          <t>Informações geral</t>
        </is>
      </c>
      <c r="J360" s="72" t="n"/>
      <c r="K360" s="72" t="n"/>
      <c r="L360" s="122" t="inlineStr">
        <is>
          <t>PENDENTE</t>
        </is>
      </c>
      <c r="M360" s="73" t="inlineStr">
        <is>
          <t>Médio</t>
        </is>
      </c>
      <c r="N360" s="129" t="inlineStr">
        <is>
          <t>1018 Financeiro | Desejo falar com o setor financeiro | Inove Online | inoveonline0904@gmail.com</t>
        </is>
      </c>
      <c r="O360" s="125" t="n">
        <v>46265</v>
      </c>
      <c r="P360" s="123" t="n">
        <v>46265</v>
      </c>
      <c r="Q360" s="177">
        <f>TEXT(O360,"mmm/aaaa")</f>
        <v/>
      </c>
      <c r="R360" s="129" t="inlineStr">
        <is>
          <t>ECOMMERCE BP SUPORTE FINANCEIRO N2</t>
        </is>
      </c>
      <c r="S360" s="129" t="inlineStr">
        <is>
          <t>inoveonline0904@gmail.com</t>
        </is>
      </c>
      <c r="T360" s="129" t="inlineStr">
        <is>
          <t>INOVE ONLINE LTDA</t>
        </is>
      </c>
      <c r="U360" s="129" t="inlineStr">
        <is>
          <t>Olá, segue formulário enviado para Cielo E-commerce:&lt;p&gt;&lt;strong&gt;Qual seu nome?:&lt;/strong&gt; Inove Online&lt;/p&gt;&lt;p&gt;&lt;strong&gt;CNPJ/CPF:&lt;/strong&gt; 59.515.022/0001-37&lt;/p&gt;&lt;p&gt;&lt;strong&gt;Endereço de e-mail:&lt;/strong&gt; inoveonline0904@gmail.com&lt;/p&gt;&lt;p&gt;&lt;strong&gt;Telefone:&lt;/strong&gt; (41) 99764-2825&lt;/p&gt;&lt;p&gt;&lt;strong&gt;Assunto:&lt;/strong&gt; Cobranca indevida&lt;/p&gt;&lt;p&gt;&lt;strong&gt;Merchant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Quando contratei os serviços da Braspag, fui atendido pela Giulia, que me informou que a solução de 3DS seria compatível com o gateway que utilizo, o Safra. Essa compatibilidade também constava na documentação apresentada.
No entanto, durante o processo de integração, identificamos que o 3DS não era compatível com o Safra e, portanto, não seria possível utilizar ess</t>
        </is>
      </c>
      <c r="V360" s="71">
        <f>IFERROR(_xlfn.TEXTBEFORE(_xlfn.TEXTAFTER(U360,"Descrição do problema:&lt;/strong"),"&lt;/p&gt;"),_xlfn.TEXTAFTER(U360,"Descrição do problema:&lt;/strong"))</f>
        <v/>
      </c>
      <c r="W360" s="76">
        <f>_xlfn.CONCAT(D360:E360)</f>
        <v/>
      </c>
      <c r="X360" s="77" t="n"/>
      <c r="Y360" s="78">
        <f>IF(X360="","Aberto","Encerrado")</f>
        <v/>
      </c>
      <c r="Z360" s="78">
        <f>IF(OR(L360="PENDENTE",L360="EM ANDAMENTO",L360="PENDENTE APROVAÇÃO CANCELAMENTO NF"),TODAY()-O360,X360-O360)</f>
        <v/>
      </c>
      <c r="AA360" s="78">
        <f>IF(Y360="Aberto",Z360+ROW()/100000,"")</f>
        <v/>
      </c>
      <c r="AB360" s="2">
        <f>IF(ISNUMBER(FIND("@cielo.com.br",S360)),"Interno","Externo")</f>
        <v/>
      </c>
      <c r="AC360" t="inlineStr">
        <is>
          <t>Contestar divergência, valor ou critério de cobrança.</t>
        </is>
      </c>
      <c r="AD360" t="inlineStr">
        <is>
          <t>OBJETO:COBRANCA; CONTEXTO:DIVERGENCIA</t>
        </is>
      </c>
      <c r="AE360" t="inlineStr">
        <is>
          <t>Contestação de cobrança</t>
        </is>
      </c>
      <c r="AF360" t="inlineStr">
        <is>
          <t>Valor Cobrado</t>
        </is>
      </c>
      <c r="AG360" t="inlineStr">
        <is>
          <t>Cobrança e Contestação</t>
        </is>
      </c>
      <c r="AI360" t="inlineStr">
        <is>
          <t>INT_COB_CONTESTACAO</t>
        </is>
      </c>
      <c r="AJ360" t="inlineStr">
        <is>
          <t>Sugerida</t>
        </is>
      </c>
      <c r="AK360" t="b">
        <v>0</v>
      </c>
      <c r="AN360">
        <f>IF(OR(AG360="",AM360=""),"",IF(AG360=AM360,"SIM","NÃO"))</f>
        <v/>
      </c>
      <c r="AO360" t="inlineStr">
        <is>
          <t>CLASSIFIED_SIGNATURE</t>
        </is>
      </c>
    </row>
    <row r="361" ht="15.5" customHeight="1">
      <c r="A361" s="1" t="n"/>
      <c r="B361" s="67" t="inlineStr">
        <is>
          <t>Stephany Lima</t>
        </is>
      </c>
      <c r="C361" s="70" t="inlineStr">
        <is>
          <t>Contratos, Comercial e Cadastro</t>
        </is>
      </c>
      <c r="D361" s="129" t="n">
        <v>26564108</v>
      </c>
      <c r="E361" s="129" t="inlineStr">
        <is>
          <t>0</t>
        </is>
      </c>
      <c r="F361" s="126" t="inlineStr">
        <is>
          <t>2623818535748</t>
        </is>
      </c>
      <c r="G361" s="72">
        <f>VLOOKUP(H:H,'Referencias '!B:C,2,0)</f>
        <v/>
      </c>
      <c r="H361" s="72">
        <f>TRIM(_xlfn.TEXTBEFORE(_xlfn.TEXTAFTER(U361,"CNPJ/CPF:&lt;/strong&gt;"),"&lt;/p&gt;"))</f>
        <v/>
      </c>
      <c r="I361" s="70" t="inlineStr">
        <is>
          <t>Atualização cadastral reajuste contrato</t>
        </is>
      </c>
      <c r="J361" s="72" t="n"/>
      <c r="K361" s="72" t="n"/>
      <c r="L361" s="122" t="inlineStr">
        <is>
          <t>PENDENTE</t>
        </is>
      </c>
      <c r="M361" s="73" t="inlineStr">
        <is>
          <t>Médio</t>
        </is>
      </c>
      <c r="N361" s="129" t="inlineStr">
        <is>
          <t>1018 Financeiro | Desejo falar com o setor financeiro | Larissa Venancio | larissave@cielo.com.br</t>
        </is>
      </c>
      <c r="O361" s="125" t="n">
        <v>46260</v>
      </c>
      <c r="P361" s="123" t="n">
        <v>46261</v>
      </c>
      <c r="Q361" s="177">
        <f>TEXT(O361,"mmm/aaaa")</f>
        <v/>
      </c>
      <c r="R361" s="129" t="inlineStr">
        <is>
          <t>ECOMMERCE BP SUPORTE FINANCEIRO N2</t>
        </is>
      </c>
      <c r="S361" s="129" t="inlineStr">
        <is>
          <t>larissave@cielo.com.br</t>
        </is>
      </c>
      <c r="T361" s="129" t="inlineStr">
        <is>
          <t>METLIFE SEGUROS</t>
        </is>
      </c>
      <c r="U361" s="129" t="inlineStr">
        <is>
          <t>Olá, segue formulário enviado para Cielo E-commerce:&lt;p&gt;&lt;strong&gt;Qual seu nome?:&lt;/strong&gt; Larissa Venancio&lt;/p&gt;&lt;p&gt;&lt;strong&gt;Endereço de e-mail:&lt;/strong&gt; larissave@cielo.com.br&lt;/p&gt;&lt;p&gt;&lt;strong&gt;CNPJ/CPF:&lt;/strong&gt; 02.102.498/0001-29&lt;/p&gt;&lt;p&gt;&lt;strong&gt;Telefone:&lt;/strong&gt; (11) 97622-8821&lt;/p&gt;&lt;p&gt;&lt;strong&gt;Assunto:&lt;/strong&gt; Ajuste Contratual - Renovação de Preços&lt;/p&gt;&lt;p&gt;&lt;strong&gt;Merchant ID/Estabelecimento Comercial (EC):&lt;/strong&gt; 02.102.498/0001-29&lt;/p&gt;&lt;p&gt;&lt;strong&gt;Sobre qual produto ou área deseja falar?:&lt;/strong&gt; Financeiro&lt;/p&gt;&lt;p&gt;&lt;strong&gt;Como podemos te ajudar?:&lt;/strong&gt; Desejo falar com o setor financeiro&lt;/p&gt;&lt;p&gt;&lt;strong&gt;Descrição do problema:&lt;/strong&gt; Boa tarde time financeiro. 
O cliente Metropolitan Life - CNPJ 02.102.498/0001-29 passou por renovação contratual e teve reajuste de preços e de minimo mensal. 
Por gentileza atualizar as cobranças para as novas condições ainda no mês de Agosto, se possível. 
o contrato tem vigência a partir de 01.08.2026
Obrigada! :)&lt;/p&gt;&lt;p&gt;&lt;strong&gt;GA Client ID:&lt;/strong&gt; 2039</t>
        </is>
      </c>
      <c r="V361" s="71">
        <f>IFERROR(_xlfn.TEXTBEFORE(_xlfn.TEXTAFTER(U361,"Descrição do problema:&lt;/strong"),"&lt;/p&gt;"),_xlfn.TEXTAFTER(U361,"Descrição do problema:&lt;/strong"))</f>
        <v/>
      </c>
      <c r="W361" s="76">
        <f>_xlfn.CONCAT(D361:E361)</f>
        <v/>
      </c>
      <c r="X361" s="77" t="n"/>
      <c r="Y361" s="78">
        <f>IF(X361="","Aberto","Encerrado")</f>
        <v/>
      </c>
      <c r="Z361" s="78">
        <f>IF(OR(L361="PENDENTE",L361="EM ANDAMENTO",L361="PENDENTE APROVAÇÃO CANCELAMENTO NF"),TODAY()-O361,X361-O361)</f>
        <v/>
      </c>
      <c r="AA361" s="78">
        <f>IF(Y361="Aberto",Z361+ROW()/100000,"")</f>
        <v/>
      </c>
      <c r="AB361" s="2">
        <f>IF(ISNUMBER(FIND("@cielo.com.br",S361)),"Interno","Externo")</f>
        <v/>
      </c>
      <c r="AC361" t="inlineStr">
        <is>
          <t>Alterar, renegociar ou atualizar condições comerciais ou contratuais.</t>
        </is>
      </c>
      <c r="AD361" t="inlineStr">
        <is>
          <t>renovação contratual; ajuste de preços</t>
        </is>
      </c>
      <c r="AE361" t="inlineStr">
        <is>
          <t>Pendente retorno comercial</t>
        </is>
      </c>
      <c r="AF361" t="inlineStr">
        <is>
          <t>Contrato/Cadastro</t>
        </is>
      </c>
      <c r="AG361" t="inlineStr">
        <is>
          <t>Contratos, Comercial e Cadastro</t>
        </is>
      </c>
      <c r="AI361" t="inlineStr">
        <is>
          <t>INT_CON_CONDICOES</t>
        </is>
      </c>
      <c r="AJ361" t="inlineStr">
        <is>
          <t>Sugerida</t>
        </is>
      </c>
      <c r="AK361" t="b">
        <v>0</v>
      </c>
      <c r="AN361">
        <f>IF(OR(AG361="",AM361=""),"",IF(AG361=AM361,"SIM","NÃO"))</f>
        <v/>
      </c>
      <c r="AO361" t="inlineStr">
        <is>
          <t>CLASSIFIED_PATTERN</t>
        </is>
      </c>
    </row>
    <row r="362" ht="15.5" customHeight="1">
      <c r="A362" s="1" t="n"/>
      <c r="B362" s="67" t="inlineStr">
        <is>
          <t>Amanda Silva</t>
        </is>
      </c>
      <c r="C362" s="70">
        <f>VLOOKUP(I:I,'Referencias '!H:I,2,0)</f>
        <v/>
      </c>
      <c r="D362" s="129" t="n">
        <v>26691392</v>
      </c>
      <c r="E362" s="129" t="inlineStr">
        <is>
          <t>0</t>
        </is>
      </c>
      <c r="F362" s="126" t="inlineStr">
        <is>
          <t>2624310615918</t>
        </is>
      </c>
      <c r="G362" s="72">
        <f>VLOOKUP(H:H,'Referencias '!B:C,2,0)</f>
        <v/>
      </c>
      <c r="H362" s="72">
        <f>TRIM(_xlfn.TEXTBEFORE(_xlfn.TEXTAFTER(U362,"CNPJ/CPF:&lt;/strong&gt;"),"&lt;/p&gt;"))</f>
        <v/>
      </c>
      <c r="I362" s="70" t="inlineStr">
        <is>
          <t>Reenvio de boleto / NF</t>
        </is>
      </c>
      <c r="J362" s="72" t="n"/>
      <c r="K362" s="72" t="n"/>
      <c r="L362" s="70" t="inlineStr">
        <is>
          <t>FINALIZADO</t>
        </is>
      </c>
      <c r="M362" s="73" t="inlineStr">
        <is>
          <t>Médio</t>
        </is>
      </c>
      <c r="N362" s="129" t="inlineStr">
        <is>
          <t>1003 Gateway de Pagamento | Minha operação está parada e preciso de uma ajuda urgente | Patrícia Teodoro | patricia.teodoro@embracon.com.br</t>
        </is>
      </c>
      <c r="O362" s="125" t="n">
        <v>46265</v>
      </c>
      <c r="P362" s="123" t="n">
        <v>46265</v>
      </c>
      <c r="Q362" s="177">
        <f>TEXT(O362,"mmm/aaaa")</f>
        <v/>
      </c>
      <c r="R362" s="129" t="inlineStr">
        <is>
          <t>ECOMMERCE BP SUPORTE FINANCEIRO N2</t>
        </is>
      </c>
      <c r="S362" s="129" t="inlineStr">
        <is>
          <t>patricia.teodoro@embracon.com.br</t>
        </is>
      </c>
      <c r="T362" s="129" t="inlineStr">
        <is>
          <t>EMBRACON MATRIZ</t>
        </is>
      </c>
      <c r="U362" s="129" t="inlineStr">
        <is>
          <t>Olá, segue formulário enviado para Cielo E-commerce:&lt;p&gt;&lt;strong&gt;Qual seu nome?:&lt;/strong&gt; Patrícia Teodoro&lt;/p&gt;&lt;p&gt;&lt;strong&gt;Endereço de e-mail:&lt;/strong&gt; patricia.teodoro@embracon.com.br&lt;/p&gt;&lt;p&gt;&lt;strong&gt;CNPJ/CPF:&lt;/strong&gt; 58.113.812/0001-23&lt;/p&gt;&lt;p&gt;&lt;strong&gt;Telefone:&lt;/strong&gt; (11) 98787-4448&lt;/p&gt;&lt;p&gt;&lt;strong&gt;Assunto:&lt;/strong&gt; Não recebemos, nota fiscal e boleto para pagamento Braspag&lt;/p&gt;&lt;p&gt;&lt;strong&gt;Sobre qual produto ou área deseja falar?:&lt;/strong&gt; Gateway de Pagamento&lt;/p&gt;&lt;p&gt;&lt;strong&gt;Descrição do problema:&lt;/strong&gt; Não recebemos, nota fiscal e boleto para pagamento Braspag vencimento 12/09/2026
Tomador Embracon CNPJ:58.113.812/0001-23&lt;/p&gt;&lt;p&gt;&lt;strong&gt;Merchant ID/Estabelecimento Comercial (EC):&lt;/strong&gt; xxxxx&lt;/p&gt;&lt;p&gt;&lt;strong&gt;Como podemos te ajudar?:&lt;/strong&gt; Minha operação está parada e preciso de uma ajuda urgente&lt;/p&gt;&lt;p&gt;&lt;strong&gt;ID da transação:&lt;/strong&gt; 1111&lt;/p&gt;&lt;p&gt;&lt;strong&gt;Código do erro:&lt;/strong&gt; 1111&lt;/p&gt;&lt;p&gt;&lt;strong&gt;GA Client ID:&lt;/strong&gt; 1250062195.1788181234&lt;/p&gt;&lt;p&gt;&lt;strong&gt;Lead Hash ID:&lt;/strong&gt; 35bcf15ae</t>
        </is>
      </c>
      <c r="V362" s="71">
        <f>IFERROR(_xlfn.TEXTBEFORE(_xlfn.TEXTAFTER(U362,"Descrição do problema:&lt;/strong"),"&lt;/p&gt;"),_xlfn.TEXTAFTER(U362,"Descrição do problema:&lt;/strong"))</f>
        <v/>
      </c>
      <c r="W362" s="76">
        <f>_xlfn.CONCAT(D362:E362)</f>
        <v/>
      </c>
      <c r="X362" s="77" t="n">
        <v>46267</v>
      </c>
      <c r="Y362" s="78">
        <f>IF(X362="","Aberto","Encerrado")</f>
        <v/>
      </c>
      <c r="Z362" s="78">
        <f>IF(OR(L362="PENDENTE",L362="EM ANDAMENTO",L362="PENDENTE APROVAÇÃO CANCELAMENTO NF"),TODAY()-O362,X362-O362)</f>
        <v/>
      </c>
      <c r="AA362" s="78">
        <f>IF(Y362="Aberto",Z362+ROW()/100000,"")</f>
        <v/>
      </c>
      <c r="AB362" s="2">
        <f>IF(ISNUMBER(FIND("@cielo.com.br",S362)),"Interno","Externo")</f>
        <v/>
      </c>
      <c r="AC362" t="inlineStr">
        <is>
          <t>Solicitar segunda via, reenvio ou reemissão de boleto.</t>
        </is>
      </c>
      <c r="AD362" t="inlineStr">
        <is>
          <t>não recebemos + boleto</t>
        </is>
      </c>
      <c r="AE362" t="inlineStr">
        <is>
          <t>Reenvio de boleto</t>
        </is>
      </c>
      <c r="AF362" t="inlineStr">
        <is>
          <t>Título Financeiro</t>
        </is>
      </c>
      <c r="AG362" t="inlineStr">
        <is>
          <t>Pagamentos, Boletos e Recebimentos</t>
        </is>
      </c>
      <c r="AI362" t="inlineStr">
        <is>
          <t>INT_PAG_BOLETO_REENVIO</t>
        </is>
      </c>
      <c r="AJ362" t="inlineStr">
        <is>
          <t>Sugerida</t>
        </is>
      </c>
      <c r="AK362" t="b">
        <v>0</v>
      </c>
      <c r="AN362">
        <f>IF(OR(AG362="",AM362=""),"",IF(AG362=AM362,"SIM","NÃO"))</f>
        <v/>
      </c>
      <c r="AO362" t="inlineStr">
        <is>
          <t>CLASSIFIED_PATTERN</t>
        </is>
      </c>
    </row>
    <row r="363" ht="15.5" customHeight="1">
      <c r="A363" s="1" t="n"/>
      <c r="B363" s="67" t="inlineStr">
        <is>
          <t>Pamela de Sá</t>
        </is>
      </c>
      <c r="C363" s="70">
        <f>VLOOKUP(I:I,'Referencias '!H:I,2,0)</f>
        <v/>
      </c>
      <c r="D363" s="129" t="n">
        <v>26665865</v>
      </c>
      <c r="E363" s="129" t="inlineStr">
        <is>
          <t>0</t>
        </is>
      </c>
      <c r="F363" s="126" t="inlineStr">
        <is>
          <t>2624017598984</t>
        </is>
      </c>
      <c r="G363" s="72">
        <f>VLOOKUP(H:H,'Referencias '!B:C,2,0)</f>
        <v/>
      </c>
      <c r="H363" s="72">
        <f>TRIM(_xlfn.TEXTBEFORE(_xlfn.TEXTAFTER(U363,"CNPJ/CPF:&lt;/strong&gt;"),"&lt;/p&gt;"))</f>
        <v/>
      </c>
      <c r="I363" s="70" t="inlineStr">
        <is>
          <t>Contestação de cobrança</t>
        </is>
      </c>
      <c r="J363" s="72" t="n"/>
      <c r="K363" s="72" t="n"/>
      <c r="L363" s="122" t="inlineStr">
        <is>
          <t>PENDENTE</t>
        </is>
      </c>
      <c r="M363" s="73" t="inlineStr">
        <is>
          <t>Médio</t>
        </is>
      </c>
      <c r="N363" s="129" t="inlineStr">
        <is>
          <t>1018 Financeiro | Desejo falar com o setor financeiro | Antônio Marcos | antonio.marcos@claudino.com</t>
        </is>
      </c>
      <c r="O363" s="125" t="n">
        <v>46262</v>
      </c>
      <c r="P363" s="123" t="n">
        <v>46265</v>
      </c>
      <c r="Q363" s="177">
        <f>TEXT(O363,"mmm/aaaa")</f>
        <v/>
      </c>
      <c r="R363" s="129" t="inlineStr">
        <is>
          <t>ECOMMERCE BP SUPORTE FINANCEIRO N2</t>
        </is>
      </c>
      <c r="S363" s="129" t="inlineStr">
        <is>
          <t>antonio.marcos@claudino.com</t>
        </is>
      </c>
      <c r="T363" s="129" t="inlineStr">
        <is>
          <t>ARMAZEM PARAIBA</t>
        </is>
      </c>
      <c r="U363" s="129" t="inlineStr">
        <is>
          <t>Olá, segue formulário enviado para Cielo E-commerce:&lt;p&gt;&lt;strong&gt;Qual seu nome?:&lt;/strong&gt; Antônio Marcos&lt;/p&gt;&lt;p&gt;&lt;strong&gt;Endereço de e-mail:&lt;/strong&gt; antonio.marcos@claudino.com&lt;/p&gt;&lt;p&gt;&lt;strong&gt;CNPJ/CPF:&lt;/strong&gt; 06.862.627/0001-38&lt;/p&gt;&lt;p&gt;&lt;strong&gt;Telefone:&lt;/strong&gt; (86) 98140-3158&lt;/p&gt;&lt;p&gt;&lt;strong&gt;Assunto:&lt;/strong&gt; Fechamento de fatura do 03 DS&lt;/p&gt;&lt;p&gt;&lt;strong&gt;Merchant ID/Estabelecimento Comercial (EC):&lt;/strong&gt; C9950830-792E-45EF-BBA7-3D97C5D16AEB&lt;/p&gt;&lt;p&gt;&lt;strong&gt;Sobre qual produto ou área deseja falar?:&lt;/strong&gt; Financeiro&lt;/p&gt;&lt;p&gt;&lt;strong&gt;Como podemos te ajudar?:&lt;/strong&gt; Desejo falar com o setor financeiro&lt;/p&gt;&lt;p&gt;&lt;strong&gt;Descrição do problema:&lt;/strong&gt; Gostaria que fosse revisado a fatura do 03 DS, pois em nossos registros existem apenas 3.129 registros, na nota fiscal existe um registro de 3.929, gerando assim uma diferença de 800 registros a mais na fatura.&lt;/p&gt;&lt;p&gt;&lt;strong&gt;GA Client ID:&lt;/strong&gt; 615452555.1771526318&lt;/p&gt;&lt;p&gt;&lt;strong&gt;Lead Hash ID:&lt;/strong&gt; 031018c94b2f2c38650e2749dae809c3268f74b7d85e9bb</t>
        </is>
      </c>
      <c r="V363" s="71">
        <f>IFERROR(_xlfn.TEXTBEFORE(_xlfn.TEXTAFTER(U363,"Descrição do problema:&lt;/strong"),"&lt;/p&gt;"),_xlfn.TEXTAFTER(U363,"Descrição do problema:&lt;/strong"))</f>
        <v/>
      </c>
      <c r="W363" s="76">
        <f>_xlfn.CONCAT(D363:E363)</f>
        <v/>
      </c>
      <c r="X363" s="77" t="n"/>
      <c r="Y363" s="78">
        <f>IF(X363="","Aberto","Encerrado")</f>
        <v/>
      </c>
      <c r="Z363" s="78">
        <f>IF(OR(L363="PENDENTE",L363="EM ANDAMENTO",L363="PENDENTE APROVAÇÃO CANCELAMENTO NF"),TODAY()-O363,X363-O363)</f>
        <v/>
      </c>
      <c r="AA363" s="78">
        <f>IF(Y363="Aberto",Z363+ROW()/100000,"")</f>
        <v/>
      </c>
      <c r="AB363" s="2">
        <f>IF(ISNUMBER(FIND("@cielo.com.br",S363)),"Interno","Externo")</f>
        <v/>
      </c>
      <c r="AC363" t="inlineStr">
        <is>
          <t>Contestar divergência, valor ou critério de cobrança.</t>
        </is>
      </c>
      <c r="AD363" t="inlineStr">
        <is>
          <t>OBJETO:COBRANCA; OBJETO:NOTA_FISCAL; CONTEXTO:DIVERGENCIA</t>
        </is>
      </c>
      <c r="AE363" t="inlineStr">
        <is>
          <t>Contestação de cobrança</t>
        </is>
      </c>
      <c r="AF363" t="inlineStr">
        <is>
          <t>Valor Cobrado</t>
        </is>
      </c>
      <c r="AG363" t="inlineStr">
        <is>
          <t>Cobrança e Contestação</t>
        </is>
      </c>
      <c r="AI363" t="inlineStr">
        <is>
          <t>INT_COB_CONTESTACAO</t>
        </is>
      </c>
      <c r="AJ363" t="inlineStr">
        <is>
          <t>Sugerida</t>
        </is>
      </c>
      <c r="AK363" t="b">
        <v>0</v>
      </c>
      <c r="AN363">
        <f>IF(OR(AG363="",AM363=""),"",IF(AG363=AM363,"SIM","NÃO"))</f>
        <v/>
      </c>
      <c r="AO363" t="inlineStr">
        <is>
          <t>CLASSIFIED_SIGNATURE</t>
        </is>
      </c>
    </row>
    <row r="364" ht="15.5" customFormat="1" customHeight="1" s="91">
      <c r="A364" s="1" t="n"/>
      <c r="B364" s="67" t="inlineStr">
        <is>
          <t>Stephany Lima</t>
        </is>
      </c>
      <c r="C364" s="70" t="inlineStr">
        <is>
          <t>Faturamento e Obrigações Fiscais</t>
        </is>
      </c>
      <c r="D364" s="129" t="n">
        <v>26532404</v>
      </c>
      <c r="E364" s="129" t="inlineStr">
        <is>
          <t>0</t>
        </is>
      </c>
      <c r="F364" s="126" t="inlineStr">
        <is>
          <t>2623812516166</t>
        </is>
      </c>
      <c r="G364" s="72">
        <f>VLOOKUP(H:H,'Referencias '!B:C,2,0)</f>
        <v/>
      </c>
      <c r="H364" s="72">
        <f>TRIM(_xlfn.TEXTBEFORE(_xlfn.TEXTAFTER(U364,"CNPJ/CPF:&lt;/strong&gt;"),"&lt;/p&gt;"))</f>
        <v/>
      </c>
      <c r="I364" s="70" t="inlineStr">
        <is>
          <t>Incluir PO NF</t>
        </is>
      </c>
      <c r="J364" s="72" t="n"/>
      <c r="K364" s="72" t="n"/>
      <c r="L364" s="122" t="inlineStr">
        <is>
          <t>PENDENTE</t>
        </is>
      </c>
      <c r="M364" s="73" t="inlineStr">
        <is>
          <t>Médio</t>
        </is>
      </c>
      <c r="N364" s="129" t="inlineStr">
        <is>
          <t>1018 Financeiro | Desejo falar com o setor financeiro | 99 TECNOLOGIA LTDA | ariane.pasilva@cielo.com.br</t>
        </is>
      </c>
      <c r="O364" s="125" t="n">
        <v>46260</v>
      </c>
      <c r="P364" s="123" t="n">
        <v>46260</v>
      </c>
      <c r="Q364" s="177">
        <f>TEXT(O364,"mmm/aaaa")</f>
        <v/>
      </c>
      <c r="R364" s="129" t="inlineStr">
        <is>
          <t>ECOMMERCE BP SUPORTE FINANCEIRO N2</t>
        </is>
      </c>
      <c r="S364" s="129" t="inlineStr">
        <is>
          <t>ariane.pasilva@cielo.com.br</t>
        </is>
      </c>
      <c r="T364" s="129" t="inlineStr">
        <is>
          <t>99 TAXIS DESENVOLVIMENTO DE SOFT</t>
        </is>
      </c>
      <c r="U364" s="129" t="inlineStr">
        <is>
          <t>Olá, segue formulário enviado para Cielo E-commerce:&lt;p&gt;&lt;strong&gt;Qual seu nome?:&lt;/strong&gt; 99 TECNOLOGIA LTDA&lt;/p&gt;&lt;p&gt;&lt;strong&gt;Endereço de e-mail:&lt;/strong&gt; ariane.pasilva@cielo.com.br&lt;/p&gt;&lt;p&gt;&lt;strong&gt;CNPJ/CPF:&lt;/strong&gt; 18.033.552/0001-61&lt;/p&gt;&lt;p&gt;&lt;strong&gt;Telefone:&lt;/strong&gt; (11) 97707-1602&lt;/p&gt;&lt;p&gt;&lt;strong&gt;Assunto:&lt;/strong&gt; Carta de correção NF&lt;/p&gt;&lt;p&gt;&lt;strong&gt;Merchant ID/Estabelecimento Comercial (EC):&lt;/strong&gt; 18033552000161&lt;/p&gt;&lt;p&gt;&lt;strong&gt;Sobre qual produto ou área deseja falar?:&lt;/strong&gt; Financeiro&lt;/p&gt;&lt;p&gt;&lt;strong&gt;Como podemos te ajudar?:&lt;/strong&gt; Desejo falar com o setor financeiro&lt;/p&gt;&lt;p&gt;&lt;strong&gt;Descrição do problema:&lt;/strong&gt; Prezados, boa tarde. Tudo bem?
Favor realizar a carta de correção das notas fiscais, precisa constar os seguintes números de PO:
Nota Fiscal	PO
115456	POl202605270076
116117	POl202608250009
117565	POl202608250009
119886	POl202608250009&lt;/p&gt;&lt;p&gt;&lt;strong&gt;GA Client ID:&lt;/strong&gt; 1525925276.1786460073&lt;/p&gt;&lt;p&gt;&lt;strong&gt;Lead Hash ID:&lt;/strong&gt; 2a07344672c93c9ca782cc07cf9dc37d0cd4c270e817a8</t>
        </is>
      </c>
      <c r="V364" s="71">
        <f>IFERROR(_xlfn.TEXTBEFORE(_xlfn.TEXTAFTER(U364,"Descrição do problema:&lt;/strong"),"&lt;/p&gt;"),_xlfn.TEXTAFTER(U364,"Descrição do problema:&lt;/strong"))</f>
        <v/>
      </c>
      <c r="W364" s="76">
        <f>_xlfn.CONCAT(D364:E364)</f>
        <v/>
      </c>
      <c r="X364" s="77" t="n"/>
      <c r="Y364" s="78">
        <f>IF(X364="","Aberto","Encerrado")</f>
        <v/>
      </c>
      <c r="Z364" s="78">
        <f>IF(OR(L364="PENDENTE",L364="EM ANDAMENTO",L364="PENDENTE APROVAÇÃO CANCELAMENTO NF"),TODAY()-O364,X364-O364)</f>
        <v/>
      </c>
      <c r="AA364" s="78">
        <f>IF(Y364="Aberto",Z364+ROW()/100000,"")</f>
        <v/>
      </c>
      <c r="AB364" s="2">
        <f>IF(ISNUMBER(FIND("@cielo.com.br",S364)),"Interno","Externo")</f>
        <v/>
      </c>
      <c r="AC364" t="inlineStr">
        <is>
          <t>Corrigir dados fiscais ou incluir PO por carta de correção.</t>
        </is>
      </c>
      <c r="AD364" t="inlineStr">
        <is>
          <t>carta de correção + po; carta de correção das nf; constar + po + nf</t>
        </is>
      </c>
      <c r="AE364" t="inlineStr">
        <is>
          <t>Inclusão de PO em NF</t>
        </is>
      </c>
      <c r="AF364" t="inlineStr">
        <is>
          <t>Parâmetro de Faturamento</t>
        </is>
      </c>
      <c r="AG364" t="inlineStr">
        <is>
          <t>Faturamento e Obrigações Fiscais</t>
        </is>
      </c>
      <c r="AI364" t="inlineStr">
        <is>
          <t>INT_FAT_CORRECAO_PO</t>
        </is>
      </c>
      <c r="AJ364" t="inlineStr">
        <is>
          <t>Sugerida</t>
        </is>
      </c>
      <c r="AK364" t="b">
        <v>0</v>
      </c>
      <c r="AN364">
        <f>IF(OR(AG364="",AM364=""),"",IF(AG364=AM364,"SIM","NÃO"))</f>
        <v/>
      </c>
      <c r="AO364" t="inlineStr">
        <is>
          <t>CLASSIFIED_PATTERN</t>
        </is>
      </c>
    </row>
    <row r="365" ht="15.5" customHeight="1">
      <c r="A365" s="1" t="n"/>
      <c r="B365" s="67" t="inlineStr">
        <is>
          <t>Stephany Lima</t>
        </is>
      </c>
      <c r="C365" s="70">
        <f>VLOOKUP(I:I,'Referencias '!H:I,2,0)</f>
        <v/>
      </c>
      <c r="D365" s="129" t="n">
        <v>26657987</v>
      </c>
      <c r="E365" s="129" t="inlineStr">
        <is>
          <t>0</t>
        </is>
      </c>
      <c r="F365" s="126" t="inlineStr">
        <is>
          <t>2624015594187</t>
        </is>
      </c>
      <c r="G365" s="72">
        <f>VLOOKUP(H:H,'Referencias '!B:C,2,0)</f>
        <v/>
      </c>
      <c r="H365" s="72">
        <f>TRIM(_xlfn.TEXTBEFORE(_xlfn.TEXTAFTER(U365,"CNPJ/CPF:&lt;/strong&gt;"),"&lt;/p&gt;"))</f>
        <v/>
      </c>
      <c r="I365" s="70" t="inlineStr">
        <is>
          <t>Congelamento de contrato</t>
        </is>
      </c>
      <c r="J365" s="72" t="n"/>
      <c r="K365" s="72" t="n"/>
      <c r="L365" s="122" t="inlineStr">
        <is>
          <t>FINALIZADO</t>
        </is>
      </c>
      <c r="M365" s="73" t="inlineStr">
        <is>
          <t>Médio</t>
        </is>
      </c>
      <c r="N365" s="129" t="inlineStr">
        <is>
          <t>1018 Financeiro | Desejo falar com o setor financeiro | Patricia Lara de Lima | patriciala@cielo.com.br</t>
        </is>
      </c>
      <c r="O365" s="125" t="n">
        <v>46262</v>
      </c>
      <c r="P365" s="123" t="n">
        <v>46262</v>
      </c>
      <c r="Q365" s="177">
        <f>TEXT(O365,"mmm/aaaa")</f>
        <v/>
      </c>
      <c r="R365" s="129" t="inlineStr">
        <is>
          <t>ECOMMERCE BP SUPORTE FINANCEIRO N2</t>
        </is>
      </c>
      <c r="S365" s="129" t="inlineStr">
        <is>
          <t>patriciala@cielo.com.br</t>
        </is>
      </c>
      <c r="T365" s="129" t="inlineStr">
        <is>
          <t>HOTEL FAZENDA MAZZAROPI</t>
        </is>
      </c>
      <c r="U365" s="129" t="inlineStr">
        <is>
          <t>Olá, segue formulário enviado para Cielo E-commerce:&lt;p&gt;&lt;strong&gt;Qual seu nome?:&lt;/strong&gt; Patricia Lara de Lima&lt;/p&gt;&lt;p&gt;&lt;strong&gt;Endereço de e-mail:&lt;/strong&gt; patriciala@cielo.com.br&lt;/p&gt;&lt;p&gt;&lt;strong&gt;CNPJ/CPF:&lt;/strong&gt; 55.395.735/0001-53&lt;/p&gt;&lt;p&gt;&lt;strong&gt;Telefone:&lt;/strong&gt; (11) 94523-1344&lt;/p&gt;&lt;p&gt;&lt;strong&gt;Assunto:&lt;/strong&gt; Congelamento de cobranças do antifraude&lt;/p&gt;&lt;p&gt;&lt;strong&gt;Merchant ID/Estabelecimento Comercial (EC):&lt;/strong&gt; 55.395.735/0001-53&lt;/p&gt;&lt;p&gt;&lt;strong&gt;Sobre qual produto ou área deseja falar?:&lt;/strong&gt; Financeiro&lt;/p&gt;&lt;p&gt;&lt;strong&gt;Como podemos te ajudar?:&lt;/strong&gt; Desejo falar com o setor financeiro&lt;/p&gt;&lt;p&gt;&lt;strong&gt;Descrição do problema:&lt;/strong&gt; Time, boa tarde. Tudo bem?
Abrindo este chamado para seguir com o congelamento de cobranças do antifraude Cybersource (plano Advanced), nos meses de Julho, Agosto e Setembro, conforme acordado previamente com o cliente. Podem providenciar, por gentileza? Obrigada.&lt;/p&gt;&lt;p&gt;&lt;strong&gt;GA Client ID:&lt;/strong&gt; 1245481375.1779380159&lt;/p&gt;&lt;p&gt;&lt;strong&gt;Lead Hash ID:&lt;/stron</t>
        </is>
      </c>
      <c r="V365" s="71">
        <f>IFERROR(_xlfn.TEXTBEFORE(_xlfn.TEXTAFTER(U365,"Descrição do problema:&lt;/strong"),"&lt;/p&gt;"),_xlfn.TEXTAFTER(U365,"Descrição do problema:&lt;/strong"))</f>
        <v/>
      </c>
      <c r="W365" s="76">
        <f>_xlfn.CONCAT(D365:E365)</f>
        <v/>
      </c>
      <c r="X365" s="77" t="n">
        <v>46281</v>
      </c>
      <c r="Y365" s="78">
        <f>IF(X365="","Aberto","Encerrado")</f>
        <v/>
      </c>
      <c r="Z365" s="78">
        <f>IF(OR(L365="PENDENTE",L365="EM ANDAMENTO",L365="PENDENTE APROVAÇÃO CANCELAMENTO NF"),TODAY()-O365,X365-O365)</f>
        <v/>
      </c>
      <c r="AA365" s="78">
        <f>IF(Y365="Aberto",Z365+ROW()/100000,"")</f>
        <v/>
      </c>
      <c r="AB365" s="2">
        <f>IF(ISNUMBER(FIND("@cielo.com.br",S365)),"Interno","Externo")</f>
        <v/>
      </c>
      <c r="AC365" t="inlineStr">
        <is>
          <t>Congelar ou suspender temporariamente contrato ou serviço.</t>
        </is>
      </c>
      <c r="AD365" t="inlineStr">
        <is>
          <t>congelamento de cobranças; congelamento + cobrança</t>
        </is>
      </c>
      <c r="AE365" t="inlineStr">
        <is>
          <t>Congelamento de contrato</t>
        </is>
      </c>
      <c r="AF365" t="inlineStr">
        <is>
          <t>Contrato/Cadastro</t>
        </is>
      </c>
      <c r="AG365" t="inlineStr">
        <is>
          <t>Contratos, Comercial e Cadastro</t>
        </is>
      </c>
      <c r="AI365" t="inlineStr">
        <is>
          <t>INT_CON_CONGELAMENTO</t>
        </is>
      </c>
      <c r="AJ365" t="inlineStr">
        <is>
          <t>Sugerida</t>
        </is>
      </c>
      <c r="AK365" t="b">
        <v>0</v>
      </c>
      <c r="AN365">
        <f>IF(OR(AG365="",AM365=""),"",IF(AG365=AM365,"SIM","NÃO"))</f>
        <v/>
      </c>
      <c r="AO365" t="inlineStr">
        <is>
          <t>CLASSIFIED_PATTERN</t>
        </is>
      </c>
    </row>
    <row r="366" ht="15.5" customHeight="1">
      <c r="A366" s="1" t="n"/>
      <c r="B366" s="67" t="inlineStr">
        <is>
          <t>Emilly Maria</t>
        </is>
      </c>
      <c r="C366" s="70">
        <f>VLOOKUP(I:I,'Referencias '!H:I,2,0)</f>
        <v/>
      </c>
      <c r="D366" s="129" t="n">
        <v>26647622</v>
      </c>
      <c r="E366" s="129" t="inlineStr">
        <is>
          <t>0</t>
        </is>
      </c>
      <c r="F366" s="126" t="inlineStr">
        <is>
          <t>2624013587764</t>
        </is>
      </c>
      <c r="G366" s="72">
        <f>VLOOKUP(H:H,'Referencias '!B:C,2,0)</f>
        <v/>
      </c>
      <c r="H366" s="72">
        <f>TRIM(_xlfn.TEXTBEFORE(_xlfn.TEXTAFTER(U366,"CNPJ/CPF:&lt;/strong&gt;"),"&lt;/p&gt;"))</f>
        <v/>
      </c>
      <c r="I366" s="70" t="inlineStr">
        <is>
          <t>Mudança conta recebimento</t>
        </is>
      </c>
      <c r="J366" s="72" t="n"/>
      <c r="K366" s="72" t="n"/>
      <c r="L366" s="122" t="inlineStr">
        <is>
          <t>PENDENTE</t>
        </is>
      </c>
      <c r="M366" s="73" t="inlineStr">
        <is>
          <t>Médio</t>
        </is>
      </c>
      <c r="N366" s="129" t="inlineStr">
        <is>
          <t>1018 Financeiro | Desejo falar com o setor financeiro | Janderson dos Santos | cartao@beachpark.com.br</t>
        </is>
      </c>
      <c r="O366" s="125" t="n">
        <v>46262</v>
      </c>
      <c r="P366" s="123" t="n">
        <v>46262</v>
      </c>
      <c r="Q366" s="177">
        <f>TEXT(O366,"mmm/aaaa")</f>
        <v/>
      </c>
      <c r="R366" s="129" t="inlineStr">
        <is>
          <t>ECOMMERCE BP SUPORTE FINANCEIRO N2</t>
        </is>
      </c>
      <c r="S366" s="129" t="inlineStr">
        <is>
          <t>cartao@beachpark.com.br</t>
        </is>
      </c>
      <c r="T366" s="129" t="inlineStr">
        <is>
          <t>BEACH PARK HOTEIS</t>
        </is>
      </c>
      <c r="U366" s="129" t="inlineStr">
        <is>
          <t>Olá, segue formulário enviado para Cielo E-commerce:&lt;p&gt;&lt;strong&gt;Qual seu nome?:&lt;/strong&gt; Janderson dos Santos&lt;/p&gt;&lt;p&gt;&lt;strong&gt;Endereço de e-mail:&lt;/strong&gt; cartao@beachpark.com.br&lt;/p&gt;&lt;p&gt;&lt;strong&gt;CNPJ/CPF:&lt;/strong&gt; 11.805.397/0001-05&lt;/p&gt;&lt;p&gt;&lt;strong&gt;Telefone:&lt;/strong&gt; (85) 4012-3022&lt;/p&gt;&lt;p&gt;&lt;strong&gt;Assunto:&lt;/strong&gt; Duvida sobre alteração de Domicilio Bancário Pix&lt;/p&gt;&lt;p&gt;&lt;strong&gt;Merchant ID/Estabelecimento Comercial (EC):&lt;/strong&gt; 6E33B52D-CA4C-43E8-A776-8C0ADF6074CC&lt;/p&gt;&lt;p&gt;&lt;strong&gt;Sobre qual produto ou área deseja falar?:&lt;/strong&gt; Financeiro&lt;/p&gt;&lt;p&gt;&lt;strong&gt;Como podemos te ajudar?:&lt;/strong&gt; Desejo falar com o setor financeiro&lt;/p&gt;&lt;p&gt;&lt;strong&gt;Descrição do problema:&lt;/strong&gt; Prezados, boa tarde!
Gostaríamos de tirar uma dúvida referente ao cadastro de domicílio bancário junto à Braspag. É possível alterar o domicílio bancário de um CNPJ específico apenas para as transações via Pix?
Poderiam nos auxiliar com essa questão?
Desde já, agradeço e fico no aguardo.&lt;/p&gt;&lt;p&gt;&lt;strong&gt;GA Client ID:&lt;/strong&gt; 1890</t>
        </is>
      </c>
      <c r="V366" s="71">
        <f>IFERROR(_xlfn.TEXTBEFORE(_xlfn.TEXTAFTER(U366,"Descrição do problema:&lt;/strong"),"&lt;/p&gt;"),_xlfn.TEXTAFTER(U366,"Descrição do problema:&lt;/strong"))</f>
        <v/>
      </c>
      <c r="W366" s="76">
        <f>_xlfn.CONCAT(D366:E366)</f>
        <v/>
      </c>
      <c r="X366" s="77" t="n"/>
      <c r="Y366" s="78">
        <f>IF(X366="","Aberto","Encerrado")</f>
        <v/>
      </c>
      <c r="Z366" s="78">
        <f>IF(OR(L366="PENDENTE",L366="EM ANDAMENTO",L366="PENDENTE APROVAÇÃO CANCELAMENTO NF"),TODAY()-O366,X366-O366)</f>
        <v/>
      </c>
      <c r="AA366" s="78">
        <f>IF(Y366="Aberto",Z366+ROW()/100000,"")</f>
        <v/>
      </c>
      <c r="AB366" s="2">
        <f>IF(ISNUMBER(FIND("@cielo.com.br",S366)),"Interno","Externo")</f>
        <v/>
      </c>
      <c r="AC366" t="inlineStr">
        <is>
          <t>Alterar conta, domicílio ou forma de recebimento.</t>
        </is>
      </c>
      <c r="AD366" t="inlineStr">
        <is>
          <t>domicílio bancário</t>
        </is>
      </c>
      <c r="AE366" t="inlineStr">
        <is>
          <t>Troca de conta para depósito</t>
        </is>
      </c>
      <c r="AF366" t="inlineStr">
        <is>
          <t>Título Financeiro</t>
        </is>
      </c>
      <c r="AG366" t="inlineStr">
        <is>
          <t>Pagamentos, Boletos e Recebimentos</t>
        </is>
      </c>
      <c r="AI366" t="inlineStr">
        <is>
          <t>INT_PAG_CONTA</t>
        </is>
      </c>
      <c r="AJ366" t="inlineStr">
        <is>
          <t>Sugerida</t>
        </is>
      </c>
      <c r="AK366" t="b">
        <v>0</v>
      </c>
      <c r="AN366">
        <f>IF(OR(AG366="",AM366=""),"",IF(AG366=AM366,"SIM","NÃO"))</f>
        <v/>
      </c>
      <c r="AO366" t="inlineStr">
        <is>
          <t>CLASSIFIED_PATTERN</t>
        </is>
      </c>
    </row>
    <row r="367" ht="15.5" customHeight="1">
      <c r="A367" s="1" t="n"/>
      <c r="B367" s="67" t="inlineStr">
        <is>
          <t>Amanda Silva</t>
        </is>
      </c>
      <c r="C367" s="70">
        <f>VLOOKUP(I:I,'Referencias '!H:I,2,0)</f>
        <v/>
      </c>
      <c r="D367" s="129" t="n">
        <v>26634599</v>
      </c>
      <c r="E367" s="129" t="inlineStr">
        <is>
          <t>0</t>
        </is>
      </c>
      <c r="F367" s="126" t="inlineStr">
        <is>
          <t>2624010579947</t>
        </is>
      </c>
      <c r="G367" s="72">
        <f>VLOOKUP(H:H,'Referencias '!B:C,2,0)</f>
        <v/>
      </c>
      <c r="H367" s="72">
        <f>TRIM(_xlfn.TEXTBEFORE(_xlfn.TEXTAFTER(U367,"CNPJ/CPF:&lt;/strong&gt;"),"&lt;/p&gt;"))</f>
        <v/>
      </c>
      <c r="I367" s="70" t="inlineStr">
        <is>
          <t>Informações sobre faturamento</t>
        </is>
      </c>
      <c r="J367" s="72" t="n"/>
      <c r="K367" s="72" t="n"/>
      <c r="L367" s="70" t="inlineStr">
        <is>
          <t>FINALIZADO</t>
        </is>
      </c>
      <c r="M367" s="73" t="inlineStr">
        <is>
          <t>Médio</t>
        </is>
      </c>
      <c r="N367" s="129" t="inlineStr">
        <is>
          <t>1003 Gateway de Pagamento | Criação de loja (Gateway de Pagamento) | Guedes e Paixão LTDA | contasapagar@drogariaminasbrasil.com.br</t>
        </is>
      </c>
      <c r="O367" s="125" t="n">
        <v>46262</v>
      </c>
      <c r="P367" s="123" t="n">
        <v>46262</v>
      </c>
      <c r="Q367" s="177">
        <f>TEXT(O367,"mmm/aaaa")</f>
        <v/>
      </c>
      <c r="R367" s="129" t="inlineStr">
        <is>
          <t>ECOMMERCE BP SUPORTE FINANCEIRO N2</t>
        </is>
      </c>
      <c r="S367" s="129" t="inlineStr">
        <is>
          <t>contasapagar@drogariaminasbrasil.com.br</t>
        </is>
      </c>
      <c r="T367" s="129" t="inlineStr">
        <is>
          <t>DROGARIA MINAS BRASIL</t>
        </is>
      </c>
      <c r="U367" s="129" t="inlineStr">
        <is>
          <t>Olá, segue formulário enviado para Cielo E-commerce:&lt;p&gt;&lt;strong&gt;Qual seu nome?:&lt;/strong&gt; Guedes e Paixão LTDA&lt;/p&gt;&lt;p&gt;&lt;strong&gt;Endereço de e-mail:&lt;/strong&gt; contasapagar@drogariaminasbrasil.com.br&lt;/p&gt;&lt;p&gt;&lt;strong&gt;Telefone:&lt;/strong&gt; (38) 99822-0837&lt;/p&gt;&lt;p&gt;&lt;strong&gt;CNPJ/CPF:&lt;/strong&gt; 16.928.871/0036-30&lt;/p&gt;&lt;p&gt;&lt;strong&gt;Assunto:&lt;/strong&gt; Segunda via de NF&lt;/p&gt;&lt;p&gt;&lt;strong&gt;Merchant ID/Estabelecimento Comercial (EC):&lt;/strong&gt; 1100913642&lt;/p&gt;&lt;p&gt;&lt;strong&gt;Descrição do problema:&lt;/strong&gt; Bom dia! Tenho um boleto de número 1120428 no valor de R$6.224,74 vencendo hoje 28/08/2026 que não recebi a NF por e-mail. Poderia me encaminhar a segunda via da NF e informar do que se refere esse serviço?&lt;/p&gt;&lt;p&gt;&lt;strong&gt;Sobre qual produto ou área deseja falar?:&lt;/strong&gt; Gateway de Pagamento&lt;/p&gt;&lt;p&gt;&lt;strong&gt;Data e hora do erro:&lt;/strong&gt; 28-08-2026 10:42&lt;/p&gt;&lt;p&gt;&lt;strong&gt;Como podemos te ajudar?:&lt;/strong&gt; Criação de loja (Gateway de Pagamento)&lt;/p&gt;&lt;p&gt;&lt;strong&gt;GA Client ID:&lt;/strong&gt; 2022652665.1785849101&lt;/p&gt;&lt;p&gt;&lt;strong&gt;Lead Hash ID:&lt;/stro</t>
        </is>
      </c>
      <c r="V367" s="71">
        <f>IFERROR(_xlfn.TEXTBEFORE(_xlfn.TEXTAFTER(U367,"Descrição do problema:&lt;/strong"),"&lt;/p&gt;"),_xlfn.TEXTAFTER(U367,"Descrição do problema:&lt;/strong"))</f>
        <v/>
      </c>
      <c r="W367" s="76">
        <f>_xlfn.CONCAT(D367:E367)</f>
        <v/>
      </c>
      <c r="X367" s="77" t="n">
        <v>46267</v>
      </c>
      <c r="Y367" s="78">
        <f>IF(X367="","Aberto","Encerrado")</f>
        <v/>
      </c>
      <c r="Z367" s="78">
        <f>IF(OR(L367="PENDENTE",L367="EM ANDAMENTO",L367="PENDENTE APROVAÇÃO CANCELAMENTO NF"),TODAY()-O367,X367-O367)</f>
        <v/>
      </c>
      <c r="AA367" s="78">
        <f>IF(Y367="Aberto",Z367+ROW()/100000,"")</f>
        <v/>
      </c>
      <c r="AB367" s="2">
        <f>IF(ISNUMBER(FIND("@cielo.com.br",S367)),"Interno","Externo")</f>
        <v/>
      </c>
      <c r="AC367" t="inlineStr">
        <is>
          <t>Consultar ou verificar faturamento, fatura ou obrigações fiscais.</t>
        </is>
      </c>
      <c r="AD367" t="inlineStr">
        <is>
          <t>do que se refere esse serviço</t>
        </is>
      </c>
      <c r="AE367" t="inlineStr">
        <is>
          <t>Dúvida sobre faturamento</t>
        </is>
      </c>
      <c r="AF367" t="inlineStr">
        <is>
          <t>Parâmetro de Faturamento</t>
        </is>
      </c>
      <c r="AG367" t="inlineStr">
        <is>
          <t>Faturamento e Obrigações Fiscais</t>
        </is>
      </c>
      <c r="AI367" t="inlineStr">
        <is>
          <t>INT_FAT_DUVIDA</t>
        </is>
      </c>
      <c r="AJ367" t="inlineStr">
        <is>
          <t>Sugerida</t>
        </is>
      </c>
      <c r="AK367" t="b">
        <v>0</v>
      </c>
      <c r="AN367">
        <f>IF(OR(AG367="",AM367=""),"",IF(AG367=AM367,"SIM","NÃO"))</f>
        <v/>
      </c>
      <c r="AO367" t="inlineStr">
        <is>
          <t>CLASSIFIED_PATTERN</t>
        </is>
      </c>
    </row>
    <row r="368" ht="15.5" customHeight="1">
      <c r="A368" s="1" t="n"/>
      <c r="B368" s="67" t="inlineStr">
        <is>
          <t>Amanda Silva</t>
        </is>
      </c>
      <c r="C368" s="70">
        <f>VLOOKUP(I:I,'Referencias '!H:I,2,0)</f>
        <v/>
      </c>
      <c r="D368" s="129" t="n">
        <v>26580429</v>
      </c>
      <c r="E368" s="129" t="inlineStr">
        <is>
          <t>0</t>
        </is>
      </c>
      <c r="F368" s="126" t="inlineStr">
        <is>
          <t>2623910546399</t>
        </is>
      </c>
      <c r="G368" s="72" t="inlineStr">
        <is>
          <t>MOMENTUM EMPREENDIMENTOS IMOBILIARIOS LTDA</t>
        </is>
      </c>
      <c r="H368" s="72" t="inlineStr">
        <is>
          <t>47.686.555/0001-00</t>
        </is>
      </c>
      <c r="I368" s="70" t="inlineStr">
        <is>
          <t>Reenvio de boleto / NF</t>
        </is>
      </c>
      <c r="J368" s="72" t="n"/>
      <c r="K368" s="72" t="n"/>
      <c r="L368" s="122" t="inlineStr">
        <is>
          <t>FINALIZADO</t>
        </is>
      </c>
      <c r="M368" s="73" t="inlineStr">
        <is>
          <t>Médio</t>
        </is>
      </c>
      <c r="N368" s="129" t="inlineStr">
        <is>
          <t>1018 Financeiro | Desejo falar com o setor financeiro | Priscila | priscila.farias@momentum.com.br</t>
        </is>
      </c>
      <c r="O368" s="125" t="n">
        <v>46261</v>
      </c>
      <c r="P368" s="123" t="n">
        <v>46261</v>
      </c>
      <c r="Q368" s="177">
        <f>TEXT(O368,"mmm/aaaa")</f>
        <v/>
      </c>
      <c r="R368" s="129" t="inlineStr">
        <is>
          <t>ECOMMERCE BP SUPORTE FINANCEIRO N2</t>
        </is>
      </c>
      <c r="S368" s="129" t="inlineStr">
        <is>
          <t>priscila.farias@momentum.com.br</t>
        </is>
      </c>
      <c r="T368" s="129" t="inlineStr"/>
      <c r="U368" s="129" t="inlineStr">
        <is>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fiscais&lt;/p&gt;&lt;p&gt;&lt;strong&gt;Merchant ID/Estabelecimento Comercial (EC):&lt;/strong&gt; Momentum empreendimentos imobiliarios&lt;/p&gt;&lt;p&gt;&lt;strong&gt;Sobre qual produto ou área deseja falar?:&lt;/strong&gt; Financeiro&lt;/p&gt;&lt;p&gt;&lt;strong&gt;Descrição do problema:&lt;/strong&gt; Gostaria de saber se a nota fiscal referente ao mes de agosto foi enviado para pagamento, visto que o e-mail priscila.farias@momentum.com.br, nao recebeu ate o momento.&lt;/p&gt;&lt;p&gt;&lt;strong&gt;Como podemos te ajudar?:&lt;/strong&gt; Desejo falar com o setor financeiro&lt;/p&gt;&lt;p&gt;&lt;strong&gt;Data e hora do erro:&lt;/strong&gt; 27-08-2026 10:43&lt;/p&gt;&lt;p&gt;&lt;strong&gt;GA Client ID:&lt;/strong&gt; 2127734117.1787141392&lt;/p&gt;&lt;p&gt;&lt;strong&gt;Lead Hash ID:&lt;/strong&gt; 5596a167875208c4473f51c8b51e39d221272f92b9f56993</t>
        </is>
      </c>
      <c r="V368" s="71">
        <f>IFERROR(_xlfn.TEXTBEFORE(_xlfn.TEXTAFTER(U368,"Descrição do problema:&lt;/strong"),"&lt;/p&gt;"),_xlfn.TEXTAFTER(U368,"Descrição do problema:&lt;/strong"))</f>
        <v/>
      </c>
      <c r="W368" s="76">
        <f>_xlfn.CONCAT(D368:E368)</f>
        <v/>
      </c>
      <c r="X368" s="77">
        <f>P368</f>
        <v/>
      </c>
      <c r="Y368" s="78">
        <f>IF(X368="","Aberto","Encerrado")</f>
        <v/>
      </c>
      <c r="Z368" s="78">
        <f>IF(OR(L368="PENDENTE",L368="EM ANDAMENTO",L368="PENDENTE APROVAÇÃO CANCELAMENTO NF"),TODAY()-O368,X368-O368)</f>
        <v/>
      </c>
      <c r="AA368" s="78">
        <f>IF(Y368="Aberto",Z368+ROW()/100000,"")</f>
        <v/>
      </c>
      <c r="AB368" s="2">
        <f>IF(ISNUMBER(FIND("@cielo.com.br",S368)),"Interno","Externo")</f>
        <v/>
      </c>
      <c r="AD368" t="inlineStr"/>
      <c r="AJ368" t="inlineStr">
        <is>
          <t>Sem correspondência</t>
        </is>
      </c>
      <c r="AK368" t="b">
        <v>0</v>
      </c>
      <c r="AN368">
        <f>IF(OR(AG368="",AM368=""),"",IF(AG368=AM368,"SIM","NÃO"))</f>
        <v/>
      </c>
      <c r="AO368" t="inlineStr">
        <is>
          <t>NO_PATTERN</t>
        </is>
      </c>
    </row>
    <row r="369" ht="15.5" customHeight="1">
      <c r="A369" s="1" t="n"/>
      <c r="B369" s="67" t="inlineStr">
        <is>
          <t>Stephany Lima</t>
        </is>
      </c>
      <c r="C369" s="70" t="inlineStr">
        <is>
          <t>Cancelamento e Reemissão de Nota Fiscal</t>
        </is>
      </c>
      <c r="D369" s="129" t="n">
        <v>26577703</v>
      </c>
      <c r="E369" s="129" t="inlineStr">
        <is>
          <t>0</t>
        </is>
      </c>
      <c r="F369" s="126" t="inlineStr">
        <is>
          <t>2623910544685</t>
        </is>
      </c>
      <c r="G369" s="72" t="inlineStr">
        <is>
          <t>DBDC - DISTRIBUIDORA BRASILEIRA</t>
        </is>
      </c>
      <c r="H369" s="72">
        <f>TRIM(_xlfn.TEXTBEFORE(_xlfn.TEXTAFTER(U369,"CNPJ/CPF:&lt;/strong&gt;"),"&lt;/p&gt;"))</f>
        <v/>
      </c>
      <c r="I369" s="70" t="inlineStr">
        <is>
          <t>Cessão contratual</t>
        </is>
      </c>
      <c r="J369" s="72" t="n"/>
      <c r="K369" s="72" t="n"/>
      <c r="L369" s="122" t="inlineStr">
        <is>
          <t>PENDENTE</t>
        </is>
      </c>
      <c r="M369" s="73" t="inlineStr">
        <is>
          <t>Médio</t>
        </is>
      </c>
      <c r="N369" s="129" t="inlineStr">
        <is>
          <t>1018 Financeiro | Desejo falar com o setor financeiro | DBDC - DISTRIBUIDORA BRASILEIRA | rebecca.angelo@cielo.com</t>
        </is>
      </c>
      <c r="O369" s="125" t="n">
        <v>46261</v>
      </c>
      <c r="P369" s="123" t="n">
        <v>46261</v>
      </c>
      <c r="Q369" s="177">
        <f>TEXT(O369,"mmm/aaaa")</f>
        <v/>
      </c>
      <c r="R369" s="129" t="inlineStr">
        <is>
          <t>ECOMMERCE BP SUPORTE FINANCEIRO N2</t>
        </is>
      </c>
      <c r="S369" s="129" t="inlineStr">
        <is>
          <t>rebecca.angelo@cielo.com</t>
        </is>
      </c>
      <c r="T369" s="129" t="inlineStr">
        <is>
          <t>DBDCDISTRIBUIDORA BRASILEIRA DE COSMETICOS E PARTICIPACOES EIRELI</t>
        </is>
      </c>
      <c r="U369" s="129" t="inlineStr">
        <is>
          <t>Olá, segue formulário enviado para Cielo E-commerce:&lt;p&gt;&lt;strong&gt;Qual seu nome?:&lt;/strong&gt; DBDC - DISTRIBUIDORA BRASILEIRA&lt;/p&gt;&lt;p&gt;&lt;strong&gt;Endereço de e-mail:&lt;/strong&gt; rebecca.angelo@cielo.com&lt;/p&gt;&lt;p&gt;&lt;strong&gt;CNPJ/CPF:&lt;/strong&gt; 36.148.685/0001-65&lt;/p&gt;&lt;p&gt;&lt;strong&gt;Telefone:&lt;/strong&gt; (11) 99490-8828&lt;/p&gt;&lt;p&gt;&lt;strong&gt;Assunto:&lt;/strong&gt; Cancelamento NF's - CNPJ correto (Cessão contratual)&lt;/p&gt;&lt;p&gt;&lt;strong&gt;Merchant ID/Estabelecimento Comercial (EC):&lt;/strong&gt; 36.148.685/0001-65&lt;/p&gt;&lt;p&gt;&lt;strong&gt;Sobre qual produto ou área deseja falar?:&lt;/strong&gt; Financeiro&lt;/p&gt;&lt;p&gt;&lt;strong&gt;Como podemos te ajudar?:&lt;/strong&gt; Desejo falar com o setor financeiro&lt;/p&gt;&lt;p&gt;&lt;strong&gt;Descrição do problema:&lt;/strong&gt;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correção.&lt;/p&gt;&lt;p&gt;&lt;strong&gt;Data e hora do erro:&lt;/stron</t>
        </is>
      </c>
      <c r="V369" s="71">
        <f>IFERROR(_xlfn.TEXTBEFORE(_xlfn.TEXTAFTER(U369,"Descrição do problema:&lt;/strong"),"&lt;/p&gt;"),_xlfn.TEXTAFTER(U369,"Descrição do problema:&lt;/strong"))</f>
        <v/>
      </c>
      <c r="W369" s="76">
        <f>_xlfn.CONCAT(D369:E369)</f>
        <v/>
      </c>
      <c r="X369" s="77" t="n"/>
      <c r="Y369" s="78">
        <f>IF(X369="","Aberto","Encerrado")</f>
        <v/>
      </c>
      <c r="Z369" s="78">
        <f>IF(OR(L369="PENDENTE",L369="EM ANDAMENTO",L369="PENDENTE APROVAÇÃO CANCELAMENTO NF"),TODAY()-O369,X369-O369)</f>
        <v/>
      </c>
      <c r="AA369" s="78">
        <f>IF(Y369="Aberto",Z369+ROW()/100000,"")</f>
        <v/>
      </c>
      <c r="AB369" s="2">
        <f>IF(ISNUMBER(FIND("@cielo.com.br",S369)),"Interno","Externo")</f>
        <v/>
      </c>
      <c r="AC369" t="inlineStr">
        <is>
          <t>Cancelar, substituir ou reemitir nota fiscal.</t>
        </is>
      </c>
      <c r="AD369" t="inlineStr">
        <is>
          <t>ACAO:CANCELAR; OBJETO:NOTA_FISCAL; CONTEXTO:DIVERGENCIA</t>
        </is>
      </c>
      <c r="AE369" t="inlineStr">
        <is>
          <t>Cancelamento de NF</t>
        </is>
      </c>
      <c r="AF369" t="inlineStr">
        <is>
          <t>Documento Fiscal</t>
        </is>
      </c>
      <c r="AG369" t="inlineStr">
        <is>
          <t>Cancelamento e Reemissão de Nota Fiscal</t>
        </is>
      </c>
      <c r="AI369" t="inlineStr">
        <is>
          <t>INT_NF_CANCEL_REEMISSAO</t>
        </is>
      </c>
      <c r="AJ369" t="inlineStr">
        <is>
          <t>Sugerida</t>
        </is>
      </c>
      <c r="AK369" t="b">
        <v>0</v>
      </c>
      <c r="AN369">
        <f>IF(OR(AG369="",AM369=""),"",IF(AG369=AM369,"SIM","NÃO"))</f>
        <v/>
      </c>
      <c r="AO369" t="inlineStr">
        <is>
          <t>CLASSIFIED_SIGNATURE</t>
        </is>
      </c>
    </row>
    <row r="370" ht="15.5" customHeight="1">
      <c r="A370" s="1" t="n"/>
      <c r="B370" s="67" t="inlineStr">
        <is>
          <t>Stephany Lima</t>
        </is>
      </c>
      <c r="C370" s="122">
        <f>VLOOKUP(I:I,'Referencias '!H:I,2,0)</f>
        <v/>
      </c>
      <c r="D370" s="129" t="n">
        <v>26664094</v>
      </c>
      <c r="E370" s="129" t="inlineStr">
        <is>
          <t>0</t>
        </is>
      </c>
      <c r="F370" s="126" t="inlineStr">
        <is>
          <t>2624016597883</t>
        </is>
      </c>
      <c r="G370" s="126">
        <f>VLOOKUP(H:H,'Referencias '!B:C,2,0)</f>
        <v/>
      </c>
      <c r="H370" s="126">
        <f>TRIM(_xlfn.TEXTBEFORE(_xlfn.TEXTAFTER(U370,"CNPJ/CPF:&lt;/strong&gt;"),"&lt;/p&gt;"))</f>
        <v/>
      </c>
      <c r="I370" s="122" t="inlineStr">
        <is>
          <t>Contestação de cobrança</t>
        </is>
      </c>
      <c r="J370" s="126" t="n"/>
      <c r="K370" s="126" t="inlineStr">
        <is>
          <t>Precisa de análise através do BD para conferencia</t>
        </is>
      </c>
      <c r="L370" s="122" t="inlineStr">
        <is>
          <t>EM ANDAMENTO</t>
        </is>
      </c>
      <c r="M370" s="127" t="inlineStr">
        <is>
          <t>Alta</t>
        </is>
      </c>
      <c r="N370" s="129" t="inlineStr">
        <is>
          <t>1018 Financeiro | Desejo falar com o setor financeiro | Mariane Oliveira dos Santos | mariane.santos@cielo.com.br</t>
        </is>
      </c>
      <c r="O370" s="125" t="n">
        <v>46262</v>
      </c>
      <c r="P370" s="123" t="n">
        <v>46262</v>
      </c>
      <c r="Q370" s="178">
        <f>TEXT(O370,"mmm/aaaa")</f>
        <v/>
      </c>
      <c r="R370" s="129" t="inlineStr">
        <is>
          <t>ECOMMERCE BP SUPORTE FINANCEIRO N2</t>
        </is>
      </c>
      <c r="S370" s="129" t="inlineStr">
        <is>
          <t>mariane.santos@cielo.com.br</t>
        </is>
      </c>
      <c r="T370" s="129" t="inlineStr">
        <is>
          <t>PRUDENTIAL DO BRASIL</t>
        </is>
      </c>
      <c r="U370" s="129" t="inlineStr">
        <is>
          <t>Olá, segue formulário enviado para Cielo E-commerce:&lt;p&gt;&lt;strong&gt;Qual seu nome?:&lt;/strong&gt; Mariane Oliveira dos Santos&lt;/p&gt;&lt;p&gt;&lt;strong&gt;Endereço de e-mail:&lt;/strong&gt; mariane.santos@cielo.com.br&lt;/p&gt;&lt;p&gt;&lt;strong&gt;CNPJ/CPF:&lt;/strong&gt; 21.986.074/0001-19&lt;/p&gt;&lt;p&gt;&lt;strong&gt;Telefone:&lt;/strong&gt; (41) 98740-2896&lt;/p&gt;&lt;p&gt;&lt;strong&gt;Assunto:&lt;/strong&gt; Volume Cartão Protegido&lt;/p&gt;&lt;p&gt;&lt;strong&gt;Merchant ID/Estabelecimento Comercial (EC):&lt;/strong&gt; 35.820.448/0001-36&lt;/p&gt;&lt;p&gt;&lt;strong&gt;Descrição do problema:&lt;/strong&gt; Boa tarde, pessoal! Tudo bem?
O time da Prudential entrou em contato conosco com uma dúvida em relação ao volume cobrado pelo serviço Cartão Protegido.
O ponto que chamou a atenção do cliente é que a volumetria desse serviço está praticamente o dobro da volumetria de Pagador.
Para entendermos melhor o cenário, encaminhei ao time da Incubadora, que acompanha a operação, um exemplo de nota fiscal para validação da volumetria cobrada. No retorno recebido, eles informaram que o volume registrado na NF é o dobro do do volu</t>
        </is>
      </c>
      <c r="V370" s="129">
        <f>IFERROR(_xlfn.TEXTBEFORE(_xlfn.TEXTAFTER(U370,"Descrição do problema:&lt;/strong"),"&lt;/p&gt;"),_xlfn.TEXTAFTER(U370,"Descrição do problema:&lt;/strong"))</f>
        <v/>
      </c>
      <c r="W370" s="130">
        <f>_xlfn.CONCAT(D370:E370)</f>
        <v/>
      </c>
      <c r="X370" s="77" t="n"/>
      <c r="Y370" s="131">
        <f>IF(X370="","Aberto","Encerrado")</f>
        <v/>
      </c>
      <c r="Z370" s="131">
        <f>IF(OR(L370="PENDENTE",L370="EM ANDAMENTO",L370="PENDENTE APROVAÇÃO CANCELAMENTO NF"),TODAY()-O370,X370-O370)</f>
        <v/>
      </c>
      <c r="AA370" s="131">
        <f>IF(Y370="Aberto",Z370+ROW()/100000,"")</f>
        <v/>
      </c>
      <c r="AB370" s="2">
        <f>IF(ISNUMBER(FIND("@cielo.com.br",S370)),"Interno","Externo")</f>
        <v/>
      </c>
      <c r="AC370" t="inlineStr">
        <is>
          <t>Contestar divergência, valor ou critério de cobrança.</t>
        </is>
      </c>
      <c r="AD370" t="inlineStr">
        <is>
          <t>volumetria cobrada; volume cobrado</t>
        </is>
      </c>
      <c r="AE370" t="inlineStr">
        <is>
          <t>Contestação de cobrança</t>
        </is>
      </c>
      <c r="AF370" t="inlineStr">
        <is>
          <t>Valor Cobrado</t>
        </is>
      </c>
      <c r="AG370" t="inlineStr">
        <is>
          <t>Cobrança e Contestação</t>
        </is>
      </c>
      <c r="AI370" t="inlineStr">
        <is>
          <t>INT_COB_CONTESTACAO</t>
        </is>
      </c>
      <c r="AJ370" t="inlineStr">
        <is>
          <t>Sugerida</t>
        </is>
      </c>
      <c r="AK370" t="b">
        <v>0</v>
      </c>
      <c r="AN370">
        <f>IF(OR(AG370="",AM370=""),"",IF(AG370=AM370,"SIM","NÃO"))</f>
        <v/>
      </c>
      <c r="AO370" t="inlineStr">
        <is>
          <t>CLASSIFIED_PATTERN</t>
        </is>
      </c>
    </row>
    <row r="371" ht="15.5" customHeight="1">
      <c r="A371" s="1" t="n"/>
      <c r="B371" s="67" t="inlineStr">
        <is>
          <t>Amanda Silva</t>
        </is>
      </c>
      <c r="C371" s="70" t="inlineStr">
        <is>
          <t>Pagamentos, Boletos e Recebimentos</t>
        </is>
      </c>
      <c r="D371" s="129" t="n">
        <v>26564013</v>
      </c>
      <c r="E371" s="129" t="inlineStr">
        <is>
          <t>0</t>
        </is>
      </c>
      <c r="F371" s="126" t="inlineStr">
        <is>
          <t>2623818535693</t>
        </is>
      </c>
      <c r="G371" s="72">
        <f>VLOOKUP(H:H,'Referencias '!B:C,2,0)</f>
        <v/>
      </c>
      <c r="H371" s="72">
        <f>TRIM(_xlfn.TEXTBEFORE(_xlfn.TEXTAFTER(U371,"CNPJ/CPF:&lt;/strong&gt;"),"&lt;/p&gt;"))</f>
        <v/>
      </c>
      <c r="I371" s="70" t="inlineStr">
        <is>
          <t>Informações cobrança</t>
        </is>
      </c>
      <c r="J371" s="72" t="n"/>
      <c r="K371" s="72" t="n"/>
      <c r="L371" s="122" t="inlineStr">
        <is>
          <t>FINALIZADO</t>
        </is>
      </c>
      <c r="M371" s="73" t="inlineStr">
        <is>
          <t>Médio</t>
        </is>
      </c>
      <c r="N371" s="129" t="inlineStr">
        <is>
          <t>1018 Financeiro | Desejo falar com o setor financeiro | Rogério Favari | carolineal@cielo.com.br</t>
        </is>
      </c>
      <c r="O371" s="125" t="n">
        <v>46260</v>
      </c>
      <c r="P371" s="123" t="n">
        <v>46261</v>
      </c>
      <c r="Q371" s="177">
        <f>TEXT(O371,"mmm/aaaa")</f>
        <v/>
      </c>
      <c r="R371" s="129" t="inlineStr">
        <is>
          <t>ECOMMERCE BP SUPORTE FINANCEIRO N2</t>
        </is>
      </c>
      <c r="S371" s="129" t="inlineStr">
        <is>
          <t>carolineal@cielo.com.br</t>
        </is>
      </c>
      <c r="T371" s="129" t="inlineStr">
        <is>
          <t>BELENUS LTDA</t>
        </is>
      </c>
      <c r="U371" s="129" t="inlineStr">
        <is>
          <t>Olá, segue formulário enviado para Cielo E-commerce:&lt;p&gt;&lt;strong&gt;Qual seu nome?:&lt;/strong&gt; Rogério Favari&lt;/p&gt;&lt;p&gt;&lt;strong&gt;Endereço de e-mail:&lt;/strong&gt; carolineal@cielo.com.br&lt;/p&gt;&lt;p&gt;&lt;strong&gt;CNPJ/CPF:&lt;/strong&gt; 05.151.518/0001-40&lt;/p&gt;&lt;p&gt;&lt;strong&gt;Telefone:&lt;/strong&gt; (19) 99929-1064&lt;/p&gt;&lt;p&gt;&lt;strong&gt;Assunto:&lt;/strong&gt; Cobrança/boleto com duplicidade&lt;/p&gt;&lt;p&gt;&lt;strong&gt;Merchant ID/Estabelecimento Comercial (EC):&lt;/strong&gt; 05.151.518/0001-40&lt;/p&gt;&lt;p&gt;&lt;strong&gt;Descrição do problema:&lt;/strong&gt; Olá, time. Tudo bem?
A Belenus recebeu um boleto duplicado neste mês de Agosto em relação as cobranças de Julho.
Eles estão com 2 boletos no DDA, informei para pagarem o boleto: 02119955 e gostaria de pedir a baixa da cobrança do outro boleto que é indevido!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is>
      </c>
      <c r="V371" s="71">
        <f>IFERROR(_xlfn.TEXTBEFORE(_xlfn.TEXTAFTER(U371,"Descrição do problema:&lt;/strong"),"&lt;/p&gt;"),_xlfn.TEXTAFTER(U371,"Descrição do problema:&lt;/strong"))</f>
        <v/>
      </c>
      <c r="W371" s="76">
        <f>_xlfn.CONCAT(D371:E371)</f>
        <v/>
      </c>
      <c r="X371" s="77" t="n">
        <v>46280</v>
      </c>
      <c r="Y371" s="78">
        <f>IF(X371="","Aberto","Encerrado")</f>
        <v/>
      </c>
      <c r="Z371" s="78">
        <f>IF(OR(L371="PENDENTE",L371="EM ANDAMENTO",L371="PENDENTE APROVAÇÃO CANCELAMENTO NF"),TODAY()-O371,X371-O371)</f>
        <v/>
      </c>
      <c r="AA371" s="78">
        <f>IF(Y371="Aberto",Z371+ROW()/100000,"")</f>
        <v/>
      </c>
      <c r="AB371" s="2">
        <f>IF(ISNUMBER(FIND("@cielo.com.br",S371)),"Interno","Externo")</f>
        <v/>
      </c>
      <c r="AC371" t="inlineStr">
        <is>
          <t>Cancelar boleto ou interromper cobranças futuras ligadas a boleto.</t>
        </is>
      </c>
      <c r="AD371" t="inlineStr">
        <is>
          <t>ACAO:BAIXAR; OBJETO:BOLETO; OBJETO:COBRANCA; CONTEXTO:DIVERGENCIA; CONTEXTO:DUPLICIDADE; CANAL:DDA</t>
        </is>
      </c>
      <c r="AE371" t="inlineStr">
        <is>
          <t>Cancelamento de boleto</t>
        </is>
      </c>
      <c r="AF371" t="inlineStr">
        <is>
          <t>Título Financeiro</t>
        </is>
      </c>
      <c r="AG371" t="inlineStr">
        <is>
          <t>Pagamentos, Boletos e Recebimentos</t>
        </is>
      </c>
      <c r="AI371" t="inlineStr">
        <is>
          <t>INT_PAG_BOLETO_CANCELAMENTO</t>
        </is>
      </c>
      <c r="AJ371" t="inlineStr">
        <is>
          <t>Sugerida</t>
        </is>
      </c>
      <c r="AK371" t="b">
        <v>0</v>
      </c>
      <c r="AN371">
        <f>IF(OR(AG371="",AM371=""),"",IF(AG371=AM371,"SIM","NÃO"))</f>
        <v/>
      </c>
      <c r="AO371" t="inlineStr">
        <is>
          <t>CLASSIFIED_SIGNATURE</t>
        </is>
      </c>
    </row>
    <row r="372" ht="15.5" customHeight="1">
      <c r="A372" s="1" t="n"/>
      <c r="B372" s="67" t="inlineStr">
        <is>
          <t>Pamela de Sá</t>
        </is>
      </c>
      <c r="C372" s="70">
        <f>VLOOKUP(I:I,'Referencias '!H:I,2,0)</f>
        <v/>
      </c>
      <c r="D372" s="129" t="n">
        <v>26550195</v>
      </c>
      <c r="E372" s="129" t="inlineStr">
        <is>
          <t>23313315</t>
        </is>
      </c>
      <c r="F372" s="126" t="inlineStr">
        <is>
          <t>2623815527394</t>
        </is>
      </c>
      <c r="G372" s="72" t="inlineStr">
        <is>
          <t>ASSOCIACAO DOS REGISTRADORES DAS PE SSOAS NATURAIS DO ESTADO</t>
        </is>
      </c>
      <c r="H372" s="72" t="inlineStr">
        <is>
          <t>00.679.163/0001-42</t>
        </is>
      </c>
      <c r="I372" s="70" t="inlineStr">
        <is>
          <t>Cancelamento de nf</t>
        </is>
      </c>
      <c r="J372" s="72" t="n"/>
      <c r="K372" s="72" t="n"/>
      <c r="L372" s="122" t="inlineStr">
        <is>
          <t>PENDENTE</t>
        </is>
      </c>
      <c r="M372" s="73" t="inlineStr">
        <is>
          <t>Médio</t>
        </is>
      </c>
      <c r="N372" s="129" t="inlineStr">
        <is>
          <t>1018 Financeiro | Desejo falar com o setor financeiro | ASSOCIACAO DOS REGISTRADORES DAS PE SSOAS NATURAIS DO ESTADO | ariane.pasilva@cielo.com.br</t>
        </is>
      </c>
      <c r="O372" s="125" t="n">
        <v>46260</v>
      </c>
      <c r="P372" s="123" t="n">
        <v>46260</v>
      </c>
      <c r="Q372" s="177">
        <f>TEXT(O372,"mmm/aaaa")</f>
        <v/>
      </c>
      <c r="R372" s="129" t="inlineStr">
        <is>
          <t>ECOMMERCE BP SUPORTE FINANCEIRO N2</t>
        </is>
      </c>
      <c r="S372" s="129" t="inlineStr">
        <is>
          <t>sitemarketing@cielo.com.br</t>
        </is>
      </c>
      <c r="T372" s="129" t="inlineStr"/>
      <c r="U372" s="129" t="n"/>
      <c r="V372" s="71">
        <f>IFERROR(_xlfn.TEXTBEFORE(_xlfn.TEXTAFTER(U372,"Descrição do problema:&lt;/strong"),"&lt;/p&gt;"),_xlfn.TEXTAFTER(U372,"Descrição do problema:&lt;/strong"))</f>
        <v/>
      </c>
      <c r="W372" s="76">
        <f>_xlfn.CONCAT(D372:E372)</f>
        <v/>
      </c>
      <c r="X372" s="77" t="n"/>
      <c r="Y372" s="78">
        <f>IF(X372="","Aberto","Encerrado")</f>
        <v/>
      </c>
      <c r="Z372" s="78">
        <f>IF(OR(L372="PENDENTE",L372="EM ANDAMENTO",L372="PENDENTE APROVAÇÃO CANCELAMENTO NF"),TODAY()-O372,X372-O372)</f>
        <v/>
      </c>
      <c r="AA372" s="78">
        <f>IF(Y372="Aberto",Z372+ROW()/100000,"")</f>
        <v/>
      </c>
      <c r="AB372" s="2">
        <f>IF(ISNUMBER(FIND("@cielo.com.br",S372)),"Interno","Externo")</f>
        <v/>
      </c>
      <c r="AD372" t="inlineStr"/>
      <c r="AJ372" t="inlineStr">
        <is>
          <t>Sem correspondência</t>
        </is>
      </c>
      <c r="AK372" t="b">
        <v>0</v>
      </c>
      <c r="AN372">
        <f>IF(OR(AG372="",AM372=""),"",IF(AG372=AM372,"SIM","NÃO"))</f>
        <v/>
      </c>
      <c r="AO372" t="inlineStr">
        <is>
          <t>NO_PATTERN</t>
        </is>
      </c>
    </row>
    <row r="373" ht="15.5" customHeight="1">
      <c r="A373" s="1" t="n"/>
      <c r="B373" s="67" t="inlineStr">
        <is>
          <t>Amanda Silva</t>
        </is>
      </c>
      <c r="C373" s="70">
        <f>VLOOKUP(I:I,'Referencias '!H:I,2,0)</f>
        <v/>
      </c>
      <c r="D373" s="129" t="n">
        <v>26540518</v>
      </c>
      <c r="E373" s="129" t="inlineStr">
        <is>
          <t>0</t>
        </is>
      </c>
      <c r="F373" s="126" t="inlineStr">
        <is>
          <t>2623814521211</t>
        </is>
      </c>
      <c r="G373" s="72">
        <f>VLOOKUP(H:H,'Referencias '!B:C,2,0)</f>
        <v/>
      </c>
      <c r="H373" s="72">
        <f>TRIM(_xlfn.TEXTBEFORE(_xlfn.TEXTAFTER(U373,"CNPJ/CPF:&lt;/strong&gt;"),"&lt;/p&gt;"))</f>
        <v/>
      </c>
      <c r="I373" s="70" t="inlineStr">
        <is>
          <t>Reenvio de boleto</t>
        </is>
      </c>
      <c r="J373" s="72" t="n"/>
      <c r="K373" s="72" t="n"/>
      <c r="L373" s="70" t="inlineStr">
        <is>
          <t>FINALIZADO</t>
        </is>
      </c>
      <c r="M373" s="73" t="inlineStr">
        <is>
          <t>Médio</t>
        </is>
      </c>
      <c r="N373" s="129" t="inlineStr">
        <is>
          <t>1020 Estratégia Antifraude | Analises | FLÁVIO JUNIOR | marketing1@embol.com.br</t>
        </is>
      </c>
      <c r="O373" s="125" t="n">
        <v>46260</v>
      </c>
      <c r="P373" s="123" t="n">
        <v>46262</v>
      </c>
      <c r="Q373" s="177">
        <f>TEXT(O373,"mmm/aaaa")</f>
        <v/>
      </c>
      <c r="R373" s="129" t="inlineStr">
        <is>
          <t>Amanda Alves Silva</t>
        </is>
      </c>
      <c r="S373" s="129" t="inlineStr">
        <is>
          <t>marketing1@embol.com.br</t>
        </is>
      </c>
      <c r="T373" s="129" t="inlineStr">
        <is>
          <t>EMBOL</t>
        </is>
      </c>
      <c r="U373" s="129" t="inlineStr">
        <is>
          <t xml:space="preserve">Olá, segue formulário enviado para Cielo E-commerce:&lt;p&gt;&lt;strong&gt;Qual seu nome?:&lt;/strong&gt; FLÁVIO JUNIOR&lt;/p&gt;&lt;p&gt;&lt;strong&gt;Endereço de e-mail:&lt;/strong&gt; marketing1@embol.com.br&lt;/p&gt;&lt;p&gt;&lt;strong&gt;CNPJ/CPF:&lt;/strong&gt; 02.771.903/0001-00&lt;/p&gt;&lt;p&gt;&lt;strong&gt;Telefone:&lt;/strong&gt; (31) 99470-7291&lt;/p&gt;&lt;p&gt;&lt;strong&gt;Assunto:&lt;/strong&gt; boleto duplicado&lt;/p&gt;&lt;p&gt;&lt;strong&gt;Merchant ID/Estabelecimento Comercial (EC):&lt;/strong&gt; 2809768239&lt;/p&gt;&lt;p&gt;&lt;strong&gt;Sobre qual produto ou área deseja falar?:&lt;/strong&gt; Estratégia Antifraude&lt;/p&gt;&lt;p&gt;&lt;strong&gt;Descrição do problema:&lt;/strong&gt; boleto duplicado da NF 0119985&lt;/p&gt;&lt;p&gt;&lt;strong&gt;Como podemos te ajudar?:&lt;/strong&gt; Analises&lt;/p&gt;&lt;p&gt;&lt;strong&gt;GA Client ID:&lt;/strong&gt; 737943084.1785523084&lt;/p&gt;&lt;p&gt;&lt;strong&gt;Lead Hash ID:&lt;/strong&gt; 7f5c2ebbeaf3435467c638f3c2012f0dfebcf55b4d3e5bf1d98f52ff8d446184&lt;/p&gt;&lt;p&gt;&lt;strong&gt;Lead Form ID:&lt;/strong&gt; 7f5c2ebbeaf3435467c638f3c2012f0dfebcf55b4d3e5bf1d98f52ff8d446184.1787763845091&lt;/p&gt;&lt;br&gt;-json-{
    "infoClientes": [
        {
            "nomeCliente": "FL\u00c1VIO JUNIOR",
          </t>
        </is>
      </c>
      <c r="V373" s="71">
        <f>IFERROR(_xlfn.TEXTBEFORE(_xlfn.TEXTAFTER(U373,"Descrição do problema:&lt;/strong"),"&lt;/p&gt;"),_xlfn.TEXTAFTER(U373,"Descrição do problema:&lt;/strong"))</f>
        <v/>
      </c>
      <c r="W373" s="76">
        <f>_xlfn.CONCAT(D373:E373)</f>
        <v/>
      </c>
      <c r="X373" s="77" t="n">
        <v>46267</v>
      </c>
      <c r="Y373" s="78">
        <f>IF(X373="","Aberto","Encerrado")</f>
        <v/>
      </c>
      <c r="Z373" s="78">
        <f>IF(OR(L373="PENDENTE",L373="EM ANDAMENTO",L373="PENDENTE APROVAÇÃO CANCELAMENTO NF"),TODAY()-O373,X373-O373)</f>
        <v/>
      </c>
      <c r="AA373" s="78">
        <f>IF(Y373="Aberto",Z373+ROW()/100000,"")</f>
        <v/>
      </c>
      <c r="AB373" s="2">
        <f>IF(ISNUMBER(FIND("@cielo.com.br",S373)),"Interno","Externo")</f>
        <v/>
      </c>
      <c r="AC373" t="inlineStr">
        <is>
          <t>Cancelar boleto ou interromper cobranças futuras ligadas a boleto.</t>
        </is>
      </c>
      <c r="AD373" t="inlineStr">
        <is>
          <t>boleto + duplicado</t>
        </is>
      </c>
      <c r="AE373" t="inlineStr">
        <is>
          <t>Cancelamento de boleto</t>
        </is>
      </c>
      <c r="AF373" t="inlineStr">
        <is>
          <t>Título Financeiro</t>
        </is>
      </c>
      <c r="AG373" t="inlineStr">
        <is>
          <t>Pagamentos, Boletos e Recebimentos</t>
        </is>
      </c>
      <c r="AI373" t="inlineStr">
        <is>
          <t>INT_PAG_BOLETO_CANCELAMENTO</t>
        </is>
      </c>
      <c r="AJ373" t="inlineStr">
        <is>
          <t>Sugerida</t>
        </is>
      </c>
      <c r="AK373" t="b">
        <v>0</v>
      </c>
      <c r="AN373">
        <f>IF(OR(AG373="",AM373=""),"",IF(AG373=AM373,"SIM","NÃO"))</f>
        <v/>
      </c>
      <c r="AO373" t="inlineStr">
        <is>
          <t>CLASSIFIED_PATTERN</t>
        </is>
      </c>
    </row>
    <row r="374" ht="15.5" customHeight="1">
      <c r="A374" s="1" t="n"/>
      <c r="B374" s="67" t="inlineStr">
        <is>
          <t>Amanda Silva</t>
        </is>
      </c>
      <c r="C374" s="70">
        <f>VLOOKUP(I:I,'Referencias '!H:I,2,0)</f>
        <v/>
      </c>
      <c r="D374" s="129" t="n">
        <v>26533107</v>
      </c>
      <c r="E374" s="129" t="inlineStr">
        <is>
          <t>0</t>
        </is>
      </c>
      <c r="F374" s="126" t="inlineStr">
        <is>
          <t>2623812516578</t>
        </is>
      </c>
      <c r="G374" s="72">
        <f>VLOOKUP(H:H,'Referencias '!B:C,2,0)</f>
        <v/>
      </c>
      <c r="H374" s="72">
        <f>TRIM(_xlfn.TEXTBEFORE(_xlfn.TEXTAFTER(U374,"CNPJ/CPF:&lt;/strong&gt;"),"&lt;/p&gt;"))</f>
        <v/>
      </c>
      <c r="I374" s="70" t="inlineStr">
        <is>
          <t>Reenvio de boleto</t>
        </is>
      </c>
      <c r="J374" s="72" t="n"/>
      <c r="K374" s="72" t="n"/>
      <c r="L374" s="70" t="inlineStr">
        <is>
          <t>FINALIZADO</t>
        </is>
      </c>
      <c r="M374" s="73" t="inlineStr">
        <is>
          <t>Médio</t>
        </is>
      </c>
      <c r="N374" s="129" t="inlineStr">
        <is>
          <t>1018 Financeiro | Desejo falar com o setor financeiro | Felipe Nichols | felipe@vivastays.co</t>
        </is>
      </c>
      <c r="O374" s="125" t="n">
        <v>46260</v>
      </c>
      <c r="P374" s="123" t="n">
        <v>46260</v>
      </c>
      <c r="Q374" s="177">
        <f>TEXT(O374,"mmm/aaaa")</f>
        <v/>
      </c>
      <c r="R374" s="129" t="inlineStr">
        <is>
          <t>ECOMMERCE BP SUPORTE FINANCEIRO N2</t>
        </is>
      </c>
      <c r="S374" s="129" t="inlineStr">
        <is>
          <t>felipe@vivastays.co</t>
        </is>
      </c>
      <c r="T374" s="129" t="inlineStr">
        <is>
          <t>VIVA GESTAO E ADMINISTRACAO DE PROPRIEDADES IMOBILIARIAS SA</t>
        </is>
      </c>
      <c r="U374" s="129" t="inlineStr">
        <is>
          <t>Olá, segue formulário enviado para Cielo E-commerce:&lt;p&gt;&lt;strong&gt;Sobre qual produto ou área deseja falar?:&lt;/strong&gt; Financeiro&lt;/p&gt;&lt;p&gt;&lt;strong&gt;Como podemos te ajudar?:&lt;/strong&gt; Desejo falar com o setor financeiro&lt;/p&gt;&lt;p&gt;&lt;strong&gt;Descrição do problema:&lt;/strong&gt; ola!
gostaria de todos os boletos pendentes atualizados para pagamento, principalmente referente a NF 117684&lt;/p&gt;&lt;p&gt;&lt;strong&gt;Qual seu nome?:&lt;/strong&gt; Felipe Nichols&lt;/p&gt;&lt;p&gt;&lt;strong&gt;Endereço de e-mail:&lt;/strong&gt; felipe@vivastays.co&lt;/p&gt;&lt;p&gt;&lt;strong&gt;CNPJ/CPF:&lt;/strong&gt; 49.944.686/0001-68&lt;/p&gt;&lt;p&gt;&lt;strong&gt;Telefone:&lt;/strong&gt; (11) 99907-9454&lt;/p&gt;&lt;p&gt;&lt;strong&gt;Assunto:&lt;/strong&gt; Boleto Vencido&lt;/p&gt;&lt;p&gt;&lt;strong&gt;Merchant ID/Estabelecimento Comercial (EC):&lt;/strong&gt; B5D6403D-988C-4B75-8E35-89EE1FC00645&lt;/p&gt;&lt;p&gt;&lt;strong&gt;GA Client ID:&lt;/strong&gt; 730813036.1787756139&lt;/p&gt;&lt;p&gt;&lt;strong&gt;Lead Hash ID:&lt;/strong&gt; 4a65560dad6972446b6e46462bac043ab73a3c9cfce7372731456f827efd095b&lt;/p&gt;&lt;p&gt;&lt;strong&gt;Lead Form ID:&lt;/strong&gt; 4a65560dad6972446b6e46462bac043ab73a3c9cfce7372731456f827efd095b.1787</t>
        </is>
      </c>
      <c r="V374" s="71">
        <f>IFERROR(_xlfn.TEXTBEFORE(_xlfn.TEXTAFTER(U374,"Descrição do problema:&lt;/strong"),"&lt;/p&gt;"),_xlfn.TEXTAFTER(U374,"Descrição do problema:&lt;/strong"))</f>
        <v/>
      </c>
      <c r="W374" s="76">
        <f>_xlfn.CONCAT(D374:E374)</f>
        <v/>
      </c>
      <c r="X374" s="77" t="n">
        <v>46267</v>
      </c>
      <c r="Y374" s="78">
        <f>IF(X374="","Aberto","Encerrado")</f>
        <v/>
      </c>
      <c r="Z374" s="78">
        <f>IF(OR(L374="PENDENTE",L374="EM ANDAMENTO",L374="PENDENTE APROVAÇÃO CANCELAMENTO NF"),TODAY()-O374,X374-O374)</f>
        <v/>
      </c>
      <c r="AA374" s="78">
        <f>IF(Y374="Aberto",Z374+ROW()/100000,"")</f>
        <v/>
      </c>
      <c r="AB374" s="2">
        <f>IF(ISNUMBER(FIND("@cielo.com.br",S374)),"Interno","Externo")</f>
        <v/>
      </c>
      <c r="AC374" t="inlineStr">
        <is>
          <t>Solicitar segunda via, reenvio ou reemissão de boleto.</t>
        </is>
      </c>
      <c r="AD374" t="inlineStr">
        <is>
          <t>boleto vencido; boletos pendentes atualizados; boleto + atualizado; boleto + vencido</t>
        </is>
      </c>
      <c r="AE374" t="inlineStr">
        <is>
          <t>Reenvio de boleto</t>
        </is>
      </c>
      <c r="AF374" t="inlineStr">
        <is>
          <t>Título Financeiro</t>
        </is>
      </c>
      <c r="AG374" t="inlineStr">
        <is>
          <t>Pagamentos, Boletos e Recebimentos</t>
        </is>
      </c>
      <c r="AI374" t="inlineStr">
        <is>
          <t>INT_PAG_BOLETO_REENVIO</t>
        </is>
      </c>
      <c r="AJ374" t="inlineStr">
        <is>
          <t>Sugerida</t>
        </is>
      </c>
      <c r="AK374" t="b">
        <v>0</v>
      </c>
      <c r="AN374">
        <f>IF(OR(AG374="",AM374=""),"",IF(AG374=AM374,"SIM","NÃO"))</f>
        <v/>
      </c>
      <c r="AO374" t="inlineStr">
        <is>
          <t>CLASSIFIED_PATTERN</t>
        </is>
      </c>
    </row>
    <row r="375" ht="15.5" customHeight="1">
      <c r="A375" s="1" t="n"/>
      <c r="B375" s="67" t="inlineStr">
        <is>
          <t>Stephany Lima</t>
        </is>
      </c>
      <c r="C375" s="70">
        <f>VLOOKUP(I:I,'Referencias '!H:I,2,0)</f>
        <v/>
      </c>
      <c r="D375" s="129" t="n">
        <v>26697827</v>
      </c>
      <c r="E375" s="129" t="inlineStr">
        <is>
          <t>0</t>
        </is>
      </c>
      <c r="F375" s="126" t="inlineStr">
        <is>
          <t>2624311619790</t>
        </is>
      </c>
      <c r="G375" s="72">
        <f>VLOOKUP(H:H,'Referencias '!B:C,2,0)</f>
        <v/>
      </c>
      <c r="H375" s="72">
        <f>TRIM(_xlfn.TEXTBEFORE(_xlfn.TEXTAFTER(U375,"CNPJ/CPF:&lt;/strong&gt;"),"&lt;/p&gt;"))</f>
        <v/>
      </c>
      <c r="I375" s="70" t="inlineStr">
        <is>
          <t>Cancelamento de contrato</t>
        </is>
      </c>
      <c r="J375" s="72" t="n"/>
      <c r="K375" s="72" t="n"/>
      <c r="L375" s="122" t="inlineStr">
        <is>
          <t>PENDENTE</t>
        </is>
      </c>
      <c r="M375" s="73" t="inlineStr">
        <is>
          <t>Médio</t>
        </is>
      </c>
      <c r="N375" s="129" t="inlineStr">
        <is>
          <t>1018 Financeiro | Desejo falar com o setor financeiro | THAYSA MORAES | financeiro@sitiodomoinho.com</t>
        </is>
      </c>
      <c r="O375" s="125" t="n">
        <v>46265</v>
      </c>
      <c r="P375" s="123" t="n">
        <v>46265</v>
      </c>
      <c r="Q375" s="177">
        <f>TEXT(O375,"mmm/aaaa")</f>
        <v/>
      </c>
      <c r="R375" s="129" t="inlineStr">
        <is>
          <t>ECOMMERCE BP SUPORTE FINANCEIRO N2</t>
        </is>
      </c>
      <c r="S375" s="129" t="inlineStr">
        <is>
          <t>financeiro@sitiodomoinho.com</t>
        </is>
      </c>
      <c r="T375" s="129" t="inlineStr">
        <is>
          <t>SITIO DO MOINHO</t>
        </is>
      </c>
      <c r="U375" s="129" t="inlineStr">
        <is>
          <t>Olá, segue formulário enviado para Cielo E-commerce:&lt;p&gt;&lt;strong&gt;Qual seu nome?:&lt;/strong&gt; THAYSA MORAES&lt;/p&gt;&lt;p&gt;&lt;strong&gt;Endereço de e-mail:&lt;/strong&gt; financeiro@sitiodomoinho.com&lt;/p&gt;&lt;p&gt;&lt;strong&gt;CNPJ/CPF:&lt;/strong&gt; 15.428.902/0001-09&lt;/p&gt;&lt;p&gt;&lt;strong&gt;Telefone:&lt;/strong&gt; (24) 98857-5781&lt;/p&gt;&lt;p&gt;&lt;strong&gt;Assunto:&lt;/strong&gt; Cancelamento serviço STELO&lt;/p&gt;&lt;p&gt;&lt;strong&gt;Merchant ID/Estabelecimento Comercial (EC):&lt;/strong&gt; 15.428.902/0001-09&lt;/p&gt;&lt;p&gt;&lt;strong&gt;Sobre qual produto ou área deseja falar?:&lt;/strong&gt; Financeiro&lt;/p&gt;&lt;p&gt;&lt;strong&gt;Como podemos te ajudar?:&lt;/strong&gt; Desejo falar com o setor financeiro&lt;/p&gt;&lt;p&gt;&lt;strong&gt;Descrição do problema:&lt;/strong&gt; Bom dia,
Encerramos nossas atividades no inicio de julho.
Eu gostaria de solicitar o cancelamento do serviço, e verificar se conseguem algum abatimento nas notas fiscais emitidas em 28/08.
Favor verificar também se houve uma solicitação de cancelamento anterior, pois pedimos para o nosso funcionário realizar o cancelamento, antes de ser desligado da empresa.
Aguardo retor</t>
        </is>
      </c>
      <c r="V375" s="71">
        <f>IFERROR(_xlfn.TEXTBEFORE(_xlfn.TEXTAFTER(U375,"Descrição do problema:&lt;/strong"),"&lt;/p&gt;"),_xlfn.TEXTAFTER(U375,"Descrição do problema:&lt;/strong"))</f>
        <v/>
      </c>
      <c r="W375" s="76">
        <f>_xlfn.CONCAT(D375:E375)</f>
        <v/>
      </c>
      <c r="X375" s="77" t="n"/>
      <c r="Y375" s="78">
        <f>IF(X375="","Aberto","Encerrado")</f>
        <v/>
      </c>
      <c r="Z375" s="78">
        <f>IF(OR(L375="PENDENTE",L375="EM ANDAMENTO",L375="PENDENTE APROVAÇÃO CANCELAMENTO NF"),TODAY()-O375,X375-O375)</f>
        <v/>
      </c>
      <c r="AA375" s="78">
        <f>IF(Y375="Aberto",Z375+ROW()/100000,"")</f>
        <v/>
      </c>
      <c r="AB375" s="2">
        <f>IF(ISNUMBER(FIND("@cielo.com.br",S375)),"Interno","Externo")</f>
        <v/>
      </c>
      <c r="AC375" t="inlineStr">
        <is>
          <t>Cancelar, substituir ou reemitir nota fiscal.</t>
        </is>
      </c>
      <c r="AD375" t="inlineStr">
        <is>
          <t>ACAO:CANCELAR; ACAO:CONSULTAR; OBJETO:NOTA_FISCAL</t>
        </is>
      </c>
      <c r="AE375" t="inlineStr">
        <is>
          <t>Cancelamento de NF</t>
        </is>
      </c>
      <c r="AF375" t="inlineStr">
        <is>
          <t>Documento Fiscal</t>
        </is>
      </c>
      <c r="AG375" t="inlineStr">
        <is>
          <t>Cancelamento e Reemissão de Nota Fiscal</t>
        </is>
      </c>
      <c r="AI375" t="inlineStr">
        <is>
          <t>INT_NF_CANCEL_REEMISSAO</t>
        </is>
      </c>
      <c r="AJ375" t="inlineStr">
        <is>
          <t>Sugerida</t>
        </is>
      </c>
      <c r="AK375" t="b">
        <v>0</v>
      </c>
      <c r="AN375">
        <f>IF(OR(AG375="",AM375=""),"",IF(AG375=AM375,"SIM","NÃO"))</f>
        <v/>
      </c>
      <c r="AO375" t="inlineStr">
        <is>
          <t>CLASSIFIED_SIGNATURE</t>
        </is>
      </c>
    </row>
    <row r="376" ht="15.5" customFormat="1" customHeight="1" s="102">
      <c r="A376" s="1" t="n"/>
      <c r="B376" s="132" t="inlineStr">
        <is>
          <t>Amanda Silva</t>
        </is>
      </c>
      <c r="C376" s="122" t="inlineStr">
        <is>
          <t>Pagamentos, Boletos e Recebimentos</t>
        </is>
      </c>
      <c r="D376" s="129" t="n">
        <v>26529756</v>
      </c>
      <c r="E376" s="129" t="inlineStr">
        <is>
          <t>0</t>
        </is>
      </c>
      <c r="F376" s="126" t="inlineStr">
        <is>
          <t>2623811514524</t>
        </is>
      </c>
      <c r="G376" s="126">
        <f>VLOOKUP(H:H,'Referencias '!B:C,2,0)</f>
        <v/>
      </c>
      <c r="H376" s="126">
        <f>TRIM(_xlfn.TEXTBEFORE(_xlfn.TEXTAFTER(U376,"CNPJ/CPF:&lt;/strong&gt;"),"&lt;/p&gt;"))</f>
        <v/>
      </c>
      <c r="I376" s="122" t="inlineStr">
        <is>
          <t>Informações cobrança</t>
        </is>
      </c>
      <c r="J376" s="126" t="n"/>
      <c r="K376" s="126" t="n"/>
      <c r="L376" s="122" t="inlineStr">
        <is>
          <t>PENDENTE</t>
        </is>
      </c>
      <c r="M376" s="127" t="inlineStr">
        <is>
          <t>Médio</t>
        </is>
      </c>
      <c r="N376" s="129" t="inlineStr">
        <is>
          <t>1018 Financeiro | Desejo falar com o setor financeiro | COVABRA SUPERMERCADOS LTDA | ariane.pasilva@cielo.com.br</t>
        </is>
      </c>
      <c r="O376" s="125" t="n">
        <v>46260</v>
      </c>
      <c r="P376" s="123" t="n">
        <v>46260</v>
      </c>
      <c r="Q376" s="178">
        <f>TEXT(O376,"mmm/aaaa")</f>
        <v/>
      </c>
      <c r="R376" s="129" t="inlineStr">
        <is>
          <t>ECOMMERCE BP SUPORTE FINANCEIRO N2</t>
        </is>
      </c>
      <c r="S376" s="129" t="inlineStr">
        <is>
          <t>ariane.pasilva@cielo.com.br</t>
        </is>
      </c>
      <c r="T376" s="129" t="inlineStr">
        <is>
          <t>COVABRA SUPERMERCADOS LTDA</t>
        </is>
      </c>
      <c r="U376" s="129"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conciliação bancária - Pagamento&lt;/p&gt;&lt;p&gt;&lt;strong&gt;Merchant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Time financeiro, bom dia. Tudo bem?
Por favor eu preciso de um levantamento de TODOS os pagamentos do ano de 2023 do cliente covabra para a Stelo.
Motivo do pedido: A empresa alega que pagou para a Stelo no ano de 2023 o total de R$ 54.563,59. 
Então eu preciso dessa conciliação para ter ume reunião com a cliente. Em anexo, segue base da cliente.&lt;/p&gt;&lt;p&gt;&lt;s</t>
        </is>
      </c>
      <c r="V376" s="129">
        <f>IFERROR(_xlfn.TEXTBEFORE(_xlfn.TEXTAFTER(U376,"Descrição do problema:&lt;/strong"),"&lt;/p&gt;"),_xlfn.TEXTAFTER(U376,"Descrição do problema:&lt;/strong"))</f>
        <v/>
      </c>
      <c r="W376" s="130">
        <f>_xlfn.CONCAT(D376:E376)</f>
        <v/>
      </c>
      <c r="X376" s="77" t="n"/>
      <c r="Y376" s="131">
        <f>IF(X376="","Aberto","Encerrado")</f>
        <v/>
      </c>
      <c r="Z376" s="131">
        <f>IF(OR(L376="PENDENTE",L376="EM ANDAMENTO",L376="PENDENTE APROVAÇÃO CANCELAMENTO NF"),TODAY()-O376,X376-O376)</f>
        <v/>
      </c>
      <c r="AA376" s="131">
        <f>IF(Y376="Aberto",Z376+ROW()/100000,"")</f>
        <v/>
      </c>
      <c r="AB376" s="2">
        <f>IF(ISNUMBER(FIND("@cielo.com.br",S376)),"Interno","Externo")</f>
        <v/>
      </c>
      <c r="AC376" t="inlineStr">
        <is>
          <t>Consultar pagamentos, débitos, pendências ou recebíveis.</t>
        </is>
      </c>
      <c r="AD376" t="inlineStr">
        <is>
          <t>levantamento de todos os pagamentos</t>
        </is>
      </c>
      <c r="AE376" t="inlineStr">
        <is>
          <t>Consulta financeira</t>
        </is>
      </c>
      <c r="AF376" t="inlineStr">
        <is>
          <t>Título Financeiro</t>
        </is>
      </c>
      <c r="AG376" t="inlineStr">
        <is>
          <t>Pagamentos, Boletos e Recebimentos</t>
        </is>
      </c>
      <c r="AI376" t="inlineStr">
        <is>
          <t>INT_PAG_FINANCEIRO</t>
        </is>
      </c>
      <c r="AJ376" t="inlineStr">
        <is>
          <t>Sugerida</t>
        </is>
      </c>
      <c r="AK376" t="b">
        <v>0</v>
      </c>
      <c r="AN376">
        <f>IF(OR(AG376="",AM376=""),"",IF(AG376=AM376,"SIM","NÃO"))</f>
        <v/>
      </c>
      <c r="AO376" t="inlineStr">
        <is>
          <t>CLASSIFIED_PATTERN</t>
        </is>
      </c>
    </row>
    <row r="377" ht="15.5" customHeight="1">
      <c r="A377" s="1" t="n"/>
      <c r="B377" s="67" t="inlineStr">
        <is>
          <t>Emilly Maria</t>
        </is>
      </c>
      <c r="C377" s="70" t="inlineStr">
        <is>
          <t>Pagamentos, Boletos e Recebimentos</t>
        </is>
      </c>
      <c r="D377" s="129" t="n">
        <v>26528907</v>
      </c>
      <c r="E377" s="129" t="inlineStr">
        <is>
          <t>0</t>
        </is>
      </c>
      <c r="F377" s="126" t="inlineStr">
        <is>
          <t>2623811514049</t>
        </is>
      </c>
      <c r="G377" s="72">
        <f>VLOOKUP(H:H,'Referencias '!B:C,2,0)</f>
        <v/>
      </c>
      <c r="H377" s="72">
        <f>TRIM(_xlfn.TEXTBEFORE(_xlfn.TEXTAFTER(U377,"CNPJ/CPF:&lt;/strong&gt;"),"&lt;/p&gt;"))</f>
        <v/>
      </c>
      <c r="I377" s="70" t="inlineStr">
        <is>
          <t>Informações cobrança</t>
        </is>
      </c>
      <c r="J377" s="72" t="n"/>
      <c r="K377" s="72" t="n"/>
      <c r="L377" s="122" t="inlineStr">
        <is>
          <t>PENDENTE</t>
        </is>
      </c>
      <c r="M377" s="73" t="inlineStr">
        <is>
          <t>Médio</t>
        </is>
      </c>
      <c r="N377" s="129" t="inlineStr">
        <is>
          <t>1018 Financeiro | Desejo falar com o setor financeiro | DENTAL MACEIÓ LTDA | financeiro@dentalmac.com.br</t>
        </is>
      </c>
      <c r="O377" s="125" t="n">
        <v>46260</v>
      </c>
      <c r="P377" s="123" t="n">
        <v>46260</v>
      </c>
      <c r="Q377" s="177">
        <f>TEXT(O377,"mmm/aaaa")</f>
        <v/>
      </c>
      <c r="R377" s="129" t="inlineStr">
        <is>
          <t>ECOMMERCE BP SUPORTE FINANCEIRO N2</t>
        </is>
      </c>
      <c r="S377" s="129" t="inlineStr">
        <is>
          <t>financeiro@dentalmac.com.br</t>
        </is>
      </c>
      <c r="T377" s="129" t="inlineStr">
        <is>
          <t>DENTAL MAC</t>
        </is>
      </c>
      <c r="U377" s="129" t="inlineStr">
        <is>
          <t>Olá, segue formulário enviado para Cielo E-commerce:&lt;p&gt;&lt;strong&gt;Qual seu nome?:&lt;/strong&gt; DENTAL MACEIÓ LTDA&lt;/p&gt;&lt;p&gt;&lt;strong&gt;Endereço de e-mail:&lt;/strong&gt; financeiro@dentalmac.com.br&lt;/p&gt;&lt;p&gt;&lt;strong&gt;CNPJ/CPF:&lt;/strong&gt; 24.166.332/0001-09&lt;/p&gt;&lt;p&gt;&lt;strong&gt;Telefone:&lt;/strong&gt; (82) 3336-4900&lt;/p&gt;&lt;p&gt;&lt;strong&gt;Assunto:&lt;/strong&gt; Duplicidade de boletos no DDA&lt;/p&gt;&lt;p&gt;&lt;strong&gt;Merchant ID/Estabelecimento Comercial (EC):&lt;/strong&gt; f37c45df-7240-46c5-b030-51871a43e1af&lt;/p&gt;&lt;p&gt;&lt;strong&gt;Sobre qual produto ou área deseja falar?:&lt;/strong&gt; Financeiro&lt;/p&gt;&lt;p&gt;&lt;strong&gt;Como podemos te ajudar?:&lt;/strong&gt; Desejo falar com o setor financeiro&lt;/p&gt;&lt;p&gt;&lt;strong&gt;Descrição do problema:&lt;/strong&gt;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t>
        </is>
      </c>
      <c r="V377" s="71">
        <f>IFERROR(_xlfn.TEXTBEFORE(_xlfn.TEXTAFTER(U377,"Descrição do problema:&lt;/strong"),"&lt;/p&gt;"),_xlfn.TEXTAFTER(U377,"Descrição do problema:&lt;/strong"))</f>
        <v/>
      </c>
      <c r="W377" s="76">
        <f>_xlfn.CONCAT(D377:E377)</f>
        <v/>
      </c>
      <c r="X377" s="77" t="n"/>
      <c r="Y377" s="78">
        <f>IF(X377="","Aberto","Encerrado")</f>
        <v/>
      </c>
      <c r="Z377" s="78">
        <f>IF(OR(L377="PENDENTE",L377="EM ANDAMENTO",L377="PENDENTE APROVAÇÃO CANCELAMENTO NF"),TODAY()-O377,X377-O377)</f>
        <v/>
      </c>
      <c r="AA377" s="78">
        <f>IF(Y377="Aberto",Z377+ROW()/100000,"")</f>
        <v/>
      </c>
      <c r="AB377" s="2">
        <f>IF(ISNUMBER(FIND("@cielo.com.br",S377)),"Interno","Externo")</f>
        <v/>
      </c>
      <c r="AC377" t="inlineStr">
        <is>
          <t>Cancelar boleto ou interromper cobranças futuras ligadas a boleto.</t>
        </is>
      </c>
      <c r="AD377" t="inlineStr">
        <is>
          <t>OBJETO:BOLETO; OBJETO:COBRANCA; OBJETO:NOTA_FISCAL; CONTEXTO:DUPLICIDADE; CANAL:DDA</t>
        </is>
      </c>
      <c r="AE377" t="inlineStr">
        <is>
          <t>Cancelamento de boleto</t>
        </is>
      </c>
      <c r="AF377" t="inlineStr">
        <is>
          <t>Título Financeiro</t>
        </is>
      </c>
      <c r="AG377" t="inlineStr">
        <is>
          <t>Pagamentos, Boletos e Recebimentos</t>
        </is>
      </c>
      <c r="AI377" t="inlineStr">
        <is>
          <t>INT_PAG_BOLETO_CANCELAMENTO</t>
        </is>
      </c>
      <c r="AJ377" t="inlineStr">
        <is>
          <t>Sugerida</t>
        </is>
      </c>
      <c r="AK377" t="b">
        <v>0</v>
      </c>
      <c r="AN377">
        <f>IF(OR(AG377="",AM377=""),"",IF(AG377=AM377,"SIM","NÃO"))</f>
        <v/>
      </c>
      <c r="AO377" t="inlineStr">
        <is>
          <t>CLASSIFIED_SIGNATURE</t>
        </is>
      </c>
    </row>
    <row r="378" ht="15.5" customHeight="1">
      <c r="A378" s="1" t="n"/>
      <c r="B378" s="67" t="inlineStr">
        <is>
          <t>Amanda Silva</t>
        </is>
      </c>
      <c r="C378" s="70" t="inlineStr">
        <is>
          <t>Pagamentos, Boletos e Recebimentos</t>
        </is>
      </c>
      <c r="D378" s="129" t="n">
        <v>26520449</v>
      </c>
      <c r="E378" s="129" t="inlineStr">
        <is>
          <t>0</t>
        </is>
      </c>
      <c r="F378" s="126" t="inlineStr">
        <is>
          <t>2623810508780</t>
        </is>
      </c>
      <c r="G378" s="72">
        <f>VLOOKUP(H:H,'Referencias '!B:C,2,0)</f>
        <v/>
      </c>
      <c r="H378" s="72">
        <f>TRIM(_xlfn.TEXTBEFORE(_xlfn.TEXTAFTER(U378,"CNPJ/CPF:&lt;/strong&gt;"),"&lt;/p&gt;"))</f>
        <v/>
      </c>
      <c r="I378" s="70" t="inlineStr">
        <is>
          <t>Informações cobrança</t>
        </is>
      </c>
      <c r="J378" s="72" t="n"/>
      <c r="K378" s="72" t="n"/>
      <c r="L378" s="122" t="inlineStr">
        <is>
          <t>FINALIZADO</t>
        </is>
      </c>
      <c r="M378" s="73" t="inlineStr">
        <is>
          <t>Médio</t>
        </is>
      </c>
      <c r="N378" s="129" t="inlineStr">
        <is>
          <t>1018 Financeiro | Desejo falar com o setor financeiro | Dayane Mendes dos Santos | carolineal@cielo.com</t>
        </is>
      </c>
      <c r="O378" s="125" t="n">
        <v>46260</v>
      </c>
      <c r="P378" s="123" t="n">
        <v>46260</v>
      </c>
      <c r="Q378" s="177">
        <f>TEXT(O378,"mmm/aaaa")</f>
        <v/>
      </c>
      <c r="R378" s="129" t="inlineStr">
        <is>
          <t>ECOMMERCE BP SUPORTE FINANCEIRO N2</t>
        </is>
      </c>
      <c r="S378" s="129" t="inlineStr">
        <is>
          <t>carolineal@cielo.com</t>
        </is>
      </c>
      <c r="T378" s="129" t="inlineStr"/>
      <c r="U378" s="129" t="inlineStr">
        <is>
          <t>Olá, segue formulário enviado para Cielo E-commerce:&lt;p&gt;&lt;strong&gt;Qual seu nome?:&lt;/strong&gt; Dayane Mendes dos Santos&lt;/p&gt;&lt;p&gt;&lt;strong&gt;Endereço de e-mail:&lt;/strong&gt; carolineal@cielo.com&lt;/p&gt;&lt;p&gt;&lt;strong&gt;CNPJ/CPF:&lt;/strong&gt; 05.164.667/0001-43&lt;/p&gt;&lt;p&gt;&lt;strong&gt;Telefone:&lt;/strong&gt; (11) 99299-9335&lt;/p&gt;&lt;p&gt;&lt;strong&gt;Assunto:&lt;/strong&gt; Boleto/Cobrança Duplicada&lt;/p&gt;&lt;p&gt;&lt;strong&gt;Merchant ID/Estabelecimento Comercial (EC):&lt;/strong&gt; 05.164.667/0001-43&lt;/p&gt;&lt;p&gt;&lt;strong&gt;Descrição do problema:&lt;/strong&gt; Bom dia, recebemos uma cobrança duplicata do mês de Julho.
Vinheram 2 boletos com o mesmo valor e numeração diferente. 
1) 02119965 
2) 01119965
Efetuamos o pagamento de um e queremos que o outro seja excluído dado cobrança duplicada e indevida.
Aguardo retorno.
Abraços.&lt;/p&gt;&lt;p&gt;&lt;strong&gt;ID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t>
        </is>
      </c>
      <c r="V378" s="71">
        <f>IFERROR(_xlfn.TEXTBEFORE(_xlfn.TEXTAFTER(U378,"Descrição do problema:&lt;/strong"),"&lt;/p&gt;"),_xlfn.TEXTAFTER(U378,"Descrição do problema:&lt;/strong"))</f>
        <v/>
      </c>
      <c r="W378" s="76">
        <f>_xlfn.CONCAT(D378:E378)</f>
        <v/>
      </c>
      <c r="X378" s="77" t="n">
        <v>46280</v>
      </c>
      <c r="Y378" s="78">
        <f>IF(X378="","Aberto","Encerrado")</f>
        <v/>
      </c>
      <c r="Z378" s="78">
        <f>IF(OR(L378="PENDENTE",L378="EM ANDAMENTO",L378="PENDENTE APROVAÇÃO CANCELAMENTO NF"),TODAY()-O378,X378-O378)</f>
        <v/>
      </c>
      <c r="AA378" s="78">
        <f>IF(Y378="Aberto",Z378+ROW()/100000,"")</f>
        <v/>
      </c>
      <c r="AB378" s="2">
        <f>IF(ISNUMBER(FIND("@cielo.com.br",S378)),"Interno","Externo")</f>
        <v/>
      </c>
      <c r="AC378" t="inlineStr">
        <is>
          <t>Contestar divergência, valor ou critério de cobrança.</t>
        </is>
      </c>
      <c r="AD378" t="inlineStr">
        <is>
          <t>OBJETO:BOLETO; OBJETO:COBRANCA; CONTEXTO:DIVERGENCIA; CONTEXTO:DUPLICIDADE</t>
        </is>
      </c>
      <c r="AE378" t="inlineStr">
        <is>
          <t>Contestação de cobrança</t>
        </is>
      </c>
      <c r="AF378" t="inlineStr">
        <is>
          <t>Valor Cobrado</t>
        </is>
      </c>
      <c r="AG378" t="inlineStr">
        <is>
          <t>Cobrança e Contestação</t>
        </is>
      </c>
      <c r="AI378" t="inlineStr">
        <is>
          <t>INT_COB_CONTESTACAO</t>
        </is>
      </c>
      <c r="AJ378" t="inlineStr">
        <is>
          <t>Sugerida</t>
        </is>
      </c>
      <c r="AK378" t="b">
        <v>0</v>
      </c>
      <c r="AN378">
        <f>IF(OR(AG378="",AM378=""),"",IF(AG378=AM378,"SIM","NÃO"))</f>
        <v/>
      </c>
      <c r="AO378" t="inlineStr">
        <is>
          <t>CLASSIFIED_SIGNATURE</t>
        </is>
      </c>
    </row>
    <row r="379" ht="15.5" customHeight="1">
      <c r="A379" s="1" t="n"/>
      <c r="B379" s="67" t="inlineStr">
        <is>
          <t>Stephany Lima</t>
        </is>
      </c>
      <c r="C379" s="70" t="inlineStr">
        <is>
          <t>Faturamento e Obrigações Fiscais</t>
        </is>
      </c>
      <c r="D379" s="129" t="n">
        <v>26519885</v>
      </c>
      <c r="E379" s="129" t="inlineStr">
        <is>
          <t>0</t>
        </is>
      </c>
      <c r="F379" s="126" t="inlineStr">
        <is>
          <t>2623810508421</t>
        </is>
      </c>
      <c r="G379" s="72">
        <f>VLOOKUP(H:H,'Referencias '!B:C,2,0)</f>
        <v/>
      </c>
      <c r="H379" s="72">
        <f>TRIM(_xlfn.TEXTBEFORE(_xlfn.TEXTAFTER(U379,"CNPJ/CPF:&lt;/strong&gt;"),"&lt;/p&gt;"))</f>
        <v/>
      </c>
      <c r="I379" s="70" t="inlineStr">
        <is>
          <t>Correção descritivo nota fiscal</t>
        </is>
      </c>
      <c r="J379" s="72" t="n"/>
      <c r="K379" s="72" t="n"/>
      <c r="L379" s="70" t="inlineStr">
        <is>
          <t>FINALIZADO</t>
        </is>
      </c>
      <c r="M379" s="73" t="inlineStr">
        <is>
          <t>Médio</t>
        </is>
      </c>
      <c r="N379" s="129" t="inlineStr">
        <is>
          <t>1018 Financeiro | Desejo falar com o setor financeiro | Dayane Mendes dos Santos | carolineal@cielo.com.br</t>
        </is>
      </c>
      <c r="O379" s="125" t="n">
        <v>46260</v>
      </c>
      <c r="P379" s="123" t="n">
        <v>46260</v>
      </c>
      <c r="Q379" s="177">
        <f>TEXT(O379,"mmm/aaaa")</f>
        <v/>
      </c>
      <c r="R379" s="129" t="inlineStr">
        <is>
          <t>ECOMMERCE BP SUPORTE FINANCEIRO N2</t>
        </is>
      </c>
      <c r="S379" s="129" t="inlineStr">
        <is>
          <t>carolineal@cielo.com.br</t>
        </is>
      </c>
      <c r="T379" s="129" t="inlineStr">
        <is>
          <t>MEGAmAXX</t>
        </is>
      </c>
      <c r="U379" s="129" t="inlineStr">
        <is>
          <t>Olá, segue formulário enviado para Cielo E-commerce:&lt;p&gt;&lt;strong&gt;Qual seu nome?:&lt;/strong&gt; Dayane Mendes dos Santos&lt;/p&gt;&lt;p&gt;&lt;strong&gt;Endereço de e-mail:&lt;/strong&gt; carolineal@cielo.com.br&lt;/p&gt;&lt;p&gt;&lt;strong&gt;CNPJ/CPF:&lt;/strong&gt; 05.164.667/0007-39&lt;/p&gt;&lt;p&gt;&lt;strong&gt;Telefone:&lt;/strong&gt; (11) 99299-9335&lt;/p&gt;&lt;p&gt;&lt;strong&gt;Assunto:&lt;/strong&gt; Ajuste de descritivo na nota&lt;/p&gt;&lt;p&gt;&lt;strong&gt;Merchant ID/Estabelecimento Comercial (EC):&lt;/strong&gt; 05.164.667/0007-39&lt;/p&gt;&lt;p&gt;&lt;strong&gt;Sobre qual produto ou área deseja falar?:&lt;/strong&gt; Financeiro&lt;/p&gt;&lt;p&gt;&lt;strong&gt;Como podemos te ajudar?:&lt;/strong&gt; Desejo falar com o setor financeiro&lt;/p&gt;&lt;p&gt;&lt;strong&gt;Descrição do problema:&lt;/strong&gt; Bom dia, pessoal! Tudo bem? 
Recebemos a nota do mês de Julho e identificamos um erro no descritivo dos serviços. 
Passamos por um congelamento, e veio informando uma cobrança retroativa de junho que está correto, porém, em baixo veio descrito que teve 188 transações em Julho e cobrança pelo mínimo mensal.
Porém nosso site está desativado e não tivemos nenhuma t</t>
        </is>
      </c>
      <c r="V379" s="71">
        <f>IFERROR(_xlfn.TEXTBEFORE(_xlfn.TEXTAFTER(U379,"Descrição do problema:&lt;/strong"),"&lt;/p&gt;"),_xlfn.TEXTAFTER(U379,"Descrição do problema:&lt;/strong"))</f>
        <v/>
      </c>
      <c r="W379" s="76">
        <f>_xlfn.CONCAT(D379:E379)</f>
        <v/>
      </c>
      <c r="X379" s="77" t="n">
        <v>46279</v>
      </c>
      <c r="Y379" s="78">
        <f>IF(X379="","Aberto","Encerrado")</f>
        <v/>
      </c>
      <c r="Z379" s="78">
        <f>IF(OR(L379="PENDENTE",L379="EM ANDAMENTO",L379="PENDENTE APROVAÇÃO CANCELAMENTO NF"),TODAY()-O379,X379-O379)</f>
        <v/>
      </c>
      <c r="AA379" s="78">
        <f>IF(Y379="Aberto",Z379+ROW()/100000,"")</f>
        <v/>
      </c>
      <c r="AB379" s="2">
        <f>IF(ISNUMBER(FIND("@cielo.com.br",S379)),"Interno","Externo")</f>
        <v/>
      </c>
      <c r="AC379" t="inlineStr">
        <is>
          <t>Corrigir dados fiscais ou incluir PO por carta de correção.</t>
        </is>
      </c>
      <c r="AD379" t="inlineStr">
        <is>
          <t>erro no descritivo dos serviços</t>
        </is>
      </c>
      <c r="AE379" t="inlineStr">
        <is>
          <t>Inclusão de PO em NF</t>
        </is>
      </c>
      <c r="AF379" t="inlineStr">
        <is>
          <t>Parâmetro de Faturamento</t>
        </is>
      </c>
      <c r="AG379" t="inlineStr">
        <is>
          <t>Faturamento e Obrigações Fiscais</t>
        </is>
      </c>
      <c r="AI379" t="inlineStr">
        <is>
          <t>INT_FAT_CORRECAO_PO</t>
        </is>
      </c>
      <c r="AJ379" t="inlineStr">
        <is>
          <t>Sugerida</t>
        </is>
      </c>
      <c r="AK379" t="b">
        <v>0</v>
      </c>
      <c r="AN379">
        <f>IF(OR(AG379="",AM379=""),"",IF(AG379=AM379,"SIM","NÃO"))</f>
        <v/>
      </c>
      <c r="AO379" t="inlineStr">
        <is>
          <t>CLASSIFIED_PATTERN</t>
        </is>
      </c>
    </row>
    <row r="380" ht="15.5" customHeight="1">
      <c r="A380" s="1" t="n"/>
      <c r="B380" s="67" t="inlineStr">
        <is>
          <t>Amanda Silva</t>
        </is>
      </c>
      <c r="C380" s="70" t="inlineStr">
        <is>
          <t>Pagamentos, Boletos e Recebimentos</t>
        </is>
      </c>
      <c r="D380" s="129" t="n">
        <v>26518139</v>
      </c>
      <c r="E380" s="129" t="inlineStr">
        <is>
          <t>0</t>
        </is>
      </c>
      <c r="F380" s="126" t="inlineStr">
        <is>
          <t>2623810507318</t>
        </is>
      </c>
      <c r="G380" s="72">
        <f>VLOOKUP(H:H,'Referencias '!B:C,2,0)</f>
        <v/>
      </c>
      <c r="H380" s="72">
        <f>TRIM(_xlfn.TEXTBEFORE(_xlfn.TEXTAFTER(U380,"CNPJ/CPF:&lt;/strong&gt;"),"&lt;/p&gt;"))</f>
        <v/>
      </c>
      <c r="I380" s="70" t="inlineStr">
        <is>
          <t>Informações cobrança</t>
        </is>
      </c>
      <c r="J380" s="72" t="n"/>
      <c r="K380" s="72" t="n"/>
      <c r="L380" s="122" t="inlineStr">
        <is>
          <t>FINALIZADO</t>
        </is>
      </c>
      <c r="M380" s="73" t="inlineStr">
        <is>
          <t>Médio</t>
        </is>
      </c>
      <c r="N380" s="129" t="inlineStr">
        <is>
          <t>1018 Financeiro | Desejo falar com o setor financeiro | Vanderlei | financeiro01@centersport.com.br</t>
        </is>
      </c>
      <c r="O380" s="125" t="n">
        <v>46260</v>
      </c>
      <c r="P380" s="123" t="n">
        <v>46260</v>
      </c>
      <c r="Q380" s="177">
        <f>TEXT(O380,"mmm/aaaa")</f>
        <v/>
      </c>
      <c r="R380" s="129" t="inlineStr">
        <is>
          <t>ECOMMERCE BP SUPORTE FINANCEIRO N2</t>
        </is>
      </c>
      <c r="S380" s="129" t="inlineStr">
        <is>
          <t>financeiro01@centersport.com.br</t>
        </is>
      </c>
      <c r="T380" s="129" t="inlineStr">
        <is>
          <t>CENTERSPORT ARTIGOS ESPORTIVOS LTDA</t>
        </is>
      </c>
      <c r="U380" s="129" t="inlineStr">
        <is>
          <t>Olá, segue formulário enviado para Cielo E-commerce:&lt;p&gt;&lt;strong&gt;Qual seu nome?:&lt;/strong&gt; Vanderlei&lt;/p&gt;&lt;p&gt;&lt;strong&gt;Assunto:&lt;/strong&gt; Duas contas iguais com nota fiscal diferente Stelo&lt;/p&gt;&lt;p&gt;&lt;strong&gt;Endereço de e-mail:&lt;/strong&gt; financeiro01@centersport.com.br&lt;/p&gt;&lt;p&gt;&lt;strong&gt;CNPJ/CPF:&lt;/strong&gt; 30.685.695/0001-53&lt;/p&gt;&lt;p&gt;&lt;strong&gt;Telefone:&lt;/strong&gt; (18) 99142-2205&lt;/p&gt;&lt;p&gt;&lt;strong&gt;Merchant ID/Estabelecimento Comercial (EC):&lt;/strong&gt; 30.685.695/0001-53&lt;/p&gt;&lt;p&gt;&lt;strong&gt;Descrição do problema:&lt;/strong&gt; Bom dia!
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t>
        </is>
      </c>
      <c r="V380" s="71">
        <f>IFERROR(_xlfn.TEXTBEFORE(_xlfn.TEXTAFTER(U380,"Descrição do problema:&lt;/strong"),"&lt;/p&gt;"),_xlfn.TEXTAFTER(U380,"Descrição do problema:&lt;/strong"))</f>
        <v/>
      </c>
      <c r="W380" s="76">
        <f>_xlfn.CONCAT(D380:E380)</f>
        <v/>
      </c>
      <c r="X380" s="77" t="n">
        <v>46280</v>
      </c>
      <c r="Y380" s="78">
        <f>IF(X380="","Aberto","Encerrado")</f>
        <v/>
      </c>
      <c r="Z380" s="78">
        <f>IF(OR(L380="PENDENTE",L380="EM ANDAMENTO",L380="PENDENTE APROVAÇÃO CANCELAMENTO NF"),TODAY()-O380,X380-O380)</f>
        <v/>
      </c>
      <c r="AA380" s="78">
        <f>IF(Y380="Aberto",Z380+ROW()/100000,"")</f>
        <v/>
      </c>
      <c r="AB380" s="2">
        <f>IF(ISNUMBER(FIND("@cielo.com.br",S380)),"Interno","Externo")</f>
        <v/>
      </c>
      <c r="AC380" t="inlineStr">
        <is>
          <t>Solicitar segunda via, reenvio ou reemissão de boleto.</t>
        </is>
      </c>
      <c r="AD380" t="inlineStr">
        <is>
          <t>não recebemos + boleto</t>
        </is>
      </c>
      <c r="AE380" t="inlineStr">
        <is>
          <t>Reenvio de boleto</t>
        </is>
      </c>
      <c r="AF380" t="inlineStr">
        <is>
          <t>Título Financeiro</t>
        </is>
      </c>
      <c r="AG380" t="inlineStr">
        <is>
          <t>Pagamentos, Boletos e Recebimentos</t>
        </is>
      </c>
      <c r="AI380" t="inlineStr">
        <is>
          <t>INT_PAG_BOLETO_REENVIO</t>
        </is>
      </c>
      <c r="AJ380" t="inlineStr">
        <is>
          <t>Sugerida</t>
        </is>
      </c>
      <c r="AK380" t="b">
        <v>0</v>
      </c>
      <c r="AN380">
        <f>IF(OR(AG380="",AM380=""),"",IF(AG380=AM380,"SIM","NÃO"))</f>
        <v/>
      </c>
      <c r="AO380" t="inlineStr">
        <is>
          <t>CLASSIFIED_PATTERN</t>
        </is>
      </c>
    </row>
    <row r="381" ht="15.5" customHeight="1">
      <c r="A381" s="1" t="n"/>
      <c r="B381" s="67" t="inlineStr">
        <is>
          <t>Amanda Silva</t>
        </is>
      </c>
      <c r="C381" s="70">
        <f>VLOOKUP(I:I,'Referencias '!H:I,2,0)</f>
        <v/>
      </c>
      <c r="D381" s="129" t="n">
        <v>26819219</v>
      </c>
      <c r="E381" s="129" t="inlineStr">
        <is>
          <t>0</t>
        </is>
      </c>
      <c r="F381" s="126" t="inlineStr">
        <is>
          <t>2624514697706</t>
        </is>
      </c>
      <c r="G381" s="72">
        <f>VLOOKUP(H:H,'Referencias '!B:C,2,0)</f>
        <v/>
      </c>
      <c r="H381" s="72">
        <f>TRIM(_xlfn.TEXTBEFORE(_xlfn.TEXTAFTER(U381,"CNPJ/CPF:&lt;/strong&gt;"),"&lt;/p&gt;"))</f>
        <v/>
      </c>
      <c r="I381" s="70" t="inlineStr">
        <is>
          <t>Alteração cadastral</t>
        </is>
      </c>
      <c r="J381" s="72" t="n"/>
      <c r="K381" s="72" t="n"/>
      <c r="L381" s="70" t="inlineStr">
        <is>
          <t>FINALIZADO</t>
        </is>
      </c>
      <c r="M381" s="73" t="inlineStr">
        <is>
          <t>Médio</t>
        </is>
      </c>
      <c r="N381" s="129" t="inlineStr">
        <is>
          <t>1018 Financeiro | Desejo falar com o setor financeiro | Alex | financeiro@cadeirabossanova.com.br</t>
        </is>
      </c>
      <c r="O381" s="125" t="n">
        <v>46267</v>
      </c>
      <c r="P381" s="123" t="n">
        <v>46267</v>
      </c>
      <c r="Q381" s="177">
        <f>TEXT(O381,"mmm/aaaa")</f>
        <v/>
      </c>
      <c r="R381" s="129" t="inlineStr">
        <is>
          <t>ECOMMERCE BP SUPORTE FINANCEIRO N2</t>
        </is>
      </c>
      <c r="S381" s="129" t="inlineStr">
        <is>
          <t>financeiro@cadeirabossanova.com.br</t>
        </is>
      </c>
      <c r="T381" s="129" t="inlineStr">
        <is>
          <t>ZION MOVELARIA LTDA</t>
        </is>
      </c>
      <c r="U381" s="129" t="inlineStr">
        <is>
          <t>Olá, segue formulário enviado para Cielo E-commerce:&lt;p&gt;&lt;strong&gt;Qual seu nome?:&lt;/strong&gt; Alex&lt;/p&gt;&lt;p&gt;&lt;strong&gt;Endereço de e-mail:&lt;/strong&gt; financeiro@cadeirabossanova.com.br&lt;/p&gt;&lt;p&gt;&lt;strong&gt;CNPJ/CPF:&lt;/strong&gt; 62.422.232/0001-95&lt;/p&gt;&lt;p&gt;&lt;strong&gt;Telefone:&lt;/strong&gt; (11) 96634-3994&lt;/p&gt;&lt;p&gt;&lt;strong&gt;Assunto:&lt;/strong&gt; Financeiro&lt;/p&gt;&lt;p&gt;&lt;strong&gt;Merchant ID/Estabelecimento Comercial (EC):&lt;/strong&gt; 94dcfdfc-10b1-4204-b197-3d0922357d14&lt;/p&gt;&lt;p&gt;&lt;strong&gt;Sobre qual produto ou área deseja falar?:&lt;/strong&gt; Financeiro&lt;/p&gt;&lt;p&gt;&lt;strong&gt;Como podemos te ajudar?:&lt;/strong&gt; Desejo falar com o setor financeiro&lt;/p&gt;&lt;p&gt;&lt;strong&gt;Descrição do problema:&lt;/strong&gt; Solicito, por gentileza, a alteração do endereço de e-mail atualmente cadastrado para o recebimento das cobranças da Cielo, para o seguinte endereço: financeiro@cadeirabossanova.com.br.
Solicito também, por gentileza, o reenvio do boleto que se encontra vencido, para que possamos realizar o pagamento.&lt;/p&gt;&lt;p&gt;&lt;strong&gt;Data e hora do erro:&lt;/strong&gt; 02-09-2026 14:37&lt;/p&gt;&lt;p&gt;&lt;str</t>
        </is>
      </c>
      <c r="V381" s="71">
        <f>IFERROR(_xlfn.TEXTBEFORE(_xlfn.TEXTAFTER(U381,"Descrição do problema:&lt;/strong"),"&lt;/p&gt;"),_xlfn.TEXTAFTER(U381,"Descrição do problema:&lt;/strong"))</f>
        <v/>
      </c>
      <c r="W381" s="76">
        <f>_xlfn.CONCAT(D381:E381)</f>
        <v/>
      </c>
      <c r="X381" s="77" t="n">
        <v>46269</v>
      </c>
      <c r="Y381" s="78">
        <f>IF(X381="","Aberto","Encerrado")</f>
        <v/>
      </c>
      <c r="Z381" s="78">
        <f>IF(OR(L381="PENDENTE",L381="EM ANDAMENTO",L381="PENDENTE APROVAÇÃO CANCELAMENTO NF"),TODAY()-O381,X381-O381)</f>
        <v/>
      </c>
      <c r="AA381" s="78">
        <f>IF(Y381="Aberto",Z381+ROW()/100000,"")</f>
        <v/>
      </c>
      <c r="AB381" s="2">
        <f>IF(ISNUMBER(FIND("@cielo.com.br",S381)),"Interno","Externo")</f>
        <v/>
      </c>
      <c r="AC381" t="inlineStr">
        <is>
          <t>Solicitar segunda via, reenvio ou reemissão de boleto.</t>
        </is>
      </c>
      <c r="AD381" t="inlineStr">
        <is>
          <t>reenvio + boleto; boleto + vencido</t>
        </is>
      </c>
      <c r="AE381" t="inlineStr">
        <is>
          <t>Reenvio de boleto</t>
        </is>
      </c>
      <c r="AF381" t="inlineStr">
        <is>
          <t>Título Financeiro</t>
        </is>
      </c>
      <c r="AG381" t="inlineStr">
        <is>
          <t>Pagamentos, Boletos e Recebimentos</t>
        </is>
      </c>
      <c r="AI381" t="inlineStr">
        <is>
          <t>INT_PAG_BOLETO_REENVIO</t>
        </is>
      </c>
      <c r="AJ381" t="inlineStr">
        <is>
          <t>Sugerida</t>
        </is>
      </c>
      <c r="AK381" t="b">
        <v>0</v>
      </c>
      <c r="AN381">
        <f>IF(OR(AG381="",AM381=""),"",IF(AG381=AM381,"SIM","NÃO"))</f>
        <v/>
      </c>
      <c r="AO381" t="inlineStr">
        <is>
          <t>CLASSIFIED_PATTERN</t>
        </is>
      </c>
    </row>
    <row r="382" ht="15.5" customHeight="1">
      <c r="A382" s="1" t="n"/>
      <c r="B382" s="67" t="inlineStr">
        <is>
          <t>Stephany Lima</t>
        </is>
      </c>
      <c r="C382" s="70">
        <f>VLOOKUP(I:I,'Referencias '!H:I,2,0)</f>
        <v/>
      </c>
      <c r="D382" s="129" t="n">
        <v>26797359</v>
      </c>
      <c r="E382" s="129" t="inlineStr">
        <is>
          <t>0</t>
        </is>
      </c>
      <c r="F382" s="126" t="inlineStr">
        <is>
          <t>2624510683019</t>
        </is>
      </c>
      <c r="G382" s="72">
        <f>VLOOKUP(H:H,'Referencias '!B:C,2,0)</f>
        <v/>
      </c>
      <c r="H382" s="72">
        <f>TRIM(_xlfn.TEXTBEFORE(_xlfn.TEXTAFTER(U382,"CNPJ/CPF:&lt;/strong&gt;"),"&lt;/p&gt;"))</f>
        <v/>
      </c>
      <c r="I382" s="70" t="inlineStr">
        <is>
          <t>Cancelamento de nf</t>
        </is>
      </c>
      <c r="J382" s="72" t="n"/>
      <c r="K382" s="72" t="n"/>
      <c r="L382" s="122" t="inlineStr">
        <is>
          <t>PENDENTE</t>
        </is>
      </c>
      <c r="M382" s="73" t="inlineStr">
        <is>
          <t>Médio</t>
        </is>
      </c>
      <c r="N382" s="129" t="inlineStr">
        <is>
          <t>1018 Financeiro | Desejo falar com o setor financeiro | LUCAS CARVALHO DE MANCILHA | ariane.pasilva@cielo.com.br</t>
        </is>
      </c>
      <c r="O382" s="125" t="n">
        <v>46267</v>
      </c>
      <c r="P382" s="123" t="n">
        <v>46267</v>
      </c>
      <c r="Q382" s="177">
        <f>TEXT(O382,"mmm/aaaa")</f>
        <v/>
      </c>
      <c r="R382" s="129" t="inlineStr">
        <is>
          <t>ECOMMERCE BP SUPORTE FINANCEIRO N2</t>
        </is>
      </c>
      <c r="S382" s="129" t="inlineStr">
        <is>
          <t>ariane.pasilva@cielo.com.br</t>
        </is>
      </c>
      <c r="T382" s="129" t="inlineStr">
        <is>
          <t>TAKE ME THERE</t>
        </is>
      </c>
      <c r="U382" s="129" t="inlineStr">
        <is>
          <t>Olá, segue formulário enviado para Cielo E-commerce:&lt;p&gt;&lt;strong&gt;Qual seu nome?:&lt;/strong&gt; LUCAS CARVALHO DE MANCILHA&lt;/p&gt;&lt;p&gt;&lt;strong&gt;Endereço de e-mail:&lt;/strong&gt; ariane.pasilva@cielo.com.br&lt;/p&gt;&lt;p&gt;&lt;strong&gt;CNPJ/CPF:&lt;/strong&gt; 42.927.255/0001-44&lt;/p&gt;&lt;p&gt;&lt;strong&gt;Telefone:&lt;/strong&gt; (11) 97707-1602&lt;/p&gt;&lt;p&gt;&lt;strong&gt;Assunto:&lt;/strong&gt; cancelamento de NF&lt;/p&gt;&lt;p&gt;&lt;strong&gt;Merchant ID/Estabelecimento Comercial (EC):&lt;/strong&gt; 42927255000144&lt;/p&gt;&lt;p&gt;&lt;strong&gt;Sobre qual produto ou área deseja falar?:&lt;/strong&gt; Financeiro&lt;/p&gt;&lt;p&gt;&lt;strong&gt;Como podemos te ajudar?:&lt;/strong&gt; Desejo falar com o setor financeiro&lt;/p&gt;&lt;p&gt;&lt;strong&gt;Descrição do problema:&lt;/strong&gt; Time financeiro, bom dia. Tudo bem?
Por gentileza cancelar as notas:121105 e 121498.
Motivo: Foi emitido com o período cheio, mas ó correto é cobrar proporcional seguindo a data de assinatura do contrato.
No contrato tem clausula que iriamos cobrar após 60 dias de assinatura. 
Por favor ajustar.&lt;/p&gt;&lt;p&gt;&lt;strong&gt;GA Client ID:&lt;/strong&gt; 9342157.1788180899&lt;/p&gt;&lt;p&gt;&lt;strong&gt;Lea</t>
        </is>
      </c>
      <c r="V382" s="71">
        <f>IFERROR(_xlfn.TEXTBEFORE(_xlfn.TEXTAFTER(U382,"Descrição do problema:&lt;/strong"),"&lt;/p&gt;"),_xlfn.TEXTAFTER(U382,"Descrição do problema:&lt;/strong"))</f>
        <v/>
      </c>
      <c r="W382" s="76">
        <f>_xlfn.CONCAT(D382:E382)</f>
        <v/>
      </c>
      <c r="X382" s="77" t="n"/>
      <c r="Y382" s="78">
        <f>IF(X382="","Aberto","Encerrado")</f>
        <v/>
      </c>
      <c r="Z382" s="78">
        <f>IF(OR(L382="PENDENTE",L382="EM ANDAMENTO",L382="PENDENTE APROVAÇÃO CANCELAMENTO NF"),TODAY()-O382,X382-O382)</f>
        <v/>
      </c>
      <c r="AA382" s="78">
        <f>IF(Y382="Aberto",Z382+ROW()/100000,"")</f>
        <v/>
      </c>
      <c r="AB382" s="2">
        <f>IF(ISNUMBER(FIND("@cielo.com.br",S382)),"Interno","Externo")</f>
        <v/>
      </c>
      <c r="AC382" t="inlineStr">
        <is>
          <t>Cancelar, substituir ou reemitir nota fiscal.</t>
        </is>
      </c>
      <c r="AD382" t="inlineStr">
        <is>
          <t>ACAO:CANCELAR; OBJETO:CONTRATO; OBJETO:NOTA_FISCAL</t>
        </is>
      </c>
      <c r="AE382" t="inlineStr">
        <is>
          <t>Cancelamento de NF</t>
        </is>
      </c>
      <c r="AF382" t="inlineStr">
        <is>
          <t>Documento Fiscal</t>
        </is>
      </c>
      <c r="AG382" t="inlineStr">
        <is>
          <t>Cancelamento e Reemissão de Nota Fiscal</t>
        </is>
      </c>
      <c r="AI382" t="inlineStr">
        <is>
          <t>INT_NF_CANCEL_REEMISSAO</t>
        </is>
      </c>
      <c r="AJ382" t="inlineStr">
        <is>
          <t>Sugerida</t>
        </is>
      </c>
      <c r="AK382" t="b">
        <v>0</v>
      </c>
      <c r="AN382">
        <f>IF(OR(AG382="",AM382=""),"",IF(AG382=AM382,"SIM","NÃO"))</f>
        <v/>
      </c>
      <c r="AO382" t="inlineStr">
        <is>
          <t>CLASSIFIED_SIGNATURE</t>
        </is>
      </c>
    </row>
    <row r="383" ht="15.5" customHeight="1">
      <c r="A383" s="1" t="n"/>
      <c r="B383" s="67" t="inlineStr">
        <is>
          <t>Stephany Lima</t>
        </is>
      </c>
      <c r="C383" s="70">
        <f>VLOOKUP(I:I,'Referencias '!H:I,2,0)</f>
        <v/>
      </c>
      <c r="D383" s="129" t="n">
        <v>27143366</v>
      </c>
      <c r="E383" s="129" t="inlineStr">
        <is>
          <t>0</t>
        </is>
      </c>
      <c r="F383" s="126" t="inlineStr">
        <is>
          <t>2625317903478</t>
        </is>
      </c>
      <c r="G383" s="72" t="inlineStr">
        <is>
          <t>DISTRIBUIDORA DE ALIMENTOS FARTURA</t>
        </is>
      </c>
      <c r="H383" s="72">
        <f>TRIM(_xlfn.TEXTBEFORE(_xlfn.TEXTAFTER(U383,"CNPJ/CPF:&lt;/strong&gt;"),"&lt;/p&gt;"))</f>
        <v/>
      </c>
      <c r="I383" s="70" t="inlineStr">
        <is>
          <t>Cancelamento de nf</t>
        </is>
      </c>
      <c r="J383" s="72" t="n"/>
      <c r="K383" s="72" t="n"/>
      <c r="L383" s="70" t="inlineStr">
        <is>
          <t>FINALIZADO</t>
        </is>
      </c>
      <c r="M383" s="73" t="inlineStr">
        <is>
          <t>Médio</t>
        </is>
      </c>
      <c r="N383" s="129" t="inlineStr">
        <is>
          <t>1018 Financeiro | Desejo falar com o setor financeiro | DISTRIBUIDORA DE ALIMENTOS FARTURA | ariane.pasilva@cielo.com.br</t>
        </is>
      </c>
      <c r="O383" s="125" t="n">
        <v>46275</v>
      </c>
      <c r="P383" s="123" t="n">
        <v>46276</v>
      </c>
      <c r="Q383" s="177">
        <f>TEXT(O383,"mmm/aaaa")</f>
        <v/>
      </c>
      <c r="R383" s="129" t="inlineStr">
        <is>
          <t>ECOMMERCE BP SUPORTE FINANCEIRO N2</t>
        </is>
      </c>
      <c r="S383" s="129" t="inlineStr">
        <is>
          <t>ariane.pasilva@cielo.com.br</t>
        </is>
      </c>
      <c r="T383" s="129" t="inlineStr">
        <is>
          <t>SUPERMERCADINHOS SAO LUIZ</t>
        </is>
      </c>
      <c r="U383" s="129" t="inlineStr">
        <is>
          <t>Olá, segue formulário enviado para Cielo E-commerce:&lt;p&gt;&lt;strong&gt;Qual seu nome?:&lt;/strong&gt; DISTRIBUIDORA DE ALIMENTOS FARTURA&lt;/p&gt;&lt;p&gt;&lt;strong&gt;Endereço de e-mail:&lt;/strong&gt; ariane.pasilva@cielo.com.br&lt;/p&gt;&lt;p&gt;&lt;strong&gt;CNPJ/CPF:&lt;/strong&gt; 03.720.882/0003-10&lt;/p&gt;&lt;p&gt;&lt;strong&gt;Telefone:&lt;/strong&gt; (11) 97707-1602&lt;/p&gt;&lt;p&gt;&lt;strong&gt;Assunto:&lt;/strong&gt; Cancelamento de NF&lt;/p&gt;&lt;p&gt;&lt;strong&gt;Merchant ID/Estabelecimento Comercial (EC):&lt;/strong&gt; 03720882000310&lt;/p&gt;&lt;p&gt;&lt;strong&gt;Descrição do problema:&lt;/strong&gt; Time financeiro, boa tarde. Tudo bem?
Por favor esclarecer o motivo de termos emitido as notas fiscal:056329, 057900 e 066386
, uma vez que o cancelamento ocorreu em 17/08/2023 18:05&lt;/p&gt;&lt;p&gt;&lt;strong&gt;ID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t>
        </is>
      </c>
      <c r="V383" s="71">
        <f>IFERROR(_xlfn.TEXTBEFORE(_xlfn.TEXTAFTER(U383,"Descrição do problema:&lt;/strong"),"&lt;/p&gt;"),_xlfn.TEXTAFTER(U383,"Descrição do problema:&lt;/strong"))</f>
        <v/>
      </c>
      <c r="W383" s="76">
        <f>_xlfn.CONCAT(D383:E383)</f>
        <v/>
      </c>
      <c r="X383" s="77" t="n">
        <v>46279</v>
      </c>
      <c r="Y383" s="78">
        <f>IF(X383="","Aberto","Encerrado")</f>
        <v/>
      </c>
      <c r="Z383" s="78">
        <f>IF(OR(L383="PENDENTE",L383="EM ANDAMENTO",L383="PENDENTE APROVAÇÃO CANCELAMENTO NF"),TODAY()-O383,X383-O383)</f>
        <v/>
      </c>
      <c r="AA383" s="78">
        <f>IF(Y383="Aberto",Z383+ROW()/100000,"")</f>
        <v/>
      </c>
      <c r="AB383" s="2">
        <f>IF(ISNUMBER(FIND("@cielo.com.br",S383)),"Interno","Externo")</f>
        <v/>
      </c>
      <c r="AC383" t="inlineStr">
        <is>
          <t>Cancelar, substituir ou reemitir nota fiscal.</t>
        </is>
      </c>
      <c r="AD383" t="inlineStr">
        <is>
          <t>ACAO:CANCELAR; ACAO:CONSULTAR; OBJETO:NOTA_FISCAL</t>
        </is>
      </c>
      <c r="AE383" t="inlineStr">
        <is>
          <t>Cancelamento de NF</t>
        </is>
      </c>
      <c r="AF383" t="inlineStr">
        <is>
          <t>Documento Fiscal</t>
        </is>
      </c>
      <c r="AG383" t="inlineStr">
        <is>
          <t>Cancelamento e Reemissão de Nota Fiscal</t>
        </is>
      </c>
      <c r="AI383" t="inlineStr">
        <is>
          <t>INT_NF_CANCEL_REEMISSAO</t>
        </is>
      </c>
      <c r="AJ383" t="inlineStr">
        <is>
          <t>Sugerida</t>
        </is>
      </c>
      <c r="AK383" t="b">
        <v>0</v>
      </c>
      <c r="AN383">
        <f>IF(OR(AG383="",AM383=""),"",IF(AG383=AM383,"SIM","NÃO"))</f>
        <v/>
      </c>
      <c r="AO383" t="inlineStr">
        <is>
          <t>CLASSIFIED_SIGNATURE</t>
        </is>
      </c>
    </row>
    <row r="384" ht="15.5" customHeight="1">
      <c r="A384" s="1" t="n"/>
      <c r="B384" s="67" t="inlineStr">
        <is>
          <t>Amanda Silva</t>
        </is>
      </c>
      <c r="C384" s="70" t="inlineStr">
        <is>
          <t>Contratos, Comercial e Cadastro</t>
        </is>
      </c>
      <c r="D384" s="129" t="n">
        <v>27130737</v>
      </c>
      <c r="E384" s="129" t="inlineStr">
        <is>
          <t>0</t>
        </is>
      </c>
      <c r="F384" s="126" t="inlineStr">
        <is>
          <t>2625315895553</t>
        </is>
      </c>
      <c r="G384" s="72">
        <f>VLOOKUP(H:H,'Referencias '!B:C,2,0)</f>
        <v/>
      </c>
      <c r="H384" s="72">
        <f>TRIM(_xlfn.TEXTBEFORE(_xlfn.TEXTAFTER(U384,"CNPJ/CPF:&lt;/strong&gt;"),"&lt;/p&gt;"))</f>
        <v/>
      </c>
      <c r="I384" s="70" t="inlineStr">
        <is>
          <t>Dúvidas</t>
        </is>
      </c>
      <c r="J384" s="72" t="n"/>
      <c r="K384" s="72" t="n"/>
      <c r="L384" s="70" t="inlineStr">
        <is>
          <t>FINALIZADO</t>
        </is>
      </c>
      <c r="M384" s="73" t="inlineStr">
        <is>
          <t>Médio</t>
        </is>
      </c>
      <c r="N384" s="129" t="inlineStr">
        <is>
          <t>1018 Financeiro | Desejo falar com o setor financeiro | Yasmim Santiago do Nascimento | delivery01@tauste.com.br</t>
        </is>
      </c>
      <c r="O384" s="125" t="n">
        <v>46275</v>
      </c>
      <c r="P384" s="123" t="n">
        <v>46275</v>
      </c>
      <c r="Q384" s="177">
        <f>TEXT(O384,"mmm/aaaa")</f>
        <v/>
      </c>
      <c r="R384" s="129" t="inlineStr">
        <is>
          <t>ECOMMERCE BP SUPORTE FINANCEIRO N2</t>
        </is>
      </c>
      <c r="S384" s="129" t="inlineStr">
        <is>
          <t>delivery01@tauste.com.br</t>
        </is>
      </c>
      <c r="T384" s="129" t="inlineStr">
        <is>
          <t>TAUSTE SUPERMERCADOS</t>
        </is>
      </c>
      <c r="U384" s="129" t="inlineStr">
        <is>
          <t>Olá, segue formulário enviado para Cielo E-commerce:&lt;p&gt;&lt;strong&gt;Qual seu nome?:&lt;/strong&gt; Yasmim Santiago do Nascimento&lt;/p&gt;&lt;p&gt;&lt;strong&gt;Endereço de e-mail:&lt;/strong&gt; delivery01@tauste.com.br&lt;/p&gt;&lt;p&gt;&lt;strong&gt;CNPJ/CPF:&lt;/strong&gt; 65.897.910/0009-11&lt;/p&gt;&lt;p&gt;&lt;strong&gt;Telefone:&lt;/strong&gt; (14) 3402-1505&lt;/p&gt;&lt;p&gt;&lt;strong&gt;Assunto:&lt;/strong&gt; Nova data para pagamento dos boletos&lt;/p&gt;&lt;p&gt;&lt;strong&gt;Merchant ID/Estabelecimento Comercial (EC):&lt;/strong&gt; 65.897.910/0009-11&lt;/p&gt;&lt;p&gt;&lt;strong&gt;Sobre qual produto ou área deseja falar?:&lt;/strong&gt; Financeiro&lt;/p&gt;&lt;p&gt;&lt;strong&gt;Como podemos te ajudar?:&lt;/strong&gt; Desejo falar com o setor financeiro&lt;/p&gt;&lt;p&gt;&lt;strong&gt;Descrição do problema:&lt;/strong&gt; TAUSTE SUPERMERCADOS LTDA
CNPJ: 65.897.9100/009-11
Normalmente, realizamos a entrada das notas fiscais e boletos do  “Cartão Protegido” e “Pagador” em nossa contabilidade nos últimos dias do mês. Porém, estamos passando por uma troca de sistema e, excepcionalmente, só conseguiremos realizar os lançamentos a partir do dia 01/10.
Dessa forma, gostaria</t>
        </is>
      </c>
      <c r="V384" s="71">
        <f>IFERROR(_xlfn.TEXTBEFORE(_xlfn.TEXTAFTER(U384,"Descrição do problema:&lt;/strong"),"&lt;/p&gt;"),_xlfn.TEXTAFTER(U384,"Descrição do problema:&lt;/strong"))</f>
        <v/>
      </c>
      <c r="W384" s="76">
        <f>_xlfn.CONCAT(D384:E384)</f>
        <v/>
      </c>
      <c r="X384" s="77" t="n">
        <v>46276</v>
      </c>
      <c r="Y384" s="78">
        <f>IF(X384="","Aberto","Encerrado")</f>
        <v/>
      </c>
      <c r="Z384" s="78">
        <f>IF(OR(L384="PENDENTE",L384="EM ANDAMENTO",L384="PENDENTE APROVAÇÃO CANCELAMENTO NF"),TODAY()-O384,X384-O384)</f>
        <v/>
      </c>
      <c r="AA384" s="78">
        <f>IF(Y384="Aberto",Z384+ROW()/100000,"")</f>
        <v/>
      </c>
      <c r="AB384" s="2">
        <f>IF(ISNUMBER(FIND("@cielo.com.br",S384)),"Interno","Externo")</f>
        <v/>
      </c>
      <c r="AC384" t="inlineStr">
        <is>
          <t>Alterar ou prorrogar vencimento ou prazo de pagamento.</t>
        </is>
      </c>
      <c r="AD384" t="inlineStr">
        <is>
          <t>nova data para pagamento; nova data + pagamento</t>
        </is>
      </c>
      <c r="AE384" t="inlineStr">
        <is>
          <t>Alteração de vencimento</t>
        </is>
      </c>
      <c r="AF384" t="inlineStr">
        <is>
          <t>Título Financeiro</t>
        </is>
      </c>
      <c r="AG384" t="inlineStr">
        <is>
          <t>Pagamentos, Boletos e Recebimentos</t>
        </is>
      </c>
      <c r="AI384" t="inlineStr">
        <is>
          <t>INT_PAG_VENCIMENTO</t>
        </is>
      </c>
      <c r="AJ384" t="inlineStr">
        <is>
          <t>Sugerida</t>
        </is>
      </c>
      <c r="AK384" t="b">
        <v>0</v>
      </c>
      <c r="AN384">
        <f>IF(OR(AG384="",AM384=""),"",IF(AG384=AM384,"SIM","NÃO"))</f>
        <v/>
      </c>
      <c r="AO384" t="inlineStr">
        <is>
          <t>CLASSIFIED_PATTERN</t>
        </is>
      </c>
    </row>
    <row r="385" ht="15.5" customHeight="1">
      <c r="A385" s="1" t="n"/>
      <c r="B385" s="67" t="inlineStr">
        <is>
          <t>Stephany Lima</t>
        </is>
      </c>
      <c r="C385" s="70">
        <f>VLOOKUP(I:I,'Referencias '!H:I,2,0)</f>
        <v/>
      </c>
      <c r="D385" s="129" t="n">
        <v>27115064</v>
      </c>
      <c r="E385" s="129" t="inlineStr">
        <is>
          <t>0</t>
        </is>
      </c>
      <c r="F385" s="126" t="inlineStr">
        <is>
          <t>2625312885657</t>
        </is>
      </c>
      <c r="G385" s="72">
        <f>VLOOKUP(H:H,'Referencias '!B:C,2,0)</f>
        <v/>
      </c>
      <c r="H385" s="72">
        <f>TRIM(_xlfn.TEXTBEFORE(_xlfn.TEXTAFTER(U385,"CNPJ/CPF:&lt;/strong&gt;"),"&lt;/p&gt;"))</f>
        <v/>
      </c>
      <c r="I385" s="70" t="inlineStr">
        <is>
          <t>cancelamento de nf</t>
        </is>
      </c>
      <c r="J385" s="72" t="n"/>
      <c r="K385" s="72" t="n"/>
      <c r="L385" s="122" t="inlineStr">
        <is>
          <t>FINALIZADO</t>
        </is>
      </c>
      <c r="M385" s="73" t="inlineStr">
        <is>
          <t>Médio</t>
        </is>
      </c>
      <c r="N385" s="129" t="inlineStr">
        <is>
          <t>1018 Financeiro | Desejo falar com o setor financeiro | DENTAL S. SEBASTIAO LTDA | bordini@cielo.com.br</t>
        </is>
      </c>
      <c r="O385" s="125" t="n">
        <v>46275</v>
      </c>
      <c r="P385" s="123" t="n">
        <v>46275</v>
      </c>
      <c r="Q385" s="177">
        <f>TEXT(O385,"mmm/aaaa")</f>
        <v/>
      </c>
      <c r="R385" s="129" t="inlineStr">
        <is>
          <t>ECOMMERCE BP SUPORTE FINANCEIRO N2</t>
        </is>
      </c>
      <c r="S385" s="129" t="inlineStr">
        <is>
          <t>bordini@cielo.com.br</t>
        </is>
      </c>
      <c r="T385" s="129" t="inlineStr"/>
      <c r="U385" s="129" t="inlineStr">
        <is>
          <t>Olá, segue formulário enviado para Cielo E-commerce:&lt;p&gt;&lt;strong&gt;Qual seu nome?:&lt;/strong&gt; DENTAL S. SEBASTIAO LTDA&lt;/p&gt;&lt;p&gt;&lt;strong&gt;Descrição do problema:&lt;/strong&gt; Olá prezados, espero que estejam bem!
Abrimos um chamado ( 27029761) para o cancelamento do contrato do cliente acima. O time ja efetuou o cancelamento , porém temos o DA para a NÃO cobrança da multa contratual e o cancelamento da NF 
( 117702) do setup sem cobrança. Podem seguir com os próximos passos por gentileza?
Agradeço desde já a ajuda!&lt;/p&gt;&lt;p&gt;&lt;strong&gt;Endereço de e-mail:&lt;/strong&gt; bordini@cielo.com.br&lt;/p&gt;&lt;p&gt;&lt;strong&gt;CNPJ/CPF:&lt;/strong&gt; 09.228.091/0001-91&lt;/p&gt;&lt;p&gt;&lt;strong&gt;Telefone:&lt;/strong&gt; (11) 94008-6890&lt;/p&gt;&lt;p&gt;&lt;strong&gt;Assunto:&lt;/strong&gt; DA para não cobrarmos multa de contrato e cancelar NF de setup&lt;/p&gt;&lt;p&gt;&lt;strong&gt;Merchant ID/Estabelecimento Comercial (EC):&lt;/strong&gt; 09.228.091/0001-91&lt;/p&gt;&lt;p&gt;&lt;strong&gt;Sobre qual produto ou área deseja falar?:&lt;/strong&gt; Financeiro&lt;/p&gt;&lt;p&gt;&lt;strong&gt;Como podemos te ajudar?:&lt;/strong&gt; Desejo falar com o setor</t>
        </is>
      </c>
      <c r="V385" s="71">
        <f>IFERROR(_xlfn.TEXTBEFORE(_xlfn.TEXTAFTER(U385,"Descrição do problema:&lt;/strong"),"&lt;/p&gt;"),_xlfn.TEXTAFTER(U385,"Descrição do problema:&lt;/strong"))</f>
        <v/>
      </c>
      <c r="W385" s="76">
        <f>_xlfn.CONCAT(D385:E385)</f>
        <v/>
      </c>
      <c r="X385" s="77" t="n">
        <v>46282</v>
      </c>
      <c r="Y385" s="78">
        <f>IF(X385="","Aberto","Encerrado")</f>
        <v/>
      </c>
      <c r="Z385" s="78">
        <f>IF(OR(L385="PENDENTE",L385="EM ANDAMENTO",L385="PENDENTE APROVAÇÃO CANCELAMENTO NF"),TODAY()-O385,X385-O385)</f>
        <v/>
      </c>
      <c r="AA385" s="78">
        <f>IF(Y385="Aberto",Z385+ROW()/100000,"")</f>
        <v/>
      </c>
      <c r="AB385" s="2">
        <f>IF(ISNUMBER(FIND("@cielo.com.br",S385)),"Interno","Externo")</f>
        <v/>
      </c>
      <c r="AC385" t="inlineStr">
        <is>
          <t>Cancelar, substituir ou reemitir nota fiscal.</t>
        </is>
      </c>
      <c r="AD385" t="inlineStr">
        <is>
          <t>ACAO:CANCELAR; OBJETO:COBRANCA; OBJETO:CONTRATO; OBJETO:NOTA_FISCAL; OBJETO:SETUP</t>
        </is>
      </c>
      <c r="AE385" t="inlineStr">
        <is>
          <t>Cancelamento de NF</t>
        </is>
      </c>
      <c r="AF385" t="inlineStr">
        <is>
          <t>Documento Fiscal</t>
        </is>
      </c>
      <c r="AG385" t="inlineStr">
        <is>
          <t>Cancelamento e Reemissão de Nota Fiscal</t>
        </is>
      </c>
      <c r="AI385" t="inlineStr">
        <is>
          <t>INT_NF_CANCEL_REEMISSAO</t>
        </is>
      </c>
      <c r="AJ385" t="inlineStr">
        <is>
          <t>Sugerida</t>
        </is>
      </c>
      <c r="AK385" t="b">
        <v>0</v>
      </c>
      <c r="AN385">
        <f>IF(OR(AG385="",AM385=""),"",IF(AG385=AM385,"SIM","NÃO"))</f>
        <v/>
      </c>
      <c r="AO385" t="inlineStr">
        <is>
          <t>CLASSIFIED_SIGNATURE</t>
        </is>
      </c>
    </row>
    <row r="386" ht="15.5" customHeight="1">
      <c r="A386" s="1" t="n"/>
      <c r="B386" s="67" t="inlineStr">
        <is>
          <t>Amanda Silva</t>
        </is>
      </c>
      <c r="C386" s="70" t="inlineStr">
        <is>
          <t>Pagamentos, Boletos e Recebimentos</t>
        </is>
      </c>
      <c r="D386" s="129" t="n">
        <v>27071506</v>
      </c>
      <c r="E386" s="129" t="inlineStr">
        <is>
          <t>0</t>
        </is>
      </c>
      <c r="F386" s="126" t="inlineStr">
        <is>
          <t>2625215858478</t>
        </is>
      </c>
      <c r="G386" s="72">
        <f>VLOOKUP(H:H,'Referencias '!B:C,2,0)</f>
        <v/>
      </c>
      <c r="H386" s="72">
        <f>TRIM(_xlfn.TEXTBEFORE(_xlfn.TEXTAFTER(U386,"CNPJ/CPF:&lt;/strong&gt;"),"&lt;/p&gt;"))</f>
        <v/>
      </c>
      <c r="I386" s="70" t="inlineStr">
        <is>
          <t>Solicitação de nota fiscal</t>
        </is>
      </c>
      <c r="J386" s="72" t="n"/>
      <c r="K386" s="72" t="n"/>
      <c r="L386" s="70" t="inlineStr">
        <is>
          <t>FINALIZADO</t>
        </is>
      </c>
      <c r="M386" s="73" t="inlineStr">
        <is>
          <t>Médio</t>
        </is>
      </c>
      <c r="N386" s="129" t="inlineStr">
        <is>
          <t>1018 Financeiro | Desejo falar com o setor financeiro | sara zaina | sara.freitas@amctextil.com.br</t>
        </is>
      </c>
      <c r="O386" s="125" t="n">
        <v>46274</v>
      </c>
      <c r="P386" s="123" t="n">
        <v>46274</v>
      </c>
      <c r="Q386" s="177">
        <f>TEXT(O386,"mmm/aaaa")</f>
        <v/>
      </c>
      <c r="R386" s="129" t="inlineStr">
        <is>
          <t>ECOMMERCE BP SUPORTE FINANCEIRO N2</t>
        </is>
      </c>
      <c r="S386" s="129" t="inlineStr">
        <is>
          <t>sara.freitas@amctextil.com.br</t>
        </is>
      </c>
      <c r="T386" s="129" t="inlineStr">
        <is>
          <t>COLCCI</t>
        </is>
      </c>
      <c r="U386" s="129" t="inlineStr">
        <is>
          <t>Olá, segue formulário enviado para Cielo E-commerce:&lt;p&gt;&lt;strong&gt;Qual seu nome?:&lt;/strong&gt; sara zaina&lt;/p&gt;&lt;p&gt;&lt;strong&gt;CNPJ/CPF:&lt;/strong&gt; 75.364.570/0007-55&lt;/p&gt;&lt;p&gt;&lt;strong&gt;Endereço de e-mail:&lt;/strong&gt; sara.freitas@amctextil.com.br&lt;/p&gt;&lt;p&gt;&lt;strong&gt;Telefone:&lt;/strong&gt; (47) 98864-7804&lt;/p&gt;&lt;p&gt;&lt;strong&gt;Assunto:&lt;/strong&gt; boleto em aberto&lt;/p&gt;&lt;p&gt;&lt;strong&gt;Merchant ID/Estabelecimento Comercial (EC):&lt;/strong&gt; AMC TEXTIL LTDA&lt;/p&gt;&lt;p&gt;&lt;strong&gt;Sobre qual produto ou área deseja falar?:&lt;/strong&gt; Financeiro&lt;/p&gt;&lt;p&gt;&lt;strong&gt;Como podemos te ajudar?:&lt;/strong&gt; Desejo falar com o setor financeiro&lt;/p&gt;&lt;p&gt;&lt;strong&gt;Descrição do problema:&lt;/strong&gt; Boa tarde
estamos com um boleto em aberto no valor de 6761,com vencimento para o dia 15/09. numero do documento 2122082 gostaria de saber se e devido?pois ate agora não recebemos nenhuma nota&lt;/p&gt;&lt;p&gt;&lt;strong&gt;GA Client ID:&lt;/strong&gt; 606493349.1781638593&lt;/p&gt;&lt;p&gt;&lt;strong&gt;Lead Hash ID:&lt;/strong&gt; 696f5f3916e48417a792bca36ed3458d57d6e97dcf30d24300215de33cedd8ca&lt;/p&gt;&lt;p&gt;&lt;strong&gt;Lead Form ID:&lt;/strong&gt;</t>
        </is>
      </c>
      <c r="V386" s="71">
        <f>IFERROR(_xlfn.TEXTBEFORE(_xlfn.TEXTAFTER(U386,"Descrição do problema:&lt;/strong"),"&lt;/p&gt;"),_xlfn.TEXTAFTER(U386,"Descrição do problema:&lt;/strong"))</f>
        <v/>
      </c>
      <c r="W386" s="76">
        <f>_xlfn.CONCAT(D386:E386)</f>
        <v/>
      </c>
      <c r="X386" s="77" t="n">
        <v>46276</v>
      </c>
      <c r="Y386" s="78">
        <f>IF(X386="","Aberto","Encerrado")</f>
        <v/>
      </c>
      <c r="Z386" s="78">
        <f>IF(OR(L386="PENDENTE",L386="EM ANDAMENTO",L386="PENDENTE APROVAÇÃO CANCELAMENTO NF"),TODAY()-O386,X386-O386)</f>
        <v/>
      </c>
      <c r="AA386" s="78">
        <f>IF(Y386="Aberto",Z386+ROW()/100000,"")</f>
        <v/>
      </c>
      <c r="AB386" s="2">
        <f>IF(ISNUMBER(FIND("@cielo.com.br",S386)),"Interno","Externo")</f>
        <v/>
      </c>
      <c r="AC386" t="inlineStr">
        <is>
          <t>Solicitar NF associada a boleto em aberto.</t>
        </is>
      </c>
      <c r="AD386" t="inlineStr">
        <is>
          <t>boleto em aberto + não recebemos nenhuma nota</t>
        </is>
      </c>
      <c r="AE386" t="inlineStr">
        <is>
          <t>NF vinculada a boleto em aberto</t>
        </is>
      </c>
      <c r="AF386" t="inlineStr">
        <is>
          <t>Título Financeiro</t>
        </is>
      </c>
      <c r="AG386" t="inlineStr">
        <is>
          <t>Pagamentos, Boletos e Recebimentos</t>
        </is>
      </c>
      <c r="AI386" t="inlineStr">
        <is>
          <t>INT_PAG_NF_VINCULADA</t>
        </is>
      </c>
      <c r="AJ386" t="inlineStr">
        <is>
          <t>Sugerida</t>
        </is>
      </c>
      <c r="AK386" t="b">
        <v>0</v>
      </c>
      <c r="AN386">
        <f>IF(OR(AG386="",AM386=""),"",IF(AG386=AM386,"SIM","NÃO"))</f>
        <v/>
      </c>
      <c r="AO386" t="inlineStr">
        <is>
          <t>CLASSIFIED_PATTERN</t>
        </is>
      </c>
    </row>
    <row r="387" ht="15.5" customFormat="1" customHeight="1" s="102">
      <c r="A387" s="1" t="n"/>
      <c r="B387" s="132" t="inlineStr">
        <is>
          <t>Emilly Maria</t>
        </is>
      </c>
      <c r="C387" s="122" t="inlineStr">
        <is>
          <t>Cancelamento e Reemissão de Nota Fiscal</t>
        </is>
      </c>
      <c r="D387" s="129" t="n">
        <v>27052744</v>
      </c>
      <c r="E387" s="129" t="inlineStr">
        <is>
          <t>0</t>
        </is>
      </c>
      <c r="F387" s="126" t="inlineStr">
        <is>
          <t>2625211846343</t>
        </is>
      </c>
      <c r="G387" s="126">
        <f>VLOOKUP(H:H,'Referencias '!B:C,2,0)</f>
        <v/>
      </c>
      <c r="H387" s="126">
        <f>TRIM(_xlfn.TEXTBEFORE(_xlfn.TEXTAFTER(U387,"CNPJ/CPF:&lt;/strong&gt;"),"&lt;/p&gt;"))</f>
        <v/>
      </c>
      <c r="I387" s="122" t="inlineStr">
        <is>
          <t>DÚVIDA SOBRE A COBRANÇA DO MINIMO MENSAL NO PERÍODO DE INTEGRAÇÃO</t>
        </is>
      </c>
      <c r="J387" s="126" t="n"/>
      <c r="K387" s="126" t="n"/>
      <c r="L387" s="122" t="inlineStr">
        <is>
          <t>PENDENTE</t>
        </is>
      </c>
      <c r="M387" s="127" t="inlineStr">
        <is>
          <t>Médio</t>
        </is>
      </c>
      <c r="N387" s="129" t="inlineStr">
        <is>
          <t>1018 Financeiro | Desejo falar com o setor financeiro | MV INFORMATICA NORDESTE LTDA | ariane.pasilva@cielo.com.br</t>
        </is>
      </c>
      <c r="O387" s="125" t="n">
        <v>46274</v>
      </c>
      <c r="P387" s="123" t="n">
        <v>46274</v>
      </c>
      <c r="Q387" s="178">
        <f>TEXT(O387,"mmm/aaaa")</f>
        <v/>
      </c>
      <c r="R387" s="129" t="inlineStr">
        <is>
          <t>ECOMMERCE BP SUPORTE FINANCEIRO N2</t>
        </is>
      </c>
      <c r="S387" s="129" t="inlineStr">
        <is>
          <t>ariane.pasilva@cielo.com.br</t>
        </is>
      </c>
      <c r="T387" s="129" t="inlineStr"/>
      <c r="U387" s="129" t="inlineStr">
        <is>
          <t>Olá, segue formulário enviado para Cielo E-commerce:&lt;p&gt;&lt;strong&gt;Qual seu nome?:&lt;/strong&gt; MV INFORMATICA NORDESTE LTDA&lt;/p&gt;&lt;p&gt;&lt;strong&gt;Endereço de e-mail:&lt;/strong&gt; ariane.pasilva@cielo.com.br&lt;/p&gt;&lt;p&gt;&lt;strong&gt;Assunto:&lt;/strong&gt; Cancelamento de NF&lt;/p&gt;&lt;p&gt;&lt;strong&gt;Merchant ID/Estabelecimento Comercial (EC):&lt;/strong&gt; 92306257000780&lt;/p&gt;&lt;p&gt;&lt;strong&gt;CNPJ/CPF:&lt;/strong&gt; 92.306.257/0007-80&lt;/p&gt;&lt;p&gt;&lt;strong&gt;Telefone:&lt;/strong&gt; (11) 97707-1602&lt;/p&gt;&lt;p&gt;&lt;strong&gt;Descrição do problema:&lt;/strong&gt; Financeiro, bom dia. Tudo bem?
Estou abrindo outro chamado, pois a tratativa do chamado:26415900, está &amp;quot;errada&amp;quot;.
está em contrato que o cliente tinha 90 dias para integrar e somente esse período iriamos cobrar as faturas (mínimo mensal), sendo assim as notas de junho e julho são indevidas.
Só podemos cobrar a partir de 13/08/2026.
Segue DA financeiro em anexo e partes do contrato que evidência.&lt;/p&gt;&lt;p&gt;&lt;strong&gt;ID da transação:&lt;/strong&gt; &lt;/p&gt;&lt;p&gt;&lt;strong&gt;Código do erro:&lt;/strong&gt; &lt;/p&gt;&lt;p&gt;&lt;strong&gt;Sobre qual produto ou áre</t>
        </is>
      </c>
      <c r="V387" s="129">
        <f>IFERROR(_xlfn.TEXTBEFORE(_xlfn.TEXTAFTER(U387,"Descrição do problema:&lt;/strong"),"&lt;/p&gt;"),_xlfn.TEXTAFTER(U387,"Descrição do problema:&lt;/strong"))</f>
        <v/>
      </c>
      <c r="W387" s="76">
        <f>_xlfn.CONCAT(D387:E387)</f>
        <v/>
      </c>
      <c r="X387" s="77" t="n"/>
      <c r="Y387" s="131">
        <f>IF(X387="","Aberto","Encerrado")</f>
        <v/>
      </c>
      <c r="Z387" s="131">
        <f>IF(OR(L387="PENDENTE",L387="EM ANDAMENTO",L387="PENDENTE APROVAÇÃO CANCELAMENTO NF"),TODAY()-O387,X387-O387)</f>
        <v/>
      </c>
      <c r="AA387" s="131">
        <f>IF(Y387="Aberto",Z387+ROW()/100000,"")</f>
        <v/>
      </c>
      <c r="AB387" s="2">
        <f>IF(ISNUMBER(FIND("@cielo.com.br",S387)),"Interno","Externo")</f>
        <v/>
      </c>
      <c r="AC387" t="inlineStr">
        <is>
          <t>Cancelar, substituir ou reemitir nota fiscal.</t>
        </is>
      </c>
      <c r="AD387" t="inlineStr">
        <is>
          <t>ACAO:CANCELAR; OBJETO:COBRANCA; OBJETO:CONTRATO; OBJETO:NOTA_FISCAL</t>
        </is>
      </c>
      <c r="AE387" t="inlineStr">
        <is>
          <t>Cancelamento de NF</t>
        </is>
      </c>
      <c r="AF387" t="inlineStr">
        <is>
          <t>Documento Fiscal</t>
        </is>
      </c>
      <c r="AG387" t="inlineStr">
        <is>
          <t>Cancelamento e Reemissão de Nota Fiscal</t>
        </is>
      </c>
      <c r="AI387" t="inlineStr">
        <is>
          <t>INT_NF_CANCEL_REEMISSAO</t>
        </is>
      </c>
      <c r="AJ387" t="inlineStr">
        <is>
          <t>Sugerida</t>
        </is>
      </c>
      <c r="AK387" t="b">
        <v>0</v>
      </c>
      <c r="AN387">
        <f>IF(OR(AG387="",AM387=""),"",IF(AG387=AM387,"SIM","NÃO"))</f>
        <v/>
      </c>
      <c r="AO387" t="inlineStr">
        <is>
          <t>CLASSIFIED_SIGNATURE</t>
        </is>
      </c>
    </row>
    <row r="388" ht="15.5" customFormat="1" customHeight="1" s="102">
      <c r="A388" s="1" t="n"/>
      <c r="B388" s="132" t="inlineStr">
        <is>
          <t>Amanda Silva</t>
        </is>
      </c>
      <c r="C388" s="122" t="inlineStr">
        <is>
          <t>Atendimento Administrativo e Suporte</t>
        </is>
      </c>
      <c r="D388" s="129" t="n">
        <v>27004487</v>
      </c>
      <c r="E388" s="129" t="inlineStr">
        <is>
          <t>0</t>
        </is>
      </c>
      <c r="F388" s="126" t="inlineStr">
        <is>
          <t>2625114815782</t>
        </is>
      </c>
      <c r="G388" s="126">
        <f>VLOOKUP(H:H,'Referencias '!B:C,2,0)</f>
        <v/>
      </c>
      <c r="H388" s="126">
        <f>TRIM(_xlfn.TEXTBEFORE(_xlfn.TEXTAFTER(U388,"CNPJ/CPF:&lt;/strong&gt;"),"&lt;/p&gt;"))</f>
        <v/>
      </c>
      <c r="I388" s="122" t="inlineStr">
        <is>
          <t>PRECISO DE ACESSO AO ADMIN - CLIENTE CONTESTA A QTDE DE TRANSAÇÕES DO PAGADOR</t>
        </is>
      </c>
      <c r="J388" s="126" t="n"/>
      <c r="K388" s="126" t="n"/>
      <c r="L388" s="122" t="inlineStr">
        <is>
          <t>PENDENTE</t>
        </is>
      </c>
      <c r="M388" s="127" t="inlineStr">
        <is>
          <t>Médio</t>
        </is>
      </c>
      <c r="N388" s="129" t="inlineStr">
        <is>
          <t>1018 Financeiro | Desejo falar com o setor financeiro | Isabela Lourenço | canais.digitais.ecom@lojasmel.com</t>
        </is>
      </c>
      <c r="O388" s="125" t="n">
        <v>46273</v>
      </c>
      <c r="P388" s="123" t="n">
        <v>46274</v>
      </c>
      <c r="Q388" s="178">
        <f>TEXT(O388,"mmm/aaaa")</f>
        <v/>
      </c>
      <c r="R388" s="129" t="inlineStr">
        <is>
          <t>ECOMMERCE BP SUPORTE FINANCEIRO N2</t>
        </is>
      </c>
      <c r="S388" s="129" t="inlineStr">
        <is>
          <t>canais.digitais.ecom@lojasmel.com</t>
        </is>
      </c>
      <c r="T388" s="129" t="inlineStr">
        <is>
          <t>INATIVO</t>
        </is>
      </c>
      <c r="U388" s="129" t="inlineStr">
        <is>
          <t>Olá, segue formulário enviado para Cielo E-commerce:&lt;p&gt;&lt;strong&gt;Qual seu nome?:&lt;/strong&gt; Isabela Lourenço&lt;/p&gt;&lt;p&gt;&lt;strong&gt;Endereço de e-mail:&lt;/strong&gt; canais.digitais.ecom@lojasmel.com&lt;/p&gt;&lt;p&gt;&lt;strong&gt;CNPJ/CPF:&lt;/strong&gt; 12.356.100/0039-07&lt;/p&gt;&lt;p&gt;&lt;strong&gt;Telefone:&lt;/strong&gt; +5511913142844&lt;/p&gt;&lt;p&gt;&lt;strong&gt;Assunto:&lt;/strong&gt; Solicitação de conferência das transações – Nota Fiscal nº 0122166&lt;/p&gt;&lt;p&gt;&lt;strong&gt;Sobre qual produto ou área deseja falar?:&lt;/strong&gt; Financeiro&lt;/p&gt;&lt;p&gt;&lt;strong&gt;Como podemos te ajudar?:&lt;/strong&gt; Desejo falar com o setor financeiro&lt;/p&gt;&lt;p&gt;&lt;strong&gt;Descrição do problema:&lt;/strong&gt; Em relação á Braspag, gostaria de tirar uma dúvida em relação às transações que foram enviadas na nota fiscal nº 0122166.
Poderiam, por gentileza, verificar se as transações relacionadas a essa nota estão corretas e se os valores lançados estão de acordo&lt;/p&gt;&lt;p&gt;&lt;strong&gt;Merchant ID/Estabelecimento Comercial (EC):&lt;/strong&gt; lojasmel&lt;/p&gt;&lt;p&gt;&lt;strong&gt;Data e hora do erro:&lt;/strong&gt; 08-09-2026 14:05&lt;/p&gt;&lt;p&gt;&lt;strong&gt;GA Clie</t>
        </is>
      </c>
      <c r="V388" s="129">
        <f>IFERROR(_xlfn.TEXTBEFORE(_xlfn.TEXTAFTER(U388,"Descrição do problema:&lt;/strong"),"&lt;/p&gt;"),_xlfn.TEXTAFTER(U388,"Descrição do problema:&lt;/strong"))</f>
        <v/>
      </c>
      <c r="W388" s="76">
        <f>_xlfn.CONCAT(D388:E388)</f>
        <v/>
      </c>
      <c r="X388" s="77" t="n"/>
      <c r="Y388" s="131">
        <f>IF(X388="","Aberto","Encerrado")</f>
        <v/>
      </c>
      <c r="Z388" s="131">
        <f>IF(OR(L388="PENDENTE",L388="EM ANDAMENTO",L388="PENDENTE APROVAÇÃO CANCELAMENTO NF"),TODAY()-O388,X388-O388)</f>
        <v/>
      </c>
      <c r="AA388" s="131">
        <f>IF(Y388="Aberto",Z388+ROW()/100000,"")</f>
        <v/>
      </c>
      <c r="AB388" s="2">
        <f>IF(ISNUMBER(FIND("@cielo.com.br",S388)),"Interno","Externo")</f>
        <v/>
      </c>
      <c r="AD388" t="inlineStr"/>
      <c r="AJ388" t="inlineStr">
        <is>
          <t>Sem correspondência</t>
        </is>
      </c>
      <c r="AK388" t="b">
        <v>0</v>
      </c>
      <c r="AN388">
        <f>IF(OR(AG388="",AM388=""),"",IF(AG388=AM388,"SIM","NÃO"))</f>
        <v/>
      </c>
      <c r="AO388" t="inlineStr">
        <is>
          <t>NO_PATTERN</t>
        </is>
      </c>
    </row>
    <row r="389" ht="15.5" customHeight="1">
      <c r="A389" s="1" t="n"/>
      <c r="B389" s="67" t="inlineStr">
        <is>
          <t>Amanda Silva</t>
        </is>
      </c>
      <c r="C389" s="122">
        <f>VLOOKUP(I:I,'Referencias '!H:I,2,0)</f>
        <v/>
      </c>
      <c r="D389" s="129" t="n">
        <v>26988914</v>
      </c>
      <c r="E389" s="129" t="inlineStr">
        <is>
          <t>0</t>
        </is>
      </c>
      <c r="F389" s="126" t="inlineStr">
        <is>
          <t>2625111806230</t>
        </is>
      </c>
      <c r="G389" s="126" t="inlineStr">
        <is>
          <t>AZZAS 2154 S.A (AREZZO)</t>
        </is>
      </c>
      <c r="H389" s="126">
        <f>TRIM(_xlfn.TEXTBEFORE(_xlfn.TEXTAFTER(U389,"CNPJ/CPF:&lt;/strong&gt;"),"&lt;/p&gt;"))</f>
        <v/>
      </c>
      <c r="I389" s="70" t="inlineStr">
        <is>
          <t>cancelamento de nf</t>
        </is>
      </c>
      <c r="J389" s="72" t="n"/>
      <c r="K389" s="72" t="n"/>
      <c r="L389" s="122" t="inlineStr">
        <is>
          <t>FINALIZADO</t>
        </is>
      </c>
      <c r="M389" s="73" t="inlineStr">
        <is>
          <t>Médio</t>
        </is>
      </c>
      <c r="N389" s="129" t="inlineStr">
        <is>
          <t>1018 Financeiro | Desejo falar com o setor financeiro | AZZAS 2154 S.A | ariane.pasilva@cielo.com.br</t>
        </is>
      </c>
      <c r="O389" s="125" t="n">
        <v>46273</v>
      </c>
      <c r="P389" s="123" t="n">
        <v>46273</v>
      </c>
      <c r="Q389" s="177">
        <f>TEXT(O389,"mmm/aaaa")</f>
        <v/>
      </c>
      <c r="R389" s="129" t="inlineStr">
        <is>
          <t>ECOMMERCE BP SUPORTE FINANCEIRO N2</t>
        </is>
      </c>
      <c r="S389" s="129" t="inlineStr">
        <is>
          <t>ariane.pasilva@cielo.com.br</t>
        </is>
      </c>
      <c r="T389" s="129" t="inlineStr">
        <is>
          <t>AREZZO</t>
        </is>
      </c>
      <c r="U389" s="129" t="inlineStr">
        <is>
          <t>Olá, segue formulário enviado para Cielo E-commerce:&lt;p&gt;&lt;strong&gt;Qual seu nome?:&lt;/strong&gt; AZZAS 2154 S.A&lt;/p&gt;&lt;p&gt;&lt;strong&gt;Endereço de e-mail:&lt;/strong&gt; ariane.pasilva@cielo.com.br&lt;/p&gt;&lt;p&gt;&lt;strong&gt;CNPJ/CPF:&lt;/strong&gt; 16.590.234/0020-39&lt;/p&gt;&lt;p&gt;&lt;strong&gt;Telefone:&lt;/strong&gt; (11) 97707-1602&lt;/p&gt;&lt;p&gt;&lt;strong&gt;Assunto:&lt;/strong&gt; Cancelamento de NF&lt;/p&gt;&lt;p&gt;&lt;strong&gt;Merchant ID/Estabelecimento Comercial (EC):&lt;/strong&gt; 16590234002039&lt;/p&gt;&lt;p&gt;&lt;strong&gt;Descrição do problema:&lt;/strong&gt; Time financeiro, bom dia. Tudo bem?
Por favor, preciso que todas as notas para o grupo AREZZO:
16590234000176
47570781000113
16590234002039
Sejam canceladas e emitam 5 notas notas fiscais (dividindo o valor inteiro da soma da nota fiscal).
Em anexo, possui já o DA comercial e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t>
        </is>
      </c>
      <c r="V389" s="71">
        <f>IFERROR(_xlfn.TEXTBEFORE(_xlfn.TEXTAFTER(U389,"Descrição do problema:&lt;/strong"),"&lt;/p&gt;"),_xlfn.TEXTAFTER(U389,"Descrição do problema:&lt;/strong"))</f>
        <v/>
      </c>
      <c r="W389" s="76">
        <f>_xlfn.CONCAT(D389:E389)</f>
        <v/>
      </c>
      <c r="X389" s="77" t="n">
        <v>46286</v>
      </c>
      <c r="Y389" s="78">
        <f>IF(X389="","Aberto","Encerrado")</f>
        <v/>
      </c>
      <c r="Z389" s="78">
        <f>IF(OR(L389="PENDENTE",L389="EM ANDAMENTO",L389="PENDENTE APROVAÇÃO CANCELAMENTO NF"),TODAY()-O389,X389-O389)</f>
        <v/>
      </c>
      <c r="AA389" s="78">
        <f>IF(Y389="Aberto",Z389+ROW()/100000,"")</f>
        <v/>
      </c>
      <c r="AB389" s="2">
        <f>IF(ISNUMBER(FIND("@cielo.com.br",S389)),"Interno","Externo")</f>
        <v/>
      </c>
      <c r="AC389" t="inlineStr">
        <is>
          <t>Cancelar, substituir ou reemitir nota fiscal.</t>
        </is>
      </c>
      <c r="AD389" t="inlineStr">
        <is>
          <t>ACAO:CANCELAR; OBJETO:NOTA_FISCAL</t>
        </is>
      </c>
      <c r="AE389" t="inlineStr">
        <is>
          <t>Cancelamento de NF</t>
        </is>
      </c>
      <c r="AF389" t="inlineStr">
        <is>
          <t>Documento Fiscal</t>
        </is>
      </c>
      <c r="AG389" t="inlineStr">
        <is>
          <t>Cancelamento e Reemissão de Nota Fiscal</t>
        </is>
      </c>
      <c r="AI389" t="inlineStr">
        <is>
          <t>INT_NF_CANCEL_REEMISSAO</t>
        </is>
      </c>
      <c r="AJ389" t="inlineStr">
        <is>
          <t>Sugerida</t>
        </is>
      </c>
      <c r="AK389" t="b">
        <v>0</v>
      </c>
      <c r="AN389">
        <f>IF(OR(AG389="",AM389=""),"",IF(AG389=AM389,"SIM","NÃO"))</f>
        <v/>
      </c>
      <c r="AO389" t="inlineStr">
        <is>
          <t>CLASSIFIED_SIGNATURE</t>
        </is>
      </c>
    </row>
    <row r="390" ht="15.5" customHeight="1">
      <c r="A390" s="1" t="n"/>
      <c r="B390" s="67" t="inlineStr">
        <is>
          <t>Amanda Silva</t>
        </is>
      </c>
      <c r="C390" s="70">
        <f>VLOOKUP(I:I,'Referencias '!H:I,2,0)</f>
        <v/>
      </c>
      <c r="D390" s="129" t="n">
        <v>26895066</v>
      </c>
      <c r="E390" s="129" t="inlineStr">
        <is>
          <t>0</t>
        </is>
      </c>
      <c r="F390" s="126" t="inlineStr">
        <is>
          <t>2624616745532</t>
        </is>
      </c>
      <c r="G390" s="72" t="inlineStr">
        <is>
          <t xml:space="preserve"> JJGC. IND. E COM. MATERIAS DENTARIOS S/A</t>
        </is>
      </c>
      <c r="H390" s="72">
        <f>TRIM(_xlfn.TEXTBEFORE(_xlfn.TEXTAFTER(U390,"CNPJ/CPF:&lt;/strong&gt;"),"&lt;/p&gt;"))</f>
        <v/>
      </c>
      <c r="I390" s="70" t="inlineStr">
        <is>
          <t>cancelamento de nf</t>
        </is>
      </c>
      <c r="J390" s="72" t="n"/>
      <c r="K390" s="72" t="n"/>
      <c r="L390" s="122" t="inlineStr">
        <is>
          <t>EM ANDAMENTO</t>
        </is>
      </c>
      <c r="M390" s="73" t="inlineStr">
        <is>
          <t>Médio</t>
        </is>
      </c>
      <c r="N390" s="129" t="inlineStr">
        <is>
          <t>1018 Financeiro | Desejo falar com o setor financeiro | JJGC. IND. E COM. MATERIAS DENTARIOS S/A | ariane.pasilva@cielo.com.br</t>
        </is>
      </c>
      <c r="O390" s="125" t="n">
        <v>46268</v>
      </c>
      <c r="P390" s="123" t="n">
        <v>46268</v>
      </c>
      <c r="Q390" s="177">
        <f>TEXT(O390,"mmm/aaaa")</f>
        <v/>
      </c>
      <c r="R390" s="129" t="inlineStr">
        <is>
          <t>ECOMMERCE BP SUPORTE FINANCEIRO N2</t>
        </is>
      </c>
      <c r="S390" s="129" t="inlineStr">
        <is>
          <t>ariane.pasilva@cielo.com.br</t>
        </is>
      </c>
      <c r="T390" s="129" t="inlineStr"/>
      <c r="U390" s="129" t="inlineStr">
        <is>
          <t>Olá, segue formulário enviado para Cielo E-commerce:&lt;p&gt;&lt;strong&gt;Qual seu nome?:&lt;/strong&gt; JJGC. IND. E COM. MATERIAS DENTARIOS S/A&lt;/p&gt;&lt;p&gt;&lt;strong&gt;CNPJ/CPF:&lt;/strong&gt; 00.489.050/0001-84&lt;/p&gt;&lt;p&gt;&lt;strong&gt;Merchant ID/Estabelecimento Comercial (EC):&lt;/strong&gt; 00489050000184&lt;/p&gt;&lt;p&gt;&lt;strong&gt;Endereço de e-mail:&lt;/strong&gt; ariane.pasilva@cielo.com.br&lt;/p&gt;&lt;p&gt;&lt;strong&gt;Telefone:&lt;/strong&gt; (11) 97707-1602&lt;/p&gt;&lt;p&gt;&lt;strong&gt;Assunto:&lt;/strong&gt;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Time financeiro, boa tarde. Tudo bem?
Por gentileza, apesar de na descrição constar apenas um CNPJ, o cancelamento são dois CNPJS (se trata do mesmo cliente).
Conforme DA em anexo, preciso que cancele todas as notas dos clientes:
00489050000184
00489050000265&lt;/p&gt;&lt;p&gt;&lt;strong&gt;GA Client ID:&lt;/strong&gt; 9342157.1788180899&lt;/p&gt;&lt;p&gt;&lt;strong&gt;Lead Hash ID:&lt;/strong&gt; 2a0734</t>
        </is>
      </c>
      <c r="V390" s="71">
        <f>IFERROR(_xlfn.TEXTBEFORE(_xlfn.TEXTAFTER(U390,"Descrição do problema:&lt;/strong"),"&lt;/p&gt;"),_xlfn.TEXTAFTER(U390,"Descrição do problema:&lt;/strong"))</f>
        <v/>
      </c>
      <c r="W390" s="76">
        <f>_xlfn.CONCAT(D390:E390)</f>
        <v/>
      </c>
      <c r="X390" s="77" t="n"/>
      <c r="Y390" s="78">
        <f>IF(X390="","Aberto","Encerrado")</f>
        <v/>
      </c>
      <c r="Z390" s="78">
        <f>IF(OR(L390="PENDENTE",L390="EM ANDAMENTO",L390="PENDENTE APROVAÇÃO CANCELAMENTO NF"),TODAY()-O390,X390-O390)</f>
        <v/>
      </c>
      <c r="AA390" s="78">
        <f>IF(Y390="Aberto",Z390+ROW()/100000,"")</f>
        <v/>
      </c>
      <c r="AB390" s="2">
        <f>IF(ISNUMBER(FIND("@cielo.com.br",S390)),"Interno","Externo")</f>
        <v/>
      </c>
      <c r="AC390" t="inlineStr">
        <is>
          <t>Cancelar, substituir ou reemitir nota fiscal.</t>
        </is>
      </c>
      <c r="AD390" t="inlineStr">
        <is>
          <t>ACAO:CANCELAR; OBJETO:NOTA_FISCAL</t>
        </is>
      </c>
      <c r="AE390" t="inlineStr">
        <is>
          <t>Cancelamento de NF</t>
        </is>
      </c>
      <c r="AF390" t="inlineStr">
        <is>
          <t>Documento Fiscal</t>
        </is>
      </c>
      <c r="AG390" t="inlineStr">
        <is>
          <t>Cancelamento e Reemissão de Nota Fiscal</t>
        </is>
      </c>
      <c r="AI390" t="inlineStr">
        <is>
          <t>INT_NF_CANCEL_REEMISSAO</t>
        </is>
      </c>
      <c r="AJ390" t="inlineStr">
        <is>
          <t>Sugerida</t>
        </is>
      </c>
      <c r="AK390" t="b">
        <v>0</v>
      </c>
      <c r="AN390">
        <f>IF(OR(AG390="",AM390=""),"",IF(AG390=AM390,"SIM","NÃO"))</f>
        <v/>
      </c>
      <c r="AO390" t="inlineStr">
        <is>
          <t>CLASSIFIED_SIGNATURE</t>
        </is>
      </c>
    </row>
    <row r="391" ht="15.5" customHeight="1">
      <c r="A391" s="1" t="n"/>
      <c r="B391" s="67" t="inlineStr">
        <is>
          <t>Amanda Silva</t>
        </is>
      </c>
      <c r="C391" s="70" t="inlineStr">
        <is>
          <t>Cancelamento e Reemissão de Nota Fiscal</t>
        </is>
      </c>
      <c r="D391" s="129" t="n">
        <v>26858033</v>
      </c>
      <c r="E391" s="129" t="inlineStr">
        <is>
          <t>0</t>
        </is>
      </c>
      <c r="F391" s="126" t="inlineStr">
        <is>
          <t>2624610722171</t>
        </is>
      </c>
      <c r="G391" s="72" t="inlineStr">
        <is>
          <t xml:space="preserve"> PGX INTERMEDIACOES</t>
        </is>
      </c>
      <c r="H391" s="72">
        <f>TRIM(_xlfn.TEXTBEFORE(_xlfn.TEXTAFTER(U391,"CNPJ/CPF:&lt;/strong&gt;"),"&lt;/p&gt;"))</f>
        <v/>
      </c>
      <c r="I391" s="70" t="n"/>
      <c r="J391" s="72" t="n"/>
      <c r="K391" s="72" t="n"/>
      <c r="L391" s="122" t="inlineStr">
        <is>
          <t>PENDENTE</t>
        </is>
      </c>
      <c r="M391" s="73" t="inlineStr">
        <is>
          <t>Médio</t>
        </is>
      </c>
      <c r="N391" s="129" t="inlineStr">
        <is>
          <t>1018 Financeiro | Desejo falar com o setor financeiro | PGX INTERMEDIACOES LTDA | ariane.pasilva@cielo.com.br</t>
        </is>
      </c>
      <c r="O391" s="125" t="n">
        <v>46268</v>
      </c>
      <c r="P391" s="123" t="n">
        <v>46269</v>
      </c>
      <c r="Q391" s="177">
        <f>TEXT(O391,"mmm/aaaa")</f>
        <v/>
      </c>
      <c r="R391" s="129" t="inlineStr">
        <is>
          <t>ECOMMERCE BP SUPORTE FINANCEIRO N2</t>
        </is>
      </c>
      <c r="S391" s="129" t="inlineStr">
        <is>
          <t>ariane.pasilva@cielo.com.br</t>
        </is>
      </c>
      <c r="T391" s="129" t="inlineStr">
        <is>
          <t>PGX INTERMEDIACOES LTDA</t>
        </is>
      </c>
      <c r="U391" s="129" t="inlineStr">
        <is>
          <t>Olá, segue formulário enviado para Cielo E-commerce:&lt;p&gt;&lt;strong&gt;Qual seu nome?:&lt;/strong&gt; PGX INTERMEDIACOES LTDA&lt;/p&gt;&lt;p&gt;&lt;strong&gt;Endereço de e-mail:&lt;/strong&gt; ariane.pasilva@cielo.com.br&lt;/p&gt;&lt;p&gt;&lt;strong&gt;CNPJ/CPF:&lt;/strong&gt; 62.454.347/0001-61&lt;/p&gt;&lt;p&gt;&lt;strong&gt;Merchant ID/Estabelecimento Comercial (EC):&lt;/strong&gt; 62.454.347/0001-61&lt;/p&gt;&lt;p&gt;&lt;strong&gt;Telefone:&lt;/strong&gt; (11) 9777-1602&lt;/p&gt;&lt;p&gt;&lt;strong&gt;Assunto:&lt;/strong&gt;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Pessoal, bom dia. Tudo bem?
Favor cancelar a nota fiscal de SETUP do cliente, área comercial não deu fechado ganho no SF, por isso não éramos para ter emitido a cobrança.
Não tenho o DA comercial. 
Poderiam verificar?
Por favor?&lt;/p&gt;&lt;p&gt;&lt;strong&gt;GA Client ID:&lt;/strong&gt; 9342157.1788180899&lt;/p&gt;&lt;p&gt;&lt;strong&gt;Lead Hash ID:&lt;/strong&gt; 2a07344672c93c9ca782cc07cf9dc37d0cd4c270e817a83b</t>
        </is>
      </c>
      <c r="V391" s="71">
        <f>IFERROR(_xlfn.TEXTBEFORE(_xlfn.TEXTAFTER(U391,"Descrição do problema:&lt;/strong"),"&lt;/p&gt;"),_xlfn.TEXTAFTER(U391,"Descrição do problema:&lt;/strong"))</f>
        <v/>
      </c>
      <c r="W391" s="76">
        <f>_xlfn.CONCAT(D391:E391)</f>
        <v/>
      </c>
      <c r="X391" s="77" t="n"/>
      <c r="Y391" s="78">
        <f>IF(X391="","Aberto","Encerrado")</f>
        <v/>
      </c>
      <c r="Z391" s="78">
        <f>IF(OR(L391="PENDENTE",L391="EM ANDAMENTO",L391="PENDENTE APROVAÇÃO CANCELAMENTO NF"),TODAY()-O391,X391-O391)</f>
        <v/>
      </c>
      <c r="AA391" s="78">
        <f>IF(Y391="Aberto",Z391+ROW()/100000,"")</f>
        <v/>
      </c>
      <c r="AB391" s="2">
        <f>IF(ISNUMBER(FIND("@cielo.com.br",S391)),"Interno","Externo")</f>
        <v/>
      </c>
      <c r="AC391" t="inlineStr">
        <is>
          <t>Cancelar, substituir ou reemitir nota fiscal.</t>
        </is>
      </c>
      <c r="AD391" t="inlineStr">
        <is>
          <t>ACAO:CANCELAR; ACAO:CONSULTAR; OBJETO:COBRANCA; OBJETO:NOTA_FISCAL; OBJETO:SETUP</t>
        </is>
      </c>
      <c r="AE391" t="inlineStr">
        <is>
          <t>Cancelamento de NF</t>
        </is>
      </c>
      <c r="AF391" t="inlineStr">
        <is>
          <t>Documento Fiscal</t>
        </is>
      </c>
      <c r="AG391" t="inlineStr">
        <is>
          <t>Cancelamento e Reemissão de Nota Fiscal</t>
        </is>
      </c>
      <c r="AI391" t="inlineStr">
        <is>
          <t>INT_NF_CANCEL_REEMISSAO</t>
        </is>
      </c>
      <c r="AJ391" t="inlineStr">
        <is>
          <t>Sugerida</t>
        </is>
      </c>
      <c r="AK391" t="b">
        <v>0</v>
      </c>
      <c r="AN391">
        <f>IF(OR(AG391="",AM391=""),"",IF(AG391=AM391,"SIM","NÃO"))</f>
        <v/>
      </c>
      <c r="AO391" t="inlineStr">
        <is>
          <t>CLASSIFIED_SIGNATURE</t>
        </is>
      </c>
    </row>
    <row r="392" ht="15.5" customHeight="1">
      <c r="A392" s="1" t="n"/>
      <c r="B392" s="67" t="inlineStr">
        <is>
          <t>Amanda Silva</t>
        </is>
      </c>
      <c r="C392" s="70" t="inlineStr">
        <is>
          <t>Atendimento Administrativo e Suporte</t>
        </is>
      </c>
      <c r="D392" s="129" t="n">
        <v>26802191</v>
      </c>
      <c r="E392" s="129" t="inlineStr">
        <is>
          <t>0</t>
        </is>
      </c>
      <c r="F392" s="126" t="inlineStr">
        <is>
          <t>2624511686165</t>
        </is>
      </c>
      <c r="G392" s="72" t="inlineStr">
        <is>
          <t>LM DIGITAIS</t>
        </is>
      </c>
      <c r="H392" s="72">
        <f>TRIM(_xlfn.TEXTBEFORE(_xlfn.TEXTAFTER(U392,"CNPJ/CPF:&lt;/strong&gt;"),"&lt;/p&gt;"))</f>
        <v/>
      </c>
      <c r="I392" s="70" t="inlineStr">
        <is>
          <t>Cliente reclamando da integração do produto, direcionei para a fila do comercial</t>
        </is>
      </c>
      <c r="J392" s="72" t="n"/>
      <c r="K392" s="72" t="n"/>
      <c r="L392" s="122" t="inlineStr">
        <is>
          <t>FINALIZADO</t>
        </is>
      </c>
      <c r="M392" s="73" t="inlineStr">
        <is>
          <t>Médio</t>
        </is>
      </c>
      <c r="N392" s="129" t="inlineStr">
        <is>
          <t>1001 Split de Pagamento | Minha operação está parada e preciso de uma ajuda urgente | LUCAS EDUARDO MOREIRA | contato.lmdigitais@gmail.com</t>
        </is>
      </c>
      <c r="O392" s="125" t="n">
        <v>46267</v>
      </c>
      <c r="P392" s="123" t="n">
        <v>46268</v>
      </c>
      <c r="Q392" s="177">
        <f>TEXT(O392,"mmm/aaaa")</f>
        <v/>
      </c>
      <c r="R392" s="129" t="inlineStr">
        <is>
          <t>ECOMMERCE BP SUPORTE FINANCEIRO N2</t>
        </is>
      </c>
      <c r="S392" s="129" t="inlineStr">
        <is>
          <t>contato.lmdigitais@gmail.com</t>
        </is>
      </c>
      <c r="T392" s="129" t="inlineStr"/>
      <c r="U392" s="129" t="inlineStr">
        <is>
          <t>Olá, segue formulário enviado para Cielo E-commerce:&lt;p&gt;&lt;strong&gt;Qual seu nome?:&lt;/strong&gt; LUCAS EDUARDO MOREIRA&lt;/p&gt;&lt;p&gt;&lt;strong&gt;Endereço de e-mail:&lt;/strong&gt; contato.lmdigitais@gmail.com&lt;/p&gt;&lt;p&gt;&lt;strong&gt;Telefone:&lt;/strong&gt; (11) 91270-4317&lt;/p&gt;&lt;p&gt;&lt;strong&gt;CNPJ/CPF:&lt;/strong&gt; 62.454.347/0001-61&lt;/p&gt;&lt;p&gt;&lt;strong&gt;Assunto:&lt;/strong&gt; RECLAMACAO/CANCELAMENTO&lt;/p&gt;&lt;p&gt;&lt;strong&gt;Merchant ID/Estabelecimento Comercial (EC):&lt;/strong&gt; NAO TENHO&lt;/p&gt;&lt;p&gt;&lt;strong&gt;Sobre qual produto ou área deseja falar?:&lt;/strong&gt; Split de Pagamento&lt;/p&gt;&lt;p&gt;&lt;strong&gt;Como podemos te ajudar?:&lt;/strong&gt; Minha operação está parada e preciso de uma ajuda urgente&lt;/p&gt;&lt;p&gt;&lt;strong&gt;Descrição do problema:&lt;/strong&gt; bom dia , voces estao me mandando cobrancas e gerando cobrancas . Mas o suporte de voces nunca terminou meu cadastro nem minha integracao ja tentei varias vezes e eles nem se quer me respondem.
Cancelem todas as cobrancas em nosso nome ainda hoje ou entraremos com uma ação contra a cielo/braspag.
Tenho todos os prints de tentativa de contato aq</t>
        </is>
      </c>
      <c r="V392" s="71">
        <f>IFERROR(_xlfn.TEXTBEFORE(_xlfn.TEXTAFTER(U392,"Descrição do problema:&lt;/strong"),"&lt;/p&gt;"),_xlfn.TEXTAFTER(U392,"Descrição do problema:&lt;/strong"))</f>
        <v/>
      </c>
      <c r="W392" s="76">
        <f>_xlfn.CONCAT(D392:E392)</f>
        <v/>
      </c>
      <c r="X392" s="77" t="n">
        <v>46276</v>
      </c>
      <c r="Y392" s="78">
        <f>IF(X392="","Aberto","Encerrado")</f>
        <v/>
      </c>
      <c r="Z392" s="78">
        <f>IF(OR(L392="PENDENTE",L392="EM ANDAMENTO",L392="PENDENTE APROVAÇÃO CANCELAMENTO NF"),TODAY()-O392,X392-O392)</f>
        <v/>
      </c>
      <c r="AA392" s="78">
        <f>IF(Y392="Aberto",Z392+ROW()/100000,"")</f>
        <v/>
      </c>
      <c r="AB392" s="2">
        <f>IF(ISNUMBER(FIND("@cielo.com.br",S392)),"Interno","Externo")</f>
        <v/>
      </c>
      <c r="AD392" t="inlineStr"/>
      <c r="AJ392" t="inlineStr">
        <is>
          <t>Sem correspondência</t>
        </is>
      </c>
      <c r="AK392" t="b">
        <v>0</v>
      </c>
      <c r="AN392">
        <f>IF(OR(AG392="",AM392=""),"",IF(AG392=AM392,"SIM","NÃO"))</f>
        <v/>
      </c>
      <c r="AO392" t="inlineStr">
        <is>
          <t>NO_PATTERN</t>
        </is>
      </c>
    </row>
    <row r="393" ht="15.5" customHeight="1">
      <c r="A393" s="1" t="n"/>
      <c r="B393" s="67" t="inlineStr">
        <is>
          <t>Stephany Lima</t>
        </is>
      </c>
      <c r="C393" s="70">
        <f>VLOOKUP(I:I,'Referencias '!H:I,2,0)</f>
        <v/>
      </c>
      <c r="D393" s="129" t="n">
        <v>27241800</v>
      </c>
      <c r="E393" s="129" t="inlineStr">
        <is>
          <t>0</t>
        </is>
      </c>
      <c r="F393" s="126" t="inlineStr">
        <is>
          <t>2625712966100</t>
        </is>
      </c>
      <c r="G393" s="72">
        <f>VLOOKUP(H:H,'Referencias '!B:C,2,0)</f>
        <v/>
      </c>
      <c r="H393" s="72">
        <f>TRIM(_xlfn.TEXTBEFORE(_xlfn.TEXTAFTER(U393,"CNPJ/CPF:&lt;/strong&gt;"),"&lt;/p&gt;"))</f>
        <v/>
      </c>
      <c r="I393" s="70" t="inlineStr">
        <is>
          <t>Contestação de cobrança</t>
        </is>
      </c>
      <c r="J393" s="72" t="n"/>
      <c r="K393" s="72" t="n"/>
      <c r="L393" s="122" t="inlineStr">
        <is>
          <t>PENDENTE</t>
        </is>
      </c>
      <c r="M393" s="73" t="inlineStr">
        <is>
          <t>Médio</t>
        </is>
      </c>
      <c r="N393" s="129" t="inlineStr">
        <is>
          <t>1018 Financeiro | Desejo falar com o setor financeiro | Douglas Nascimento | reservas@hotelgumz.com.br</t>
        </is>
      </c>
      <c r="O393" s="125" t="inlineStr">
        <is>
          <t>14/09/2026</t>
        </is>
      </c>
      <c r="P393" s="123" t="inlineStr">
        <is>
          <t>14/09/2026</t>
        </is>
      </c>
      <c r="Q393" s="177">
        <f>TEXT(O393,"mmm/aaaa")</f>
        <v/>
      </c>
      <c r="R393" s="129" t="inlineStr">
        <is>
          <t>ECOMMERCE BP SUPORTE FINANCEIRO N2</t>
        </is>
      </c>
      <c r="S393" s="129" t="inlineStr">
        <is>
          <t>reservas@hotelgumz.com.br</t>
        </is>
      </c>
      <c r="T393" s="129" t="inlineStr"/>
      <c r="U393" s="129" t="inlineStr">
        <is>
          <t>Olá, segue formulário enviado para Cielo E-commerce:&lt;p&gt;&lt;strong&gt;Qual seu nome?:&lt;/strong&gt; Douglas Nascimento&lt;/p&gt;&lt;p&gt;&lt;strong&gt;Endereço de e-mail:&lt;/strong&gt; reservas@hotelgumz.com.br&lt;/p&gt;&lt;p&gt;&lt;strong&gt;CNPJ/CPF:&lt;/strong&gt; 83.115.048/0001-72&lt;/p&gt;&lt;p&gt;&lt;strong&gt;Telefone:&lt;/strong&gt; (47) 3367-1414&lt;/p&gt;&lt;p&gt;&lt;strong&gt;Assunto:&lt;/strong&gt; Boleto e NF Antifraude set/26 duplicado&lt;/p&gt;&lt;p&gt;&lt;strong&gt;Merchant ID/Estabelecimento Comercial (EC):&lt;/strong&gt; 4560190685&lt;/p&gt;&lt;p&gt;&lt;strong&gt;Sobre qual produto ou área deseja falar?:&lt;/strong&gt; Financeiro&lt;/p&gt;&lt;p&gt;&lt;strong&gt;Como podemos te ajudar?:&lt;/strong&gt; Desejo falar com o setor financeiro&lt;/p&gt;&lt;p&gt;&lt;strong&gt;Descrição do problema:&lt;/strong&gt; Recebemos duas notas e dois boletos referentes ao Antifraude do período 01/08/2026 à 31/08/2026: NF 0122517 e NF 0122610. Precisamos que um seja cancelado e que nos informe qual ficará ativo para nosso financeiro saber qual deve pagar
Aproveitando o contato para verificar sobre outro assunto, atualmente temos contrato com vocês dois produtos diferentes: Gateway (Pa</t>
        </is>
      </c>
      <c r="V393" s="71">
        <f>IFERROR(_xlfn.TEXTBEFORE(_xlfn.TEXTAFTER(U393,"Descrição do problema:&lt;/strong"),"&lt;/p&gt;"),_xlfn.TEXTAFTER(U393,"Descrição do problema:&lt;/strong"))</f>
        <v/>
      </c>
      <c r="W393" s="76">
        <f>_xlfn.CONCAT(D393:E393)</f>
        <v/>
      </c>
      <c r="X393" s="77" t="n"/>
      <c r="Y393" s="78">
        <f>IF(X393="","Aberto","Encerrado")</f>
        <v/>
      </c>
      <c r="Z393" s="78">
        <f>IF(OR(L393="PENDENTE",L393="EM ANDAMENTO",L393="PENDENTE APROVAÇÃO CANCELAMENTO NF"),TODAY()-O393,X393-O393)</f>
        <v/>
      </c>
      <c r="AA393" s="78">
        <f>IF(Y393="Aberto",Z393+ROW()/100000,"")</f>
        <v/>
      </c>
      <c r="AB393" s="2">
        <f>IF(ISNUMBER(FIND("@cielo.com.br",S393)),"Interno","Externo")</f>
        <v/>
      </c>
      <c r="AC393" t="inlineStr">
        <is>
          <t>Solicitar informação administrativa genérica.</t>
        </is>
      </c>
      <c r="AD393" t="inlineStr">
        <is>
          <t>contato + financeiro</t>
        </is>
      </c>
      <c r="AE393" t="inlineStr">
        <is>
          <t>Informações gerais</t>
        </is>
      </c>
      <c r="AF393" t="inlineStr">
        <is>
          <t>Informação/Atendimento</t>
        </is>
      </c>
      <c r="AG393" t="inlineStr">
        <is>
          <t>Atendimento Administrativo e Suporte</t>
        </is>
      </c>
      <c r="AI393" t="inlineStr">
        <is>
          <t>INT_ADM_INFORMACAO</t>
        </is>
      </c>
      <c r="AJ393" t="inlineStr">
        <is>
          <t>Sugerida</t>
        </is>
      </c>
      <c r="AK393" t="b">
        <v>0</v>
      </c>
      <c r="AN393">
        <f>IF(OR(AG393="",AM393=""),"",IF(AG393=AM393,"SIM","NÃO"))</f>
        <v/>
      </c>
      <c r="AO393" t="inlineStr">
        <is>
          <t>CLASSIFIED_PATTERN</t>
        </is>
      </c>
    </row>
    <row r="394" ht="15.5" customHeight="1">
      <c r="A394" s="1" t="n"/>
      <c r="B394" s="67" t="inlineStr">
        <is>
          <t>Amanda Silva</t>
        </is>
      </c>
      <c r="C394" s="70">
        <f>VLOOKUP(I:I,'Referencias '!H:I,2,0)</f>
        <v/>
      </c>
      <c r="D394" s="129" t="n">
        <v>27220980</v>
      </c>
      <c r="E394" s="129" t="inlineStr">
        <is>
          <t>0</t>
        </is>
      </c>
      <c r="F394" s="126" t="inlineStr">
        <is>
          <t>2625709953294</t>
        </is>
      </c>
      <c r="G394" s="72">
        <f>VLOOKUP(H:H,'Referencias '!B:C,2,0)</f>
        <v/>
      </c>
      <c r="H394" s="72">
        <f>TRIM(_xlfn.TEXTBEFORE(_xlfn.TEXTAFTER(U394,"CNPJ/CPF:&lt;/strong&gt;"),"&lt;/p&gt;"))</f>
        <v/>
      </c>
      <c r="I394" s="70" t="inlineStr">
        <is>
          <t>REENVIO DE BOLETO</t>
        </is>
      </c>
      <c r="J394" s="72" t="n"/>
      <c r="K394" s="72" t="n"/>
      <c r="L394" s="122" t="inlineStr">
        <is>
          <t>FINALIZADO</t>
        </is>
      </c>
      <c r="M394" s="73" t="inlineStr">
        <is>
          <t>Médio</t>
        </is>
      </c>
      <c r="N394" s="129" t="inlineStr">
        <is>
          <t>1018 Financeiro | Desejo falar com o setor financeiro | Letícia Rosenbach de Souza | leticia.souza@bunge.com</t>
        </is>
      </c>
      <c r="O394" s="125" t="inlineStr">
        <is>
          <t>14/09/2026</t>
        </is>
      </c>
      <c r="P394" s="123" t="inlineStr">
        <is>
          <t>14/09/2026</t>
        </is>
      </c>
      <c r="Q394" s="177">
        <f>TEXT(O394,"mmm/aaaa")</f>
        <v/>
      </c>
      <c r="R394" s="129" t="inlineStr">
        <is>
          <t>ECOMMERCE BP SUPORTE FINANCEIRO N2</t>
        </is>
      </c>
      <c r="S394" s="129" t="inlineStr">
        <is>
          <t>leticia.souza@bunge.com</t>
        </is>
      </c>
      <c r="T394" s="129" t="inlineStr"/>
      <c r="U394" s="129" t="inlineStr">
        <is>
          <t>Olá, segue formulário enviado para Cielo E-commerce:&lt;p&gt;&lt;strong&gt;Qual seu nome?:&lt;/strong&gt; Letícia Rosenbach de Souza&lt;/p&gt;&lt;p&gt;&lt;strong&gt;Endereço de e-mail:&lt;/strong&gt; leticia.souza@bunge.com&lt;/p&gt;&lt;p&gt;&lt;strong&gt;CNPJ/CPF:&lt;/strong&gt; 84.046.101/0001-93&lt;/p&gt;&lt;p&gt;&lt;strong&gt;Telefone:&lt;/strong&gt; (11) 91957-6935&lt;/p&gt;&lt;p&gt;&lt;strong&gt;Assunto:&lt;/strong&gt; Boleto atualizado&lt;/p&gt;&lt;p&gt;&lt;strong&gt;Merchant ID/Estabelecimento Comercial (EC):&lt;/strong&gt; 268d7ed1-62f9-489d-a252-bb418e6f6ff5&lt;/p&gt;&lt;p&gt;&lt;strong&gt;Descrição do problema:&lt;/strong&gt; Solicito boleto atualizado da NF 120050, com vencimento para 18/09. 
Obrigada!&lt;/p&gt;&lt;p&gt;&lt;strong&gt;ID da transação:&lt;/strong&gt; N/A&lt;/p&gt;&lt;p&gt;&lt;strong&gt;Código do erro:&lt;/strong&gt; N/A&lt;/p&gt;&lt;p&gt;&lt;strong&gt;Sobre qual produto ou área deseja falar?:&lt;/strong&gt; Financeiro&lt;/p&gt;&lt;p&gt;&lt;strong&gt;Como podemos te ajudar?:&lt;/strong&gt; Desejo falar com o setor financeiro&lt;/p&gt;&lt;p&gt;&lt;strong&gt;GA Client ID:&lt;/strong&gt; 249276657.1789151375&lt;/p&gt;&lt;p&gt;&lt;strong&gt;Lead Hash ID:&lt;/strong&gt; df2c00ba65be6db189a2d6df4dbf8a353698c19a79a393b5d4d1bb7626513b20&lt;/p&gt;&lt;p&gt;&lt;strong&gt;Lead Form ID:&lt;/st</t>
        </is>
      </c>
      <c r="V394" s="71">
        <f>IFERROR(_xlfn.TEXTBEFORE(_xlfn.TEXTAFTER(U394,"Descrição do problema:&lt;/strong"),"&lt;/p&gt;"),_xlfn.TEXTAFTER(U394,"Descrição do problema:&lt;/strong"))</f>
        <v/>
      </c>
      <c r="W394" s="76">
        <f>_xlfn.CONCAT(D394:E394)</f>
        <v/>
      </c>
      <c r="X394" s="77" t="n">
        <v>46280</v>
      </c>
      <c r="Y394" s="78">
        <f>IF(X394="","Aberto","Encerrado")</f>
        <v/>
      </c>
      <c r="Z394" s="78">
        <f>IF(OR(L394="PENDENTE",L394="EM ANDAMENTO",L394="PENDENTE APROVAÇÃO CANCELAMENTO NF"),TODAY()-O394,X394-O394)</f>
        <v/>
      </c>
      <c r="AA394" s="78">
        <f>IF(Y394="Aberto",Z394+ROW()/100000,"")</f>
        <v/>
      </c>
      <c r="AB394" s="2">
        <f>IF(ISNUMBER(FIND("@cielo.com.br",S394)),"Interno","Externo")</f>
        <v/>
      </c>
      <c r="AC394" t="inlineStr">
        <is>
          <t>Solicitar segunda via, reenvio ou reemissão de boleto.</t>
        </is>
      </c>
      <c r="AD394" t="inlineStr">
        <is>
          <t>boleto atualizado; solicito boleto atualizado; boleto + atualizado</t>
        </is>
      </c>
      <c r="AE394" t="inlineStr">
        <is>
          <t>Reenvio de boleto</t>
        </is>
      </c>
      <c r="AF394" t="inlineStr">
        <is>
          <t>Título Financeiro</t>
        </is>
      </c>
      <c r="AG394" t="inlineStr">
        <is>
          <t>Pagamentos, Boletos e Recebimentos</t>
        </is>
      </c>
      <c r="AI394" t="inlineStr">
        <is>
          <t>INT_PAG_BOLETO_REENVIO</t>
        </is>
      </c>
      <c r="AJ394" t="inlineStr">
        <is>
          <t>Sugerida</t>
        </is>
      </c>
      <c r="AK394" t="b">
        <v>0</v>
      </c>
      <c r="AN394">
        <f>IF(OR(AG394="",AM394=""),"",IF(AG394=AM394,"SIM","NÃO"))</f>
        <v/>
      </c>
      <c r="AO394" t="inlineStr">
        <is>
          <t>CLASSIFIED_PATTERN</t>
        </is>
      </c>
    </row>
    <row r="395" ht="15.5" customHeight="1">
      <c r="A395" s="1" t="n"/>
      <c r="B395" s="67" t="inlineStr">
        <is>
          <t>Amanda Silva</t>
        </is>
      </c>
      <c r="C395" s="70">
        <f>VLOOKUP(I:I,'Referencias '!H:I,2,0)</f>
        <v/>
      </c>
      <c r="D395" s="129" t="n">
        <v>27188919</v>
      </c>
      <c r="E395" s="129" t="inlineStr">
        <is>
          <t>0</t>
        </is>
      </c>
      <c r="F395" s="126" t="inlineStr">
        <is>
          <t>2625414932065</t>
        </is>
      </c>
      <c r="G395" s="72">
        <f>VLOOKUP(H:H,'Referencias '!B:C,2,0)</f>
        <v/>
      </c>
      <c r="H395" s="72">
        <f>TRIM(_xlfn.TEXTBEFORE(_xlfn.TEXTAFTER(U395,"CNPJ/CPF:&lt;/strong&gt;"),"&lt;/p&gt;"))</f>
        <v/>
      </c>
      <c r="I395" s="70" t="inlineStr">
        <is>
          <t>ALTERAÇÃO CADASTRAL</t>
        </is>
      </c>
      <c r="J395" s="72" t="n"/>
      <c r="K395" s="72" t="n"/>
      <c r="L395" s="122" t="inlineStr">
        <is>
          <t>FINALIZADO</t>
        </is>
      </c>
      <c r="M395" s="73" t="inlineStr">
        <is>
          <t>Médio</t>
        </is>
      </c>
      <c r="N395" s="129" t="inlineStr">
        <is>
          <t>1018 Financeiro | Desejo falar com o setor financeiro | DAYANE SOARES | marketing@centermega.com.br</t>
        </is>
      </c>
      <c r="O395" s="125" t="inlineStr">
        <is>
          <t>11/09/2026</t>
        </is>
      </c>
      <c r="P395" s="123" t="inlineStr">
        <is>
          <t>11/09/2026</t>
        </is>
      </c>
      <c r="Q395" s="177">
        <f>TEXT(O395,"mmm/aaaa")</f>
        <v/>
      </c>
      <c r="R395" s="129" t="inlineStr">
        <is>
          <t>ECOMMERCE BP SUPORTE FINANCEIRO N2</t>
        </is>
      </c>
      <c r="S395" s="129" t="inlineStr">
        <is>
          <t>marketing@centermega.com.br</t>
        </is>
      </c>
      <c r="T395" s="129" t="inlineStr">
        <is>
          <t>CENTER MEGA C M CONSTR</t>
        </is>
      </c>
      <c r="U395" s="129" t="inlineStr">
        <is>
          <t>Olá, segue formulário enviado para Cielo E-commerce:&lt;p&gt;&lt;strong&gt;Qual seu nome?:&lt;/strong&gt; DAYANE SOARES&lt;/p&gt;&lt;p&gt;&lt;strong&gt;Endereço de e-mail:&lt;/strong&gt; marketing@centermega.com.br&lt;/p&gt;&lt;p&gt;&lt;strong&gt;CNPJ/CPF:&lt;/strong&gt; 05.164.667/0001-43&lt;/p&gt;&lt;p&gt;&lt;strong&gt;Telefone:&lt;/strong&gt; (11) 99299-9335&lt;/p&gt;&lt;p&gt;&lt;strong&gt;Assunto:&lt;/strong&gt; ERRO CADASTRO - CONTATO&lt;/p&gt;&lt;p&gt;&lt;strong&gt;Merchant ID/Estabelecimento Comercial (EC):&lt;/strong&gt; 05.164.667/0001-43&lt;/p&gt;&lt;p&gt;&lt;strong&gt;Descrição do problema:&lt;/strong&gt; FAVOR EXCLUIR DO ENVIO DE COBRANÇAS E O E-MAIL DANIEL.GUTIERRES@AGENCIAFG.COM.BR 
ele é da agencia desenvolvedora do site, não precisa receber as NFS de serviços do gatwey de pagamento&lt;/p&gt;&lt;p&gt;&lt;strong&gt;Data e hora do erro:&lt;/strong&gt; 11-09-2026 14:57&lt;/p&gt;&lt;p&gt;&lt;strong&gt;Sobre qual produto ou área deseja falar?:&lt;/strong&gt; Financeiro&lt;/p&gt;&lt;p&gt;&lt;strong&gt;Como podemos te ajudar?:&lt;/strong&gt; Desejo falar com o setor financeiro&lt;/p&gt;&lt;p&gt;&lt;strong&gt;GA Client ID:&lt;/strong&gt; 748470307.1772030435&lt;/p&gt;&lt;p&gt;&lt;strong&gt;Lead Hash ID:&lt;/strong&gt; dffcf99c3065ca26b0344682880e6e287ab2</t>
        </is>
      </c>
      <c r="V395" s="71">
        <f>IFERROR(_xlfn.TEXTBEFORE(_xlfn.TEXTAFTER(U395,"Descrição do problema:&lt;/strong"),"&lt;/p&gt;"),_xlfn.TEXTAFTER(U395,"Descrição do problema:&lt;/strong"))</f>
        <v/>
      </c>
      <c r="W395" s="76">
        <f>_xlfn.CONCAT(D395:E395)</f>
        <v/>
      </c>
      <c r="X395" s="77" t="n">
        <v>46280</v>
      </c>
      <c r="Y395" s="78">
        <f>IF(X395="","Aberto","Encerrado")</f>
        <v/>
      </c>
      <c r="Z395" s="78">
        <f>IF(OR(L395="PENDENTE",L395="EM ANDAMENTO",L395="PENDENTE APROVAÇÃO CANCELAMENTO NF"),TODAY()-O395,X395-O395)</f>
        <v/>
      </c>
      <c r="AA395" s="78">
        <f>IF(Y395="Aberto",Z395+ROW()/100000,"")</f>
        <v/>
      </c>
      <c r="AB395" s="2">
        <f>IF(ISNUMBER(FIND("@cielo.com.br",S395)),"Interno","Externo")</f>
        <v/>
      </c>
      <c r="AC395" t="inlineStr">
        <is>
          <t>Atualizar dados cadastrais, e-mail ou telefone.</t>
        </is>
      </c>
      <c r="AD395" t="inlineStr">
        <is>
          <t>excluir + email</t>
        </is>
      </c>
      <c r="AE395" t="inlineStr">
        <is>
          <t>Atualização cadastral</t>
        </is>
      </c>
      <c r="AF395" t="inlineStr">
        <is>
          <t>Contrato/Cadastro</t>
        </is>
      </c>
      <c r="AG395" t="inlineStr">
        <is>
          <t>Contratos, Comercial e Cadastro</t>
        </is>
      </c>
      <c r="AI395" t="inlineStr">
        <is>
          <t>INT_CON_CADASTRO</t>
        </is>
      </c>
      <c r="AJ395" t="inlineStr">
        <is>
          <t>Sugerida</t>
        </is>
      </c>
      <c r="AK395" t="b">
        <v>0</v>
      </c>
      <c r="AN395">
        <f>IF(OR(AG395="",AM395=""),"",IF(AG395=AM395,"SIM","NÃO"))</f>
        <v/>
      </c>
      <c r="AO395" t="inlineStr">
        <is>
          <t>CLASSIFIED_PATTERN</t>
        </is>
      </c>
    </row>
    <row r="396" ht="15.5" customHeight="1">
      <c r="A396" s="1" t="n"/>
      <c r="B396" s="67" t="inlineStr">
        <is>
          <t>Amanda Silva</t>
        </is>
      </c>
      <c r="C396" s="70">
        <f>VLOOKUP(I:I,'Referencias '!H:I,2,0)</f>
        <v/>
      </c>
      <c r="D396" s="129" t="n">
        <v>27163544</v>
      </c>
      <c r="E396" s="129" t="inlineStr">
        <is>
          <t>0</t>
        </is>
      </c>
      <c r="F396" s="126" t="inlineStr">
        <is>
          <t>2625410916258</t>
        </is>
      </c>
      <c r="G396" s="72">
        <f>VLOOKUP(H:H,'Referencias '!B:C,2,0)</f>
        <v/>
      </c>
      <c r="H396" s="72">
        <f>TRIM(_xlfn.TEXTBEFORE(_xlfn.TEXTAFTER(U396,"CNPJ/CPF:&lt;/strong&gt;"),"&lt;/p&gt;"))</f>
        <v/>
      </c>
      <c r="I396" s="70" t="inlineStr">
        <is>
          <t>CANCELAMENTO DE NF</t>
        </is>
      </c>
      <c r="J396" s="72" t="n"/>
      <c r="K396" s="72" t="n"/>
      <c r="L396" s="122" t="inlineStr">
        <is>
          <t>FINALIZADO</t>
        </is>
      </c>
      <c r="M396" s="73" t="inlineStr">
        <is>
          <t>Médio</t>
        </is>
      </c>
      <c r="N396" s="129" t="inlineStr">
        <is>
          <t>1018 Financeiro | Desejo falar com o setor financeiro | Mariane Oliveira dos Santos | mariane.santos@cielo.com.br</t>
        </is>
      </c>
      <c r="O396" s="125" t="inlineStr">
        <is>
          <t>11/09/2026</t>
        </is>
      </c>
      <c r="P396" s="123" t="inlineStr">
        <is>
          <t>11/09/2026</t>
        </is>
      </c>
      <c r="Q396" s="177">
        <f>TEXT(O396,"mmm/aaaa")</f>
        <v/>
      </c>
      <c r="R396" s="129" t="inlineStr">
        <is>
          <t>ECOMMERCE BP SUPORTE FINANCEIRO N2</t>
        </is>
      </c>
      <c r="S396" s="129" t="inlineStr">
        <is>
          <t>mariane.santos@cielo.com.br</t>
        </is>
      </c>
      <c r="T396" s="129" t="inlineStr"/>
      <c r="U396" s="129" t="inlineStr">
        <is>
          <t>Olá, segue formulário enviado para Cielo E-commerce:&lt;p&gt;&lt;strong&gt;Qual seu nome?:&lt;/strong&gt; Mariane Oliveira dos Santos&lt;/p&gt;&lt;p&gt;&lt;strong&gt;Endereço de e-mail:&lt;/strong&gt; mariane.santos@cielo.com.br&lt;/p&gt;&lt;p&gt;&lt;strong&gt;CNPJ/CPF:&lt;/strong&gt; 87.927.661/0001-45&lt;/p&gt;&lt;p&gt;&lt;strong&gt;Telefone:&lt;/strong&gt; (11) 98407-1789&lt;/p&gt;&lt;p&gt;&lt;strong&gt;Assunto:&lt;/strong&gt; CANCELAMENTO NF&lt;/p&gt;&lt;p&gt;&lt;strong&gt;Merchant ID/Estabelecimento Comercial (EC):&lt;/strong&gt; 87.927.661/0001-45&lt;/p&gt;&lt;p&gt;&lt;strong&gt;Descrição do problema:&lt;/strong&gt; Conforme conversamos via Teams, ocorreu a emissão de NFs para a Panvel referente ao ganho de uma oportunidade de POC, o que não deveria ter acontecido
Por isso, vamos precisar seguir com o cancelamento das notas abaixo:
119782 e 121050&lt;/p&gt;&lt;p&gt;&lt;strong&gt;ID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621325006.17843157</t>
        </is>
      </c>
      <c r="V396" s="71">
        <f>IFERROR(_xlfn.TEXTBEFORE(_xlfn.TEXTAFTER(U396,"Descrição do problema:&lt;/strong"),"&lt;/p&gt;"),_xlfn.TEXTAFTER(U396,"Descrição do problema:&lt;/strong"))</f>
        <v/>
      </c>
      <c r="W396" s="76">
        <f>_xlfn.CONCAT(D396:E396)</f>
        <v/>
      </c>
      <c r="X396" s="77" t="n">
        <v>46280</v>
      </c>
      <c r="Y396" s="78">
        <f>IF(X396="","Aberto","Encerrado")</f>
        <v/>
      </c>
      <c r="Z396" s="78">
        <f>IF(OR(L396="PENDENTE",L396="EM ANDAMENTO",L396="PENDENTE APROVAÇÃO CANCELAMENTO NF"),TODAY()-O396,X396-O396)</f>
        <v/>
      </c>
      <c r="AA396" s="78">
        <f>IF(Y396="Aberto",Z396+ROW()/100000,"")</f>
        <v/>
      </c>
      <c r="AB396" s="2">
        <f>IF(ISNUMBER(FIND("@cielo.com.br",S396)),"Interno","Externo")</f>
        <v/>
      </c>
      <c r="AC396" t="inlineStr">
        <is>
          <t>Cancelar, substituir ou reemitir nota fiscal.</t>
        </is>
      </c>
      <c r="AD396" t="inlineStr">
        <is>
          <t>ACAO:CANCELAR; OBJETO:NOTA_FISCAL</t>
        </is>
      </c>
      <c r="AE396" t="inlineStr">
        <is>
          <t>Cancelamento de NF</t>
        </is>
      </c>
      <c r="AF396" t="inlineStr">
        <is>
          <t>Documento Fiscal</t>
        </is>
      </c>
      <c r="AG396" t="inlineStr">
        <is>
          <t>Cancelamento e Reemissão de Nota Fiscal</t>
        </is>
      </c>
      <c r="AI396" t="inlineStr">
        <is>
          <t>INT_NF_CANCEL_REEMISSAO</t>
        </is>
      </c>
      <c r="AJ396" t="inlineStr">
        <is>
          <t>Sugerida</t>
        </is>
      </c>
      <c r="AK396" t="b">
        <v>0</v>
      </c>
      <c r="AN396">
        <f>IF(OR(AG396="",AM396=""),"",IF(AG396=AM396,"SIM","NÃO"))</f>
        <v/>
      </c>
      <c r="AO396" t="inlineStr">
        <is>
          <t>CLASSIFIED_SIGNATURE</t>
        </is>
      </c>
    </row>
    <row r="397" ht="15.5" customHeight="1">
      <c r="A397" s="1" t="n"/>
      <c r="B397" s="67" t="inlineStr">
        <is>
          <t>Amanda Silva</t>
        </is>
      </c>
      <c r="C397" s="70">
        <f>VLOOKUP(I:I,'Referencias '!H:I,2,0)</f>
        <v/>
      </c>
      <c r="D397" s="129" t="n">
        <v>27159806</v>
      </c>
      <c r="E397" s="129" t="inlineStr">
        <is>
          <t>0</t>
        </is>
      </c>
      <c r="F397" s="126" t="inlineStr">
        <is>
          <t>2625409913936</t>
        </is>
      </c>
      <c r="G397" s="126" t="inlineStr">
        <is>
          <t>MK ECOMM LTDA</t>
        </is>
      </c>
      <c r="H397" s="72">
        <f>TRIM(_xlfn.TEXTBEFORE(_xlfn.TEXTAFTER(U397,"CNPJ/CPF:&lt;/strong&gt;"),"&lt;/p&gt;"))</f>
        <v/>
      </c>
      <c r="I397" s="70" t="inlineStr">
        <is>
          <t>Prorrogação de Boleto</t>
        </is>
      </c>
      <c r="J397" s="72" t="n"/>
      <c r="K397" s="72" t="n"/>
      <c r="L397" s="122" t="inlineStr">
        <is>
          <t>FINALIZADO</t>
        </is>
      </c>
      <c r="M397" s="73" t="inlineStr">
        <is>
          <t>Médio</t>
        </is>
      </c>
      <c r="N397" s="129" t="inlineStr">
        <is>
          <t>1010 Autenticação 3DS | Estou em produção e tenho uma dúvida | Rafael dos santos lins | rafael.lins@mondial.com.br</t>
        </is>
      </c>
      <c r="O397" s="125" t="inlineStr">
        <is>
          <t>11/09/2026</t>
        </is>
      </c>
      <c r="P397" s="123" t="inlineStr">
        <is>
          <t>11/09/2026</t>
        </is>
      </c>
      <c r="Q397" s="177">
        <f>TEXT(O397,"mmm/aaaa")</f>
        <v/>
      </c>
      <c r="R397" s="129" t="inlineStr">
        <is>
          <t>ECOMMERCE BP SUPORTE FINANCEIRO N2</t>
        </is>
      </c>
      <c r="S397" s="129" t="inlineStr">
        <is>
          <t>rafael.lins@mondial.com.br</t>
        </is>
      </c>
      <c r="T397" s="129" t="inlineStr">
        <is>
          <t>MK ECOMM LTDA</t>
        </is>
      </c>
      <c r="U397" s="129" t="inlineStr">
        <is>
          <t>Olá, segue formulário enviado para Cielo E-commerce:&lt;p&gt;&lt;strong&gt;Qual seu nome?:&lt;/strong&gt; Rafael dos santos lins&lt;/p&gt;&lt;p&gt;&lt;strong&gt;Endereço de e-mail:&lt;/strong&gt; rafael.lins@mondial.com.br&lt;/p&gt;&lt;p&gt;&lt;strong&gt;CNPJ/CPF:&lt;/strong&gt; 407.355.938-92&lt;/p&gt;&lt;p&gt;&lt;strong&gt;Telefone:&lt;/strong&gt; (11) 96397-3129&lt;/p&gt;&lt;p&gt;&lt;strong&gt;Assunto:&lt;/strong&gt; Prorrogação de boleto&lt;/p&gt;&lt;p&gt;&lt;strong&gt;Merchant ID/Estabelecimento Comercial (EC):&lt;/strong&gt; 4a32047a-5757-4b79-a28e-18ca0df66cf8&lt;/p&gt;&lt;p&gt;&lt;strong&gt;Sobre qual produto ou área deseja falar?:&lt;/strong&gt; Autenticação 3DS&lt;/p&gt;&lt;p&gt;&lt;strong&gt;Como podemos te ajudar?:&lt;/strong&gt; Estou em produção e tenho uma dúvida&lt;/p&gt;&lt;p&gt;&lt;strong&gt;Descrição do problema:&lt;/strong&gt; Preciso prorrogar a data de vencimento do boleto referente a Nota fiscal: 121513&lt;/p&gt;&lt;p&gt;&lt;strong&gt;GA Client ID:&lt;/strong&gt; 1449106683.1789130978&lt;/p&gt;&lt;p&gt;&lt;strong&gt;Lead Hash ID:&lt;/strong&gt; 723ab849e325370a0ca33cffbc17cc74b7086aeff2a3895dc04e8834a9329be1&lt;/p&gt;&lt;p&gt;&lt;strong&gt;Lead Form ID:&lt;/strong&gt; 723ab849e325370a0ca33cffbc17cc74b7086aeff2a3895dc04e8834a9329be1.1789131</t>
        </is>
      </c>
      <c r="V397" s="71">
        <f>IFERROR(_xlfn.TEXTBEFORE(_xlfn.TEXTAFTER(U397,"Descrição do problema:&lt;/strong"),"&lt;/p&gt;"),_xlfn.TEXTAFTER(U397,"Descrição do problema:&lt;/strong"))</f>
        <v/>
      </c>
      <c r="W397" s="76">
        <f>_xlfn.CONCAT(D397:E397)</f>
        <v/>
      </c>
      <c r="X397" s="77" t="n">
        <v>46280</v>
      </c>
      <c r="Y397" s="78">
        <f>IF(X397="","Aberto","Encerrado")</f>
        <v/>
      </c>
      <c r="Z397" s="78">
        <f>IF(OR(L397="PENDENTE",L397="EM ANDAMENTO",L397="PENDENTE APROVAÇÃO CANCELAMENTO NF"),TODAY()-O397,X397-O397)</f>
        <v/>
      </c>
      <c r="AA397" s="78">
        <f>IF(Y397="Aberto",Z397+ROW()/100000,"")</f>
        <v/>
      </c>
      <c r="AB397" s="2">
        <f>IF(ISNUMBER(FIND("@cielo.com.br",S397)),"Interno","Externo")</f>
        <v/>
      </c>
      <c r="AC397" t="inlineStr">
        <is>
          <t>Alterar ou prorrogar vencimento ou prazo de pagamento.</t>
        </is>
      </c>
      <c r="AD397" t="inlineStr">
        <is>
          <t>prorrogar + vencimento; prorrogar + vencimento; prorrogação + vencimento</t>
        </is>
      </c>
      <c r="AE397" t="inlineStr">
        <is>
          <t>Alteração de vencimento</t>
        </is>
      </c>
      <c r="AF397" t="inlineStr">
        <is>
          <t>Título Financeiro</t>
        </is>
      </c>
      <c r="AG397" t="inlineStr">
        <is>
          <t>Pagamentos, Boletos e Recebimentos</t>
        </is>
      </c>
      <c r="AI397" t="inlineStr">
        <is>
          <t>INT_PAG_VENCIMENTO</t>
        </is>
      </c>
      <c r="AJ397" t="inlineStr">
        <is>
          <t>Sugerida</t>
        </is>
      </c>
      <c r="AK397" t="b">
        <v>0</v>
      </c>
      <c r="AN397">
        <f>IF(OR(AG397="",AM397=""),"",IF(AG397=AM397,"SIM","NÃO"))</f>
        <v/>
      </c>
      <c r="AO397" t="inlineStr">
        <is>
          <t>CLASSIFIED_PATTERN</t>
        </is>
      </c>
    </row>
    <row r="398" ht="15.5" customHeight="1">
      <c r="A398" s="1" t="n"/>
      <c r="B398" s="132" t="inlineStr">
        <is>
          <t>Amanda Silva</t>
        </is>
      </c>
      <c r="C398" s="70">
        <f>VLOOKUP(I:I,'Referencias '!H:I,2,0)</f>
        <v/>
      </c>
      <c r="D398" s="129" t="n">
        <v>27383796</v>
      </c>
      <c r="E398" s="129" t="inlineStr">
        <is>
          <t>0</t>
        </is>
      </c>
      <c r="F398" s="126" t="inlineStr">
        <is>
          <t>2625915060285</t>
        </is>
      </c>
      <c r="G398" s="72">
        <f>VLOOKUP(H:H,'Referencias '!B:C,2,0)</f>
        <v/>
      </c>
      <c r="H398" s="72">
        <f>TRIM(_xlfn.TEXTBEFORE(_xlfn.TEXTAFTER(U398,"CNPJ/CPF:&lt;/strong&gt;"),"&lt;/p&gt;"))</f>
        <v/>
      </c>
      <c r="I398" s="70" t="inlineStr">
        <is>
          <t>REENVIO DE BOLETO</t>
        </is>
      </c>
      <c r="J398" s="126" t="n"/>
      <c r="K398" s="126" t="n"/>
      <c r="L398" s="122" t="inlineStr">
        <is>
          <t>FINALIZADO</t>
        </is>
      </c>
      <c r="M398" s="73" t="inlineStr">
        <is>
          <t>Médio</t>
        </is>
      </c>
      <c r="N398" s="129" t="inlineStr">
        <is>
          <t>1018 Financeiro | Desejo falar com o setor financeiro | Roberta | cobrancasti@ponteshoteis.com.br</t>
        </is>
      </c>
      <c r="O398" s="125" t="inlineStr">
        <is>
          <t>16/09/2026</t>
        </is>
      </c>
      <c r="P398" s="123" t="inlineStr">
        <is>
          <t>16/09/2026</t>
        </is>
      </c>
      <c r="Q398" s="177">
        <f>TEXT(O398,"mmm/aaaa")</f>
        <v/>
      </c>
      <c r="R398" s="129" t="inlineStr">
        <is>
          <t>ECOMMERCE BP SUPORTE FINANCEIRO N2</t>
        </is>
      </c>
      <c r="S398" s="129" t="inlineStr">
        <is>
          <t>cobrancasti@ponteshoteis.com.br</t>
        </is>
      </c>
      <c r="T398" s="129" t="inlineStr">
        <is>
          <t>PAULISTA PRAIA HOTEL SA</t>
        </is>
      </c>
      <c r="U398" s="129" t="inlineStr">
        <is>
          <t>Olá, segue formulário enviado para Cielo E-commerce:&lt;p&gt;&lt;strong&gt;Endereço de e-mail:&lt;/strong&gt; cobrancasti@ponteshoteis.com.br&lt;/p&gt;&lt;p&gt;&lt;strong&gt;Qual seu nome?:&lt;/strong&gt; Roberta&lt;/p&gt;&lt;p&gt;&lt;strong&gt;CNPJ/CPF:&lt;/strong&gt; 00.338.915/0001-01&lt;/p&gt;&lt;p&gt;&lt;strong&gt;Telefone:&lt;/strong&gt; (81) 3302-4446&lt;/p&gt;&lt;p&gt;&lt;strong&gt;Assunto:&lt;/strong&gt; PRORROGAÇÃO DO BOLETO&lt;/p&gt;&lt;p&gt;&lt;strong&gt;Merchant ID/Estabelecimento Comercial (EC):&lt;/strong&gt; Pagador: Transações: 344 - Tarifa: R$ 0,&lt;/p&gt;&lt;p&gt;&lt;strong&gt;Sobre qual produto ou área deseja falar?:&lt;/strong&gt; Financeiro&lt;/p&gt;&lt;p&gt;&lt;strong&gt;Como podemos te ajudar?:&lt;/strong&gt; Desejo falar com o setor financeiro&lt;/p&gt;&lt;p&gt;&lt;strong&gt;Descrição do problema:&lt;/strong&gt; PRECISO DA PRORROGAÇÃO DO BOLETO QUE VENCEU DIA 12 DA NOTA FSICAL 0121808, POIS NÃO RECEBI NO E-MAIL. 
E POR FAVOR TIRAR O E-MAILs: julia.santana haysla.correia e adicionar o de rejane.santos@ponteshoteis.com.br&lt;/p&gt;&lt;p&gt;&lt;strong&gt;GA Client ID:&lt;/strong&gt; 1865374745.1789583997&lt;/p&gt;&lt;p&gt;&lt;strong&gt;Lead Hash ID:&lt;/strong&gt; d24c5b5a602a1dc55f46a7da46e20f2ec3c1e8546a9d0de9dcdb</t>
        </is>
      </c>
      <c r="V398" s="71">
        <f>IFERROR(_xlfn.TEXTBEFORE(_xlfn.TEXTAFTER(U398,"Descrição do problema:&lt;/strong"),"&lt;/p&gt;"),_xlfn.TEXTAFTER(U398,"Descrição do problema:&lt;/strong"))</f>
        <v/>
      </c>
      <c r="W398" s="76">
        <f>_xlfn.CONCAT(D398:E398)</f>
        <v/>
      </c>
      <c r="X398" s="121" t="n">
        <v>46281</v>
      </c>
      <c r="Y398" s="78">
        <f>IF(X398="","Aberto","Encerrado")</f>
        <v/>
      </c>
      <c r="Z398" s="78">
        <f>IF(OR(L398="PENDENTE",L398="EM ANDAMENTO",L398="PENDENTE APROVAÇÃO CANCELAMENTO NF"),TODAY()-O398,X398-O398)</f>
        <v/>
      </c>
      <c r="AA398" s="78">
        <f>IF(Y398="Aberto",Z398+ROW()/100000,"")</f>
        <v/>
      </c>
      <c r="AB398" s="2">
        <f>IF(ISNUMBER(FIND("@cielo.com.br",S398)),"Interno","Externo")</f>
        <v/>
      </c>
      <c r="AC398" t="inlineStr">
        <is>
          <t>Solicitar segunda via, reenvio ou reemissão de boleto.</t>
        </is>
      </c>
      <c r="AD398" t="inlineStr">
        <is>
          <t>não recebi + boleto</t>
        </is>
      </c>
      <c r="AE398" t="inlineStr">
        <is>
          <t>Reenvio de boleto</t>
        </is>
      </c>
      <c r="AF398" t="inlineStr">
        <is>
          <t>Título Financeiro</t>
        </is>
      </c>
      <c r="AG398" t="inlineStr">
        <is>
          <t>Pagamentos, Boletos e Recebimentos</t>
        </is>
      </c>
      <c r="AI398" t="inlineStr">
        <is>
          <t>INT_PAG_BOLETO_REENVIO</t>
        </is>
      </c>
      <c r="AJ398" t="inlineStr">
        <is>
          <t>Sugerida</t>
        </is>
      </c>
      <c r="AK398" t="b">
        <v>0</v>
      </c>
      <c r="AN398">
        <f>IF(OR(AG398="",AM398=""),"",IF(AG398=AM398,"SIM","NÃO"))</f>
        <v/>
      </c>
      <c r="AO398" t="inlineStr">
        <is>
          <t>CLASSIFIED_PATTERN</t>
        </is>
      </c>
    </row>
    <row r="399" ht="15.5" customHeight="1">
      <c r="A399" s="1" t="n"/>
      <c r="B399" s="132" t="inlineStr">
        <is>
          <t>Stephany Lima</t>
        </is>
      </c>
      <c r="C399" s="70">
        <f>VLOOKUP(I:I,'Referencias '!H:I,2,0)</f>
        <v/>
      </c>
      <c r="D399" s="129" t="n">
        <v>27354721</v>
      </c>
      <c r="E399" s="129" t="inlineStr">
        <is>
          <t>0</t>
        </is>
      </c>
      <c r="F399" s="126" t="inlineStr">
        <is>
          <t>2625910041830</t>
        </is>
      </c>
      <c r="G399" s="72">
        <f>VLOOKUP(H:H,'Referencias '!B:C,2,0)</f>
        <v/>
      </c>
      <c r="H399" s="72">
        <f>TRIM(_xlfn.TEXTBEFORE(_xlfn.TEXTAFTER(U399,"CNPJ/CPF:&lt;/strong&gt;"),"&lt;/p&gt;"))</f>
        <v/>
      </c>
      <c r="I399" s="122" t="inlineStr">
        <is>
          <t>Alterar data de emissão da NF</t>
        </is>
      </c>
      <c r="J399" s="126" t="n"/>
      <c r="K399" s="126" t="n"/>
      <c r="L399" s="122" t="inlineStr">
        <is>
          <t>FINALIZADO</t>
        </is>
      </c>
      <c r="M399" s="73" t="inlineStr">
        <is>
          <t>Médio</t>
        </is>
      </c>
      <c r="N399" s="129" t="inlineStr">
        <is>
          <t>1018 Financeiro | Desejo falar com o setor financeiro | Lenon Oliveira | lenon.oliveira@savegnago.com.br</t>
        </is>
      </c>
      <c r="O399" s="125" t="inlineStr">
        <is>
          <t>16/09/2026</t>
        </is>
      </c>
      <c r="P399" s="123" t="inlineStr">
        <is>
          <t>16/09/2026</t>
        </is>
      </c>
      <c r="Q399" s="177">
        <f>TEXT(O399,"mmm/aaaa")</f>
        <v/>
      </c>
      <c r="R399" s="129" t="inlineStr">
        <is>
          <t>ECOMMERCE BP SUPORTE FINANCEIRO N2</t>
        </is>
      </c>
      <c r="S399" s="129" t="inlineStr">
        <is>
          <t>lenon.oliveira@savegnago.com.br</t>
        </is>
      </c>
      <c r="T399" s="129" t="inlineStr">
        <is>
          <t>SAVEGNAGO Lj 1 Matriz Sertaozinho</t>
        </is>
      </c>
      <c r="U399" s="129" t="inlineStr">
        <is>
          <t>Olá, segue formulário enviado para Cielo E-commerce:&lt;p&gt;&lt;strong&gt;Endereço de e-mail:&lt;/strong&gt; lenon.oliveira@savegnago.com.br&lt;/p&gt;&lt;p&gt;&lt;strong&gt;Qual seu nome?:&lt;/strong&gt; Lenon Oliveira&lt;/p&gt;&lt;p&gt;&lt;strong&gt;CNPJ/CPF:&lt;/strong&gt; 71.322.150/0001-60&lt;/p&gt;&lt;p&gt;&lt;strong&gt;Telefone:&lt;/strong&gt; (16) 99720-1151&lt;/p&gt;&lt;p&gt;&lt;strong&gt;Assunto:&lt;/strong&gt; Alteração das Datas&lt;/p&gt;&lt;p&gt;&lt;strong&gt;Merchant ID/Estabelecimento Comercial (EC):&lt;/strong&gt; 2768355261&lt;/p&gt;&lt;p&gt;&lt;strong&gt;Descrição do problema:&lt;/strong&gt; Devido às novas regras do nosso processo financeiro, solicitamos o alinhamento do faturamento da Cielo para garantir que os pagamentos ocorram dentro dos prazos previstos.
Precisamos que as Notas Fiscais sejam emitidas e encaminhadas considerando:
Prazo limite de recebimento até o dia 25 de cada mês;
Antecedência mínima de 10 dias entre a emissão da NF e a data de pagamento;
Pagamentos realizados nos dias 10, 20 e 30;
PO criada e aprovada antes da emissão da NF.
Atualmente recebemos faturamentos da Cielo em dois períodos do mês, o que t</t>
        </is>
      </c>
      <c r="V399" s="71">
        <f>IFERROR(_xlfn.TEXTBEFORE(_xlfn.TEXTAFTER(U399,"Descrição do problema:&lt;/strong"),"&lt;/p&gt;"),_xlfn.TEXTAFTER(U399,"Descrição do problema:&lt;/strong"))</f>
        <v/>
      </c>
      <c r="W399" s="76">
        <f>_xlfn.CONCAT(D399:E399)</f>
        <v/>
      </c>
      <c r="X399" s="77" t="n">
        <v>46281</v>
      </c>
      <c r="Y399" s="78">
        <f>IF(X399="","Aberto","Encerrado")</f>
        <v/>
      </c>
      <c r="Z399" s="78">
        <f>IF(OR(L399="PENDENTE",L399="EM ANDAMENTO",L399="PENDENTE APROVAÇÃO CANCELAMENTO NF"),TODAY()-O399,X399-O399)</f>
        <v/>
      </c>
      <c r="AA399" s="78">
        <f>IF(Y399="Aberto",Z399+ROW()/100000,"")</f>
        <v/>
      </c>
      <c r="AB399" s="2">
        <f>IF(ISNUMBER(FIND("@cielo.com.br",S399)),"Interno","Externo")</f>
        <v/>
      </c>
      <c r="AC399" t="inlineStr">
        <is>
          <t>Alterar a data de emissão da nota fiscal.</t>
        </is>
      </c>
      <c r="AD399" t="inlineStr">
        <is>
          <t>prazo limite de recebimento até o dia 25; emitidas + dia; emissão + dia</t>
        </is>
      </c>
      <c r="AE399" t="inlineStr">
        <is>
          <t>Alteração de data de emissão da NF</t>
        </is>
      </c>
      <c r="AF399" t="inlineStr">
        <is>
          <t>Documento Fiscal</t>
        </is>
      </c>
      <c r="AG399" t="inlineStr">
        <is>
          <t>Cancelamento e Reemissão de Nota Fiscal</t>
        </is>
      </c>
      <c r="AI399" t="inlineStr">
        <is>
          <t>INT_NF_DATA_EMISSAO</t>
        </is>
      </c>
      <c r="AJ399" t="inlineStr">
        <is>
          <t>Sugerida</t>
        </is>
      </c>
      <c r="AK399" t="b">
        <v>0</v>
      </c>
      <c r="AN399">
        <f>IF(OR(AG399="",AM399=""),"",IF(AG399=AM399,"SIM","NÃO"))</f>
        <v/>
      </c>
      <c r="AO399" t="inlineStr">
        <is>
          <t>CLASSIFIED_PATTERN</t>
        </is>
      </c>
    </row>
    <row r="400" ht="15.5" customHeight="1">
      <c r="A400" s="1" t="n"/>
      <c r="B400" s="132" t="inlineStr">
        <is>
          <t>Amanda Silva</t>
        </is>
      </c>
      <c r="C400" s="70">
        <f>VLOOKUP(I:I,'Referencias '!H:I,2,0)</f>
        <v/>
      </c>
      <c r="D400" s="129" t="n">
        <v>27346722</v>
      </c>
      <c r="E400" s="129" t="inlineStr">
        <is>
          <t>0</t>
        </is>
      </c>
      <c r="F400" s="126" t="inlineStr">
        <is>
          <t>2625909034920</t>
        </is>
      </c>
      <c r="G400" s="72">
        <f>VLOOKUP(H:H,'Referencias '!B:C,2,0)</f>
        <v/>
      </c>
      <c r="H400" s="72">
        <f>TRIM(_xlfn.TEXTBEFORE(_xlfn.TEXTAFTER(U400,"CNPJ/CPF:&lt;/strong&gt;"),"&lt;/p&gt;"))</f>
        <v/>
      </c>
      <c r="I400" s="122" t="inlineStr">
        <is>
          <t>Contestação de cobrança</t>
        </is>
      </c>
      <c r="J400" s="126" t="n"/>
      <c r="K400" s="126" t="n"/>
      <c r="L400" s="122" t="inlineStr">
        <is>
          <t>FINALIZADO</t>
        </is>
      </c>
      <c r="M400" s="73" t="inlineStr">
        <is>
          <t>Médio</t>
        </is>
      </c>
      <c r="N400" s="129" t="inlineStr">
        <is>
          <t>1018 Financeiro | Desejo falar com o setor financeiro | sara zaina | sara.freitas@amctextil.com.br</t>
        </is>
      </c>
      <c r="O400" s="125" t="inlineStr">
        <is>
          <t>16/09/2026</t>
        </is>
      </c>
      <c r="P400" s="123" t="inlineStr">
        <is>
          <t>16/09/2026</t>
        </is>
      </c>
      <c r="Q400" s="177">
        <f>TEXT(O400,"mmm/aaaa")</f>
        <v/>
      </c>
      <c r="R400" s="129" t="inlineStr">
        <is>
          <t>ECOMMERCE BP SUPORTE FINANCEIRO N2</t>
        </is>
      </c>
      <c r="S400" s="129" t="inlineStr">
        <is>
          <t>sara.freitas@amctextil.com.br</t>
        </is>
      </c>
      <c r="T400" s="129" t="inlineStr">
        <is>
          <t>COLCCI</t>
        </is>
      </c>
      <c r="U400" s="129" t="inlineStr">
        <is>
          <t>Olá, segue formulário enviado para Cielo E-commerce:&lt;p&gt;&lt;strong&gt;Qual seu nome?:&lt;/strong&gt; sara zaina&lt;/p&gt;&lt;p&gt;&lt;strong&gt;Endereço de e-mail:&lt;/strong&gt; sara.freitas@amctextil.com.br&lt;/p&gt;&lt;p&gt;&lt;strong&gt;CNPJ/CPF:&lt;/strong&gt; 75.364.570/0007-55&lt;/p&gt;&lt;p&gt;&lt;strong&gt;Telefone:&lt;/strong&gt; (47) 98864-7804&lt;/p&gt;&lt;p&gt;&lt;strong&gt;Assunto:&lt;/strong&gt; boleto em aberto&lt;/p&gt;&lt;p&gt;&lt;strong&gt;Merchant ID/Estabelecimento Comercial (EC):&lt;/strong&gt; AMC TEXTIL LTDA&lt;/p&gt;&lt;p&gt;&lt;strong&gt;Descrição do problema:&lt;/strong&gt; Bom dia
Gostaria de verificar sobre uma possivel duplicidade de um boleto.&lt;/p&gt;&lt;p&gt;&lt;strong&gt;ID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606493349.1781638593&lt;/p&gt;&lt;p&gt;&lt;strong&gt;Lead Hash ID:&lt;/strong&gt; 696f5f3916e48417a792bca36ed3458d57d6e97dcf30d24300215de33cedd8ca&lt;/p&gt;&lt;p&gt;&lt;strong&gt;Lead Form ID:&lt;/strong&gt; 696f5f3916e48417a792bca36ed3458d57d</t>
        </is>
      </c>
      <c r="V400" s="71">
        <f>IFERROR(_xlfn.TEXTBEFORE(_xlfn.TEXTAFTER(U400,"Descrição do problema:&lt;/strong"),"&lt;/p&gt;"),_xlfn.TEXTAFTER(U400,"Descrição do problema:&lt;/strong"))</f>
        <v/>
      </c>
      <c r="W400" s="76">
        <f>_xlfn.CONCAT(D400:E400)</f>
        <v/>
      </c>
      <c r="X400" s="121" t="n">
        <v>46283</v>
      </c>
      <c r="Y400" s="78">
        <f>IF(X400="","Aberto","Encerrado")</f>
        <v/>
      </c>
      <c r="Z400" s="78">
        <f>IF(OR(L400="PENDENTE",L400="EM ANDAMENTO",L400="PENDENTE APROVAÇÃO CANCELAMENTO NF"),TODAY()-O400,X400-O400)</f>
        <v/>
      </c>
      <c r="AA400" s="78">
        <f>IF(Y400="Aberto",Z400+ROW()/100000,"")</f>
        <v/>
      </c>
      <c r="AB400" s="2">
        <f>IF(ISNUMBER(FIND("@cielo.com.br",S400)),"Interno","Externo")</f>
        <v/>
      </c>
      <c r="AC400" t="inlineStr">
        <is>
          <t>Cancelar boleto ou interromper cobranças futuras ligadas a boleto.</t>
        </is>
      </c>
      <c r="AD400" t="inlineStr">
        <is>
          <t>boleto + duplicidade</t>
        </is>
      </c>
      <c r="AE400" t="inlineStr">
        <is>
          <t>Cancelamento de boleto</t>
        </is>
      </c>
      <c r="AF400" t="inlineStr">
        <is>
          <t>Título Financeiro</t>
        </is>
      </c>
      <c r="AG400" t="inlineStr">
        <is>
          <t>Pagamentos, Boletos e Recebimentos</t>
        </is>
      </c>
      <c r="AI400" t="inlineStr">
        <is>
          <t>INT_PAG_BOLETO_CANCELAMENTO</t>
        </is>
      </c>
      <c r="AJ400" t="inlineStr">
        <is>
          <t>Sugerida</t>
        </is>
      </c>
      <c r="AK400" t="b">
        <v>0</v>
      </c>
      <c r="AN400">
        <f>IF(OR(AG400="",AM400=""),"",IF(AG400=AM400,"SIM","NÃO"))</f>
        <v/>
      </c>
      <c r="AO400" t="inlineStr">
        <is>
          <t>CLASSIFIED_PATTERN</t>
        </is>
      </c>
    </row>
    <row r="401" ht="15.5" customHeight="1">
      <c r="A401" s="1" t="n"/>
      <c r="B401" s="132" t="inlineStr">
        <is>
          <t>Emilly Maria</t>
        </is>
      </c>
      <c r="C401" s="70">
        <f>VLOOKUP(I:I,'Referencias '!H:I,2,0)</f>
        <v/>
      </c>
      <c r="D401" s="129" t="n">
        <v>27339608</v>
      </c>
      <c r="E401" s="129" t="inlineStr">
        <is>
          <t>0</t>
        </is>
      </c>
      <c r="F401" s="126" t="inlineStr">
        <is>
          <t>2625817029724</t>
        </is>
      </c>
      <c r="G401" s="72">
        <f>VLOOKUP(H:H,'Referencias '!B:C,2,0)</f>
        <v/>
      </c>
      <c r="H401" s="72">
        <f>TRIM(_xlfn.TEXTBEFORE(_xlfn.TEXTAFTER(U401,"CNPJ/CPF:&lt;/strong&gt;"),"&lt;/p&gt;"))</f>
        <v/>
      </c>
      <c r="I401" s="122" t="inlineStr">
        <is>
          <t>Cancelamento de nf</t>
        </is>
      </c>
      <c r="J401" s="126" t="n"/>
      <c r="K401" s="126" t="n"/>
      <c r="L401" s="122" t="inlineStr">
        <is>
          <t>FINALIZADO</t>
        </is>
      </c>
      <c r="M401" s="73" t="inlineStr">
        <is>
          <t>Médio</t>
        </is>
      </c>
      <c r="N401" s="129" t="inlineStr">
        <is>
          <t>1018 Financeiro | Desejo falar com o setor financeiro | JARDIM DO ALCHYMIST RESTAURANTE LTDA | bordini@cielo.com.br</t>
        </is>
      </c>
      <c r="O401" s="125" t="inlineStr">
        <is>
          <t>15/09/2026</t>
        </is>
      </c>
      <c r="P401" s="123" t="inlineStr">
        <is>
          <t>16/09/2026</t>
        </is>
      </c>
      <c r="Q401" s="177">
        <f>TEXT(O401,"mmm/aaaa")</f>
        <v/>
      </c>
      <c r="R401" s="129" t="inlineStr">
        <is>
          <t>ECOMMERCE BP SUPORTE FINANCEIRO N2</t>
        </is>
      </c>
      <c r="S401" s="129" t="inlineStr">
        <is>
          <t>bordini@cielo.com.br</t>
        </is>
      </c>
      <c r="T401" s="129" t="inlineStr">
        <is>
          <t>JARDIM ALCHMISTY RESTAURANTE LTD</t>
        </is>
      </c>
      <c r="U401" s="129" t="inlineStr">
        <is>
          <t>Olá, segue formulário enviado para Cielo E-commerce:&lt;p&gt;&lt;strong&gt;Qual seu nome?:&lt;/strong&gt; JARDIM DO ALCHYMIST RESTAURANTE LTDA&lt;/p&gt;&lt;p&gt;&lt;strong&gt;Endereço de e-mail:&lt;/strong&gt; bordini@cielo.com.br&lt;/p&gt;&lt;p&gt;&lt;strong&gt;CNPJ/CPF:&lt;/strong&gt; 12.600.200/0001-64&lt;/p&gt;&lt;p&gt;&lt;strong&gt;Telefone:&lt;/strong&gt; (11) 94008-6890&lt;/p&gt;&lt;p&gt;&lt;strong&gt;Assunto:&lt;/strong&gt; DA para não cobrarmos multa de contrato e cancelar NF de setup&lt;/p&gt;&lt;p&gt;&lt;strong&gt;Merchant ID/Estabelecimento Comercial (EC):&lt;/strong&gt; 12.600.200/0001-64&lt;/p&gt;&lt;p&gt;&lt;strong&gt;Descrição do problema:&lt;/strong&gt; Boa tarde, time, espero que estejam bem.
Este caso refere-se a um grupo composto pelos quatro CNPJs listados abaixo: 
JARDIM DO ALCHYMIST RESTAURANTE LTDA
CNPJ: 12.600.200/0001-64
ALCHYMIST LAGOA ENCANTADA LTDA
CNPJ: 40.195.401/0001-69
ALCHYMIST PREHISTORIC PARK LTDA
CNPJ: 22.913.185/0001-68
OCEAN JERI TAXI AEREO LTDA
CNPJ: 23.351.345/0001-95
Em anexo esta o DA para validação da não cobrança de multa referente aos 4 contratos e o cancelamento da nota de setup.
Segue abaix</t>
        </is>
      </c>
      <c r="V401" s="71">
        <f>IFERROR(_xlfn.TEXTBEFORE(_xlfn.TEXTAFTER(U401,"Descrição do problema:&lt;/strong"),"&lt;/p&gt;"),_xlfn.TEXTAFTER(U401,"Descrição do problema:&lt;/strong"))</f>
        <v/>
      </c>
      <c r="W401" s="76">
        <f>_xlfn.CONCAT(D401:E401)</f>
        <v/>
      </c>
      <c r="X401" s="77" t="n"/>
      <c r="Y401" s="78">
        <f>IF(X401="","Aberto","Encerrado")</f>
        <v/>
      </c>
      <c r="Z401" s="78">
        <f>IF(OR(L401="PENDENTE",L401="EM ANDAMENTO",L401="PENDENTE APROVAÇÃO CANCELAMENTO NF"),TODAY()-O401,X401-O401)</f>
        <v/>
      </c>
      <c r="AA401" s="78">
        <f>IF(Y401="Aberto",Z401+ROW()/100000,"")</f>
        <v/>
      </c>
      <c r="AB401" s="2">
        <f>IF(ISNUMBER(FIND("@cielo.com.br",S401)),"Interno","Externo")</f>
        <v/>
      </c>
      <c r="AC401" t="inlineStr">
        <is>
          <t>Cancelar, substituir ou reemitir nota fiscal.</t>
        </is>
      </c>
      <c r="AD401" t="inlineStr">
        <is>
          <t>ACAO:CANCELAR; OBJETO:CONTRATO; OBJETO:NOTA_FISCAL; OBJETO:SETUP</t>
        </is>
      </c>
      <c r="AE401" t="inlineStr">
        <is>
          <t>Cancelamento de NF</t>
        </is>
      </c>
      <c r="AF401" t="inlineStr">
        <is>
          <t>Documento Fiscal</t>
        </is>
      </c>
      <c r="AG401" t="inlineStr">
        <is>
          <t>Cancelamento e Reemissão de Nota Fiscal</t>
        </is>
      </c>
      <c r="AI401" t="inlineStr">
        <is>
          <t>INT_NF_CANCEL_REEMISSAO</t>
        </is>
      </c>
      <c r="AJ401" t="inlineStr">
        <is>
          <t>Sugerida</t>
        </is>
      </c>
      <c r="AK401" t="b">
        <v>0</v>
      </c>
      <c r="AN401">
        <f>IF(OR(AG401="",AM401=""),"",IF(AG401=AM401,"SIM","NÃO"))</f>
        <v/>
      </c>
      <c r="AO401" t="inlineStr">
        <is>
          <t>CLASSIFIED_SIGNATURE</t>
        </is>
      </c>
    </row>
    <row r="402" ht="15.5" customHeight="1">
      <c r="A402" s="1" t="n"/>
      <c r="B402" s="67" t="inlineStr">
        <is>
          <t>Amanda Silva</t>
        </is>
      </c>
      <c r="C402" s="122">
        <f>VLOOKUP(I:I,'Referencias '!H:I,2,0)</f>
        <v/>
      </c>
      <c r="D402" s="129" t="n">
        <v>27324632</v>
      </c>
      <c r="E402" s="129" t="inlineStr">
        <is>
          <t>0</t>
        </is>
      </c>
      <c r="F402" s="126" t="inlineStr">
        <is>
          <t>2625815020723</t>
        </is>
      </c>
      <c r="G402" s="126">
        <f>VLOOKUP(H:H,'Referencias '!B:C,2,0)</f>
        <v/>
      </c>
      <c r="H402" s="72">
        <f>TRIM(_xlfn.TEXTBEFORE(_xlfn.TEXTAFTER(U402,"CNPJ/CPF:&lt;/strong&gt;"),"&lt;/p&gt;"))</f>
        <v/>
      </c>
      <c r="I402" s="70" t="inlineStr">
        <is>
          <t>Contestação de cobrança</t>
        </is>
      </c>
      <c r="J402" s="72" t="inlineStr">
        <is>
          <t>Cancelamento de contrato</t>
        </is>
      </c>
      <c r="K402" s="72" t="n"/>
      <c r="L402" s="122" t="inlineStr">
        <is>
          <t>FINALIZADO</t>
        </is>
      </c>
      <c r="M402" s="73" t="inlineStr">
        <is>
          <t>Médio</t>
        </is>
      </c>
      <c r="N402" s="129" t="inlineStr">
        <is>
          <t>1018 Financeiro | Desejo falar com o setor financeiro | Lucila | faturamento@insidesistemas.com.br</t>
        </is>
      </c>
      <c r="O402" s="125" t="inlineStr">
        <is>
          <t>15/09/2026</t>
        </is>
      </c>
      <c r="P402" s="123" t="inlineStr">
        <is>
          <t>15/09/2026</t>
        </is>
      </c>
      <c r="Q402" s="177">
        <f>TEXT(O402,"mmm/aaaa")</f>
        <v/>
      </c>
      <c r="R402" s="129" t="inlineStr">
        <is>
          <t>ECOMMERCE BP SUPORTE FINANCEIRO N2</t>
        </is>
      </c>
      <c r="S402" s="129" t="inlineStr">
        <is>
          <t>faturamento@insidesistemas.com.br</t>
        </is>
      </c>
      <c r="T402" s="129" t="inlineStr">
        <is>
          <t>INSIDE SISTEMAS</t>
        </is>
      </c>
      <c r="U402" s="129" t="inlineStr">
        <is>
          <t>Olá, segue formulário enviado para Cielo E-commerce:&lt;p&gt;&lt;strong&gt;Qual seu nome?:&lt;/strong&gt; Lucila&lt;/p&gt;&lt;p&gt;&lt;strong&gt;Endereço de e-mail:&lt;/strong&gt; faturamento@insidesistemas.com.br&lt;/p&gt;&lt;p&gt;&lt;strong&gt;CNPJ/CPF:&lt;/strong&gt; 05.623.256/0001-79&lt;/p&gt;&lt;p&gt;&lt;strong&gt;Telefone:&lt;/strong&gt; (45) 93505-9506&lt;/p&gt;&lt;p&gt;&lt;strong&gt;Assunto:&lt;/strong&gt; Detalhamento da Fatura&lt;/p&gt;&lt;p&gt;&lt;strong&gt;Merchant ID/Estabelecimento Comercial (EC):&lt;/strong&gt; Inside Sistemas&lt;/p&gt;&lt;p&gt;&lt;strong&gt;Sobre qual produto ou área deseja falar?:&lt;/strong&gt; Financeiro&lt;/p&gt;&lt;p&gt;&lt;strong&gt;Descrição do problema:&lt;/strong&gt; Prezados (as), boa tarde!
Gentileza, esclarecer ao que se refere a cobrança da NFS-e 0121228, emitida contra o CNPJ 05.623.256/0001-79.
Grata,
Lucila&lt;/p&gt;&lt;p&gt;&lt;strong&gt;Como podemos te ajudar?:&lt;/strong&gt; Desejo falar com o setor financeiro&lt;/p&gt;&lt;p&gt;&lt;strong&gt;GA Client ID:&lt;/strong&gt; 875545444.1787084196&lt;/p&gt;&lt;p&gt;&lt;strong&gt;Lead Hash ID:&lt;/strong&gt; fc6ba56195a099944cce59cffb2e3650e41942cfb135200de5da089f35589e5f&lt;/p&gt;&lt;p&gt;&lt;strong&gt;Lead Form ID:&lt;/strong&gt; fc6ba56195a099944cce59cffb2e3650e4</t>
        </is>
      </c>
      <c r="V402" s="71">
        <f>IFERROR(_xlfn.TEXTBEFORE(_xlfn.TEXTAFTER(U402,"Descrição do problema:&lt;/strong"),"&lt;/p&gt;"),_xlfn.TEXTAFTER(U402,"Descrição do problema:&lt;/strong"))</f>
        <v/>
      </c>
      <c r="W402" s="76">
        <f>_xlfn.CONCAT(D402:E402)</f>
        <v/>
      </c>
      <c r="X402" s="77" t="n">
        <v>46283</v>
      </c>
      <c r="Y402" s="78">
        <f>IF(X402="","Aberto","Encerrado")</f>
        <v/>
      </c>
      <c r="Z402" s="78">
        <f>IF(OR(L402="PENDENTE",L402="EM ANDAMENTO",L402="PENDENTE APROVAÇÃO CANCELAMENTO NF"),TODAY()-O402,X402-O402)</f>
        <v/>
      </c>
      <c r="AA402" s="78">
        <f>IF(Y402="Aberto",Z402+ROW()/100000,"")</f>
        <v/>
      </c>
      <c r="AB402" s="2">
        <f>IF(ISNUMBER(FIND("@cielo.com.br",S402)),"Interno","Externo")</f>
        <v/>
      </c>
      <c r="AC402" t="inlineStr">
        <is>
          <t>Contestar divergência, valor ou critério de cobrança.</t>
        </is>
      </c>
      <c r="AD402" t="inlineStr">
        <is>
          <t>esclarecer ao que se refere a cobrança</t>
        </is>
      </c>
      <c r="AE402" t="inlineStr">
        <is>
          <t>Contestação de cobrança</t>
        </is>
      </c>
      <c r="AF402" t="inlineStr">
        <is>
          <t>Valor Cobrado</t>
        </is>
      </c>
      <c r="AG402" t="inlineStr">
        <is>
          <t>Cobrança e Contestação</t>
        </is>
      </c>
      <c r="AI402" t="inlineStr">
        <is>
          <t>INT_COB_CONTESTACAO</t>
        </is>
      </c>
      <c r="AJ402" t="inlineStr">
        <is>
          <t>Sugerida</t>
        </is>
      </c>
      <c r="AK402" t="b">
        <v>0</v>
      </c>
      <c r="AN402">
        <f>IF(OR(AG402="",AM402=""),"",IF(AG402=AM402,"SIM","NÃO"))</f>
        <v/>
      </c>
      <c r="AO402" t="inlineStr">
        <is>
          <t>CLASSIFIED_PATTERN</t>
        </is>
      </c>
    </row>
    <row r="403" ht="15.5" customHeight="1">
      <c r="A403" s="1" t="n"/>
      <c r="B403" s="132" t="inlineStr">
        <is>
          <t>Stephany Lima</t>
        </is>
      </c>
      <c r="C403" s="70">
        <f>VLOOKUP(I:I,'Referencias '!H:I,2,0)</f>
        <v/>
      </c>
      <c r="D403" s="129" t="n">
        <v>27293593</v>
      </c>
      <c r="E403" s="129" t="inlineStr">
        <is>
          <t>0</t>
        </is>
      </c>
      <c r="F403" s="126" t="inlineStr">
        <is>
          <t>2625810998753</t>
        </is>
      </c>
      <c r="G403" s="126" t="inlineStr">
        <is>
          <t>MOBIFACIL</t>
        </is>
      </c>
      <c r="H403" s="72">
        <f>TRIM(_xlfn.TEXTBEFORE(_xlfn.TEXTAFTER(U403,"CNPJ/CPF:&lt;/strong&gt;"),"&lt;/p&gt;"))</f>
        <v/>
      </c>
      <c r="I403" s="122" t="inlineStr">
        <is>
          <t>Reenvio de nf</t>
        </is>
      </c>
      <c r="J403" s="126" t="n"/>
      <c r="K403" s="126" t="n"/>
      <c r="L403" s="122" t="inlineStr">
        <is>
          <t>PENDENTE</t>
        </is>
      </c>
      <c r="M403" s="73" t="inlineStr">
        <is>
          <t>Médio</t>
        </is>
      </c>
      <c r="N403" s="129" t="inlineStr">
        <is>
          <t>1018 Financeiro | Desejo falar com o setor financeiro | Daniela Oliveira | daniela.oliveira@comporte.com.br</t>
        </is>
      </c>
      <c r="O403" s="125" t="inlineStr">
        <is>
          <t>15/09/2026</t>
        </is>
      </c>
      <c r="P403" s="123" t="inlineStr">
        <is>
          <t>15/09/2026</t>
        </is>
      </c>
      <c r="Q403" s="177">
        <f>TEXT(O403,"mmm/aaaa")</f>
        <v/>
      </c>
      <c r="R403" s="129" t="inlineStr">
        <is>
          <t>ECOMMERCE BP SUPORTE FINANCEIRO N2</t>
        </is>
      </c>
      <c r="S403" s="129" t="inlineStr">
        <is>
          <t>daniela.oliveira@comporte.com.br</t>
        </is>
      </c>
      <c r="T403" s="129" t="inlineStr">
        <is>
          <t>MOBIFACIL</t>
        </is>
      </c>
      <c r="U403" s="129" t="inlineStr">
        <is>
          <t>Olá, segue formulário enviado para Cielo E-commerce:&lt;p&gt;&lt;strong&gt;Qual seu nome?:&lt;/strong&gt; Daniela Oliveira&lt;/p&gt;&lt;p&gt;&lt;strong&gt;Endereço de e-mail:&lt;/strong&gt; daniela.oliveira@comporte.com.br&lt;/p&gt;&lt;p&gt;&lt;strong&gt;CNPJ/CPF:&lt;/strong&gt; 15.912.466/0001-30&lt;/p&gt;&lt;p&gt;&lt;strong&gt;Telefone:&lt;/strong&gt; (41) 98860-0355&lt;/p&gt;&lt;p&gt;&lt;strong&gt;Assunto:&lt;/strong&gt; NF de Julho /2024/2025&lt;/p&gt;&lt;p&gt;&lt;strong&gt;Merchant ID/Estabelecimento Comercial (EC):&lt;/strong&gt; braspag_viacaopiracicabana / 2887200156&lt;/p&gt;&lt;p&gt;&lt;strong&gt;Sobre qual produto ou área deseja falar?:&lt;/strong&gt; Financeiro&lt;/p&gt;&lt;p&gt;&lt;strong&gt;Descrição do problema:&lt;/strong&gt; Olá, bom dia
Poderiam nos encaminhar as NF's de Julho de 2024 e 2025 caso tenham disponivel?&lt;/p&gt;&lt;p&gt;&lt;strong&gt;Como podemos te ajudar?:&lt;/strong&gt; Desejo falar com o setor financeiro&lt;/p&gt;&lt;p&gt;&lt;strong&gt;GA Client ID:&lt;/strong&gt; 1298289711.1789390336&lt;/p&gt;&lt;p&gt;&lt;strong&gt;Lead Hash ID:&lt;/strong&gt; 356437e3b895a4c6435da125a81b34f279afa3cf1c3d98bf1d4aa8036fe7f1a7&lt;/p&gt;&lt;p&gt;&lt;strong&gt;Lead Form ID:&lt;/strong&gt; 356437e3b895a4c6435da125a81b34f279afa3cf1c3d98bf1d4aa8036f</t>
        </is>
      </c>
      <c r="V403" s="71">
        <f>IFERROR(_xlfn.TEXTBEFORE(_xlfn.TEXTAFTER(U403,"Descrição do problema:&lt;/strong"),"&lt;/p&gt;"),_xlfn.TEXTAFTER(U403,"Descrição do problema:&lt;/strong"))</f>
        <v/>
      </c>
      <c r="W403" s="76">
        <f>_xlfn.CONCAT(D403:E403)</f>
        <v/>
      </c>
      <c r="X403" s="77" t="n"/>
      <c r="Y403" s="78">
        <f>IF(X403="","Aberto","Encerrado")</f>
        <v/>
      </c>
      <c r="Z403" s="78">
        <f>IF(OR(L403="PENDENTE",L403="EM ANDAMENTO",L403="PENDENTE APROVAÇÃO CANCELAMENTO NF"),TODAY()-O403,X403-O403)</f>
        <v/>
      </c>
      <c r="AA403" s="78">
        <f>IF(Y403="Aberto",Z403+ROW()/100000,"")</f>
        <v/>
      </c>
      <c r="AB403" s="2">
        <f>IF(ISNUMBER(FIND("@cielo.com.br",S403)),"Interno","Externo")</f>
        <v/>
      </c>
      <c r="AC403" t="inlineStr">
        <is>
          <t>Reenviar nota fiscal não recebida.</t>
        </is>
      </c>
      <c r="AD403" t="inlineStr">
        <is>
          <t>encaminhar + nf</t>
        </is>
      </c>
      <c r="AE403" t="inlineStr">
        <is>
          <t>Reenvio de NF</t>
        </is>
      </c>
      <c r="AF403" t="inlineStr">
        <is>
          <t>Parâmetro de Faturamento</t>
        </is>
      </c>
      <c r="AG403" t="inlineStr">
        <is>
          <t>Faturamento e Obrigações Fiscais</t>
        </is>
      </c>
      <c r="AI403" t="inlineStr">
        <is>
          <t>INT_FAT_REENVIO_NF</t>
        </is>
      </c>
      <c r="AJ403" t="inlineStr">
        <is>
          <t>Sugerida</t>
        </is>
      </c>
      <c r="AK403" t="b">
        <v>0</v>
      </c>
      <c r="AN403">
        <f>IF(OR(AG403="",AM403=""),"",IF(AG403=AM403,"SIM","NÃO"))</f>
        <v/>
      </c>
      <c r="AO403" t="inlineStr">
        <is>
          <t>CLASSIFIED_PATTERN</t>
        </is>
      </c>
    </row>
    <row r="404" ht="15.5" customHeight="1">
      <c r="A404" s="1" t="n"/>
      <c r="B404" s="132" t="inlineStr">
        <is>
          <t>Amanda Silva</t>
        </is>
      </c>
      <c r="C404" s="70">
        <f>VLOOKUP(I:I,'Referencias '!H:I,2,0)</f>
        <v/>
      </c>
      <c r="D404" s="129" t="n">
        <v>27262060</v>
      </c>
      <c r="E404" s="129" t="inlineStr">
        <is>
          <t>0</t>
        </is>
      </c>
      <c r="F404" s="126" t="inlineStr">
        <is>
          <t>2625715978869</t>
        </is>
      </c>
      <c r="G404" s="126" t="inlineStr">
        <is>
          <t>ODONTOPREV SA</t>
        </is>
      </c>
      <c r="H404" s="72">
        <f>TRIM(_xlfn.TEXTBEFORE(_xlfn.TEXTAFTER(U404,"CNPJ/CPF:&lt;/strong&gt;"),"&lt;/p&gt;"))</f>
        <v/>
      </c>
      <c r="I404" s="122" t="inlineStr">
        <is>
          <t>Cancelamento de nf</t>
        </is>
      </c>
      <c r="J404" s="126" t="n"/>
      <c r="K404" s="126" t="n"/>
      <c r="L404" s="122" t="inlineStr">
        <is>
          <t>PENDENTE</t>
        </is>
      </c>
      <c r="M404" s="73" t="inlineStr">
        <is>
          <t>Médio</t>
        </is>
      </c>
      <c r="N404" s="129" t="inlineStr">
        <is>
          <t>1018 Financeiro | Desejo falar com o setor financeiro | Larissa Venâncio | larissave@cielo.com.br</t>
        </is>
      </c>
      <c r="O404" s="125" t="inlineStr">
        <is>
          <t>14/09/2026</t>
        </is>
      </c>
      <c r="P404" s="123" t="inlineStr">
        <is>
          <t>15/09/2026</t>
        </is>
      </c>
      <c r="Q404" s="178">
        <f>TEXT(O404,"mmm/aaaa")</f>
        <v/>
      </c>
      <c r="R404" s="129" t="inlineStr">
        <is>
          <t>ECOMMERCE BP SUPORTE FINANCEIRO N2</t>
        </is>
      </c>
      <c r="S404" s="129" t="inlineStr">
        <is>
          <t>larissave@cielo.com.br</t>
        </is>
      </c>
      <c r="T404" s="129" t="inlineStr">
        <is>
          <t>ODONTOPREV SA</t>
        </is>
      </c>
      <c r="U404" s="129" t="inlineStr">
        <is>
          <t>Olá, segue formulário enviado para Cielo E-commerce:&lt;p&gt;&lt;strong&gt;Qual seu nome?:&lt;/strong&gt; Larissa Venâncio&lt;/p&gt;&lt;p&gt;&lt;strong&gt;Endereço de e-mail:&lt;/strong&gt; larissave@cielo.com.br&lt;/p&gt;&lt;p&gt;&lt;strong&gt;CNPJ/CPF:&lt;/strong&gt; 58.119.199/0001-51&lt;/p&gt;&lt;p&gt;&lt;strong&gt;Telefone:&lt;/strong&gt; (11) 97622-8821&lt;/p&gt;&lt;p&gt;&lt;strong&gt;Assunto:&lt;/strong&gt; Cancelamento e Nova emissão NFs - Após Cessão Contratual&lt;/p&gt;&lt;p&gt;&lt;strong&gt;Merchant ID/Estabelecimento Comercial (EC):&lt;/strong&gt; 58.119.199/0001-51&lt;/p&gt;&lt;p&gt;&lt;strong&gt;Sobre qual produto ou área deseja falar?:&lt;/strong&gt; Financeiro&lt;/p&gt;&lt;p&gt;&lt;strong&gt;Como podemos te ajudar?:&lt;/strong&gt; Desejo falar com o setor financeiro&lt;/p&gt;&lt;p&gt;&lt;strong&gt;Descrição do problema:&lt;/strong&gt; Boa tarde, 
Conforme mencionado no Protocolo 2622413132142, agora que a Cessão Contratual foi executado, precisamos cancelar as NFs emitidas no CNPJ 58.119.199/0001-51 odontoprev e reemitir as NFs para Mediservice
Anexo segue o DA comercial para cancelamento das NFs Odontoprev e substituição das mesmas para MEdiservice (57.746.455/0013-01).
Fa</t>
        </is>
      </c>
      <c r="V404" s="71">
        <f>IFERROR(_xlfn.TEXTBEFORE(_xlfn.TEXTAFTER(U404,"Descrição do problema:&lt;/strong"),"&lt;/p&gt;"),_xlfn.TEXTAFTER(U404,"Descrição do problema:&lt;/strong"))</f>
        <v/>
      </c>
      <c r="W404" s="76">
        <f>_xlfn.CONCAT(D404:E404)</f>
        <v/>
      </c>
      <c r="X404" s="77" t="n"/>
      <c r="Y404" s="78">
        <f>IF(X404="","Aberto","Encerrado")</f>
        <v/>
      </c>
      <c r="Z404" s="78">
        <f>IF(OR(L404="PENDENTE",L404="EM ANDAMENTO",L404="PENDENTE APROVAÇÃO CANCELAMENTO NF"),TODAY()-O404,X404-O404)</f>
        <v/>
      </c>
      <c r="AA404" s="78">
        <f>IF(Y404="Aberto",Z404+ROW()/100000,"")</f>
        <v/>
      </c>
      <c r="AB404" s="2">
        <f>IF(ISNUMBER(FIND("@cielo.com.br",S404)),"Interno","Externo")</f>
        <v/>
      </c>
      <c r="AC404" t="inlineStr">
        <is>
          <t>Cancelar, substituir ou reemitir nota fiscal.</t>
        </is>
      </c>
      <c r="AD404" t="inlineStr">
        <is>
          <t>ACAO:CANCELAR; ACAO:REEMITIR; ACAO:SUBSTITUIR; OBJETO:NOTA_FISCAL</t>
        </is>
      </c>
      <c r="AE404" t="inlineStr">
        <is>
          <t>Cancelamento de NF</t>
        </is>
      </c>
      <c r="AF404" t="inlineStr">
        <is>
          <t>Documento Fiscal</t>
        </is>
      </c>
      <c r="AG404" t="inlineStr">
        <is>
          <t>Cancelamento e Reemissão de Nota Fiscal</t>
        </is>
      </c>
      <c r="AI404" t="inlineStr">
        <is>
          <t>INT_NF_CANCEL_REEMISSAO</t>
        </is>
      </c>
      <c r="AJ404" t="inlineStr">
        <is>
          <t>Sugerida</t>
        </is>
      </c>
      <c r="AK404" t="b">
        <v>0</v>
      </c>
      <c r="AN404">
        <f>IF(OR(AG404="",AM404=""),"",IF(AG404=AM404,"SIM","NÃO"))</f>
        <v/>
      </c>
      <c r="AO404" t="inlineStr">
        <is>
          <t>CLASSIFIED_SIGNATURE</t>
        </is>
      </c>
    </row>
    <row r="405" ht="15.5" customHeight="1">
      <c r="A405" s="1" t="n"/>
      <c r="B405" s="132" t="inlineStr">
        <is>
          <t>Stephany Lima</t>
        </is>
      </c>
      <c r="C405" s="122">
        <f>VLOOKUP(I:I,'Referencias '!H:I,2,0)</f>
        <v/>
      </c>
      <c r="D405" s="129" t="n">
        <v>27391301</v>
      </c>
      <c r="E405" s="129" t="inlineStr">
        <is>
          <t>0</t>
        </is>
      </c>
      <c r="F405" s="126" t="inlineStr">
        <is>
          <t>2625916064997</t>
        </is>
      </c>
      <c r="G405" s="126">
        <f>VLOOKUP(H:H,'Referencias '!B:C,2,0)</f>
        <v/>
      </c>
      <c r="H405" s="126">
        <f>TRIM(_xlfn.TEXTBEFORE(_xlfn.TEXTAFTER(U405,"CNPJ/CPF:&lt;/strong&gt;"),"&lt;/p&gt;"))</f>
        <v/>
      </c>
      <c r="I405" s="122" t="inlineStr">
        <is>
          <t>Cancelamento de nf</t>
        </is>
      </c>
      <c r="J405" s="126" t="n"/>
      <c r="K405" s="126" t="n"/>
      <c r="L405" s="122" t="inlineStr">
        <is>
          <t>FINALIZADO</t>
        </is>
      </c>
      <c r="M405" s="127" t="inlineStr">
        <is>
          <t>Médio</t>
        </is>
      </c>
      <c r="N405" s="129" t="inlineStr">
        <is>
          <t>1018 Financeiro | Desejo falar com o setor financeiro | DBDC - DISTRIBUIDORA BRASILEIRA DE | ariane.pasilva@cielo.com.br</t>
        </is>
      </c>
      <c r="O405" s="125" t="inlineStr">
        <is>
          <t>16/09/2026</t>
        </is>
      </c>
      <c r="P405" s="123" t="inlineStr">
        <is>
          <t>16/09/2026</t>
        </is>
      </c>
      <c r="Q405" s="178">
        <f>TEXT(O405,"mmm/aaaa")</f>
        <v/>
      </c>
      <c r="R405" s="129" t="inlineStr">
        <is>
          <t>ECOMMERCE BP SUPORTE FINANCEIRO N2</t>
        </is>
      </c>
      <c r="S405" s="129" t="inlineStr">
        <is>
          <t>ariane.pasilva@cielo.com.br</t>
        </is>
      </c>
      <c r="T405" s="129" t="inlineStr">
        <is>
          <t>DBDCDISTRIBUIDORA BRASILEIRA DE COSMETICOS E PARTICIPACOES LTDA</t>
        </is>
      </c>
      <c r="U405" s="129" t="inlineStr">
        <is>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Cancelamento de NF&lt;/p&gt;&lt;p&gt;&lt;strong&gt;Merchant ID/Estabelecimento Comercial (EC):&lt;/strong&gt; 36148685000408&lt;/p&gt;&lt;p&gt;&lt;strong&gt;Descrição do problema:&lt;/strong&gt; Prezados, favor cancelar as NFS do CNPJ:36148685000408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2a07344672c93c9ca782cc07cf9dc37d0cd4c270e817a83b9f87f9b32f0130a9&lt;/p&gt;&lt;p&gt;&lt;strong&gt;Lead Form ID:&lt;/strong&gt; 2a07344672c</t>
        </is>
      </c>
      <c r="V405" s="129">
        <f>IFERROR(_xlfn.TEXTBEFORE(_xlfn.TEXTAFTER(U405,"Descrição do problema:&lt;/strong"),"&lt;/p&gt;"),_xlfn.TEXTAFTER(U405,"Descrição do problema:&lt;/strong"))</f>
        <v/>
      </c>
      <c r="W405" s="130">
        <f>_xlfn.CONCAT(D405:E405)</f>
        <v/>
      </c>
      <c r="X405" s="77" t="n">
        <v>46287</v>
      </c>
      <c r="Y405" s="131">
        <f>IF(X405="","Aberto","Encerrado")</f>
        <v/>
      </c>
      <c r="Z405" s="131">
        <f>IF(OR(L405="PENDENTE",L405="EM ANDAMENTO",L405="PENDENTE APROVAÇÃO CANCELAMENTO NF"),TODAY()-O405,X405-O405)</f>
        <v/>
      </c>
      <c r="AA405" s="131">
        <f>IF(Y405="Aberto",Z405+ROW()/100000,"")</f>
        <v/>
      </c>
      <c r="AB405" s="2">
        <f>IF(ISNUMBER(FIND("@cielo.com.br",S405)),"Interno","Externo")</f>
        <v/>
      </c>
      <c r="AC405" t="inlineStr">
        <is>
          <t>Cancelar, substituir ou reemitir nota fiscal.</t>
        </is>
      </c>
      <c r="AD405" t="inlineStr">
        <is>
          <t>ACAO:CANCELAR; OBJETO:NOTA_FISCAL</t>
        </is>
      </c>
      <c r="AE405" t="inlineStr">
        <is>
          <t>Cancelamento de NF</t>
        </is>
      </c>
      <c r="AF405" t="inlineStr">
        <is>
          <t>Documento Fiscal</t>
        </is>
      </c>
      <c r="AG405" t="inlineStr">
        <is>
          <t>Cancelamento e Reemissão de Nota Fiscal</t>
        </is>
      </c>
      <c r="AI405" t="inlineStr">
        <is>
          <t>INT_NF_CANCEL_REEMISSAO</t>
        </is>
      </c>
      <c r="AJ405" t="inlineStr">
        <is>
          <t>Sugerida</t>
        </is>
      </c>
      <c r="AK405" t="b">
        <v>0</v>
      </c>
      <c r="AN405">
        <f>IF(OR(AG405="",AM405=""),"",IF(AG405=AM405,"SIM","NÃO"))</f>
        <v/>
      </c>
      <c r="AO405" t="inlineStr">
        <is>
          <t>CLASSIFIED_SIGNATURE</t>
        </is>
      </c>
    </row>
    <row r="406" ht="15.5" customHeight="1">
      <c r="A406" s="1" t="n"/>
      <c r="B406" s="132" t="inlineStr">
        <is>
          <t>Amanda Silva</t>
        </is>
      </c>
      <c r="C406" s="122" t="inlineStr">
        <is>
          <t>Cobrança e Contestação</t>
        </is>
      </c>
      <c r="D406" s="129" t="n">
        <v>27490679</v>
      </c>
      <c r="E406" s="129" t="inlineStr">
        <is>
          <t>0</t>
        </is>
      </c>
      <c r="F406" s="126" t="inlineStr">
        <is>
          <t>2626113127894</t>
        </is>
      </c>
      <c r="G406" s="126" t="inlineStr">
        <is>
          <t>Carrefour</t>
        </is>
      </c>
      <c r="H406" s="126">
        <f>TRIM(_xlfn.TEXTBEFORE(_xlfn.TEXTAFTER(U406,"CNPJ/CPF:&lt;/strong&gt;"),"&lt;/p&gt;"))</f>
        <v/>
      </c>
      <c r="I406" s="122" t="inlineStr">
        <is>
          <t>Dúvida cobrança</t>
        </is>
      </c>
      <c r="J406" s="126" t="n"/>
      <c r="K406" s="126" t="n"/>
      <c r="L406" s="122" t="inlineStr">
        <is>
          <t>PENDENTE</t>
        </is>
      </c>
      <c r="M406" s="127" t="inlineStr">
        <is>
          <t>Médio</t>
        </is>
      </c>
      <c r="N406" s="129" t="inlineStr">
        <is>
          <t>1018 Financeiro | Desejo falar com o setor financeiro | Danilo | danilo_nunes@carrefour.com</t>
        </is>
      </c>
      <c r="O406" s="125" t="inlineStr">
        <is>
          <t>18/09/2026</t>
        </is>
      </c>
      <c r="P406" s="123" t="inlineStr">
        <is>
          <t>18/09/2026</t>
        </is>
      </c>
      <c r="Q406" s="178">
        <f>TEXT(O406,"mmm/aaaa")</f>
        <v/>
      </c>
      <c r="R406" s="129" t="inlineStr">
        <is>
          <t>ECOMMERCE BP SUPORTE FINANCEIRO N2</t>
        </is>
      </c>
      <c r="S406" s="129" t="inlineStr">
        <is>
          <t>danilo_nunes@carrefour.com</t>
        </is>
      </c>
      <c r="T406" s="129" t="n"/>
      <c r="U406" s="129" t="inlineStr">
        <is>
          <t xml:space="preserve">Olá, segue formulário enviado para Cielo E-commerce:&lt;p&gt;&lt;strong&gt;Qual seu nome?:&lt;/strong&gt; Danilo&lt;/p&gt;&lt;p&gt;&lt;strong&gt;Endereço de e-mail:&lt;/strong&gt; danilo_nunes@carrefour.com&lt;/p&gt;&lt;p&gt;&lt;strong&gt;CNPJ/CPF:&lt;/strong&gt; 45.543.915/0846-95&lt;/p&gt;&lt;p&gt;&lt;strong&gt;Telefone:&lt;/strong&gt; (11) 96363-2779&lt;/p&gt;&lt;p&gt;&lt;strong&gt;Assunto:&lt;/strong&gt; Carrefour | Faturamento - Maio |Junho | Julho&lt;/p&gt;&lt;p&gt;&lt;strong&gt;Merchant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Quanto à sua análise não vamos considerar o desconto aplicado de 2025 tendo em vista que já estamos com o ano fiscal encerrado. sendo assim somente vamos considerar este ano 2026 e analisando as quantidades e taxa do contrato atual o desconto para Maio e Junho será de R$ 4.652,38 e na fatura de julho deverá constar o ajuste com desconto 
</t>
        </is>
      </c>
      <c r="V406" s="129">
        <f>IFERROR(_xlfn.TEXTBEFORE(_xlfn.TEXTAFTER(U406,"Descrição do problema:&lt;/strong"),"&lt;/p&gt;"),_xlfn.TEXTAFTER(U406,"Descrição do problema:&lt;/strong"))</f>
        <v/>
      </c>
      <c r="W406" s="130">
        <f>_xlfn.CONCAT(D406:E406)</f>
        <v/>
      </c>
      <c r="X406" s="77" t="n"/>
      <c r="Y406" s="131">
        <f>IF(X406="","Aberto","Encerrado")</f>
        <v/>
      </c>
      <c r="Z406" s="131">
        <f>IF(OR(L406="PENDENTE",L406="EM ANDAMENTO",L406="PENDENTE APROVAÇÃO CANCELAMENTO NF"),TODAY()-O406,X406-O406)</f>
        <v/>
      </c>
      <c r="AA406" s="131">
        <f>IF(Y406="Aberto",Z406+ROW()/100000,"")</f>
        <v/>
      </c>
      <c r="AB406" s="2">
        <f>IF(ISNUMBER(FIND("@cielo.com.br",S406)),"Interno","Externo")</f>
        <v/>
      </c>
      <c r="AD406" t="inlineStr"/>
      <c r="AJ406" t="inlineStr">
        <is>
          <t>Sem correspondência</t>
        </is>
      </c>
      <c r="AK406" t="b">
        <v>0</v>
      </c>
      <c r="AN406">
        <f>IF(OR(AG406="",AM406=""),"",IF(AG406=AM406,"SIM","NÃO"))</f>
        <v/>
      </c>
      <c r="AO406" t="inlineStr">
        <is>
          <t>NO_PATTERN</t>
        </is>
      </c>
    </row>
    <row r="407" ht="15.5" customHeight="1">
      <c r="B407" s="132" t="inlineStr">
        <is>
          <t>Amanda Silva</t>
        </is>
      </c>
      <c r="C407" s="122">
        <f>VLOOKUP(I:I,'Referencias '!H:I,2,0)</f>
        <v/>
      </c>
      <c r="D407" s="129" t="n">
        <v>27689499</v>
      </c>
      <c r="E407" s="129" t="inlineStr">
        <is>
          <t>0</t>
        </is>
      </c>
      <c r="F407" s="126" t="inlineStr">
        <is>
          <t>2626616255422</t>
        </is>
      </c>
      <c r="G407" s="126">
        <f>VLOOKUP(H:H,'Referencias '!B:C,2,0)</f>
        <v/>
      </c>
      <c r="H407" s="126">
        <f>TRIM(_xlfn.TEXTBEFORE(_xlfn.TEXTAFTER(U407,"CNPJ/CPF:&lt;/strong&gt;"),"&lt;/p&gt;"))</f>
        <v/>
      </c>
      <c r="I407" s="122" t="inlineStr">
        <is>
          <t>Contestação de cobrança</t>
        </is>
      </c>
      <c r="J407" s="126" t="n"/>
      <c r="K407" s="126" t="n"/>
      <c r="L407" s="122" t="inlineStr">
        <is>
          <t>FINALIZADO</t>
        </is>
      </c>
      <c r="M407" s="127" t="inlineStr">
        <is>
          <t>Médio</t>
        </is>
      </c>
      <c r="N407" s="129" t="inlineStr">
        <is>
          <t>1018 Financeiro | Desejo falar com o setor financeiro | Caroline Mendes | carolineal@cielo.com.br</t>
        </is>
      </c>
      <c r="O407" s="125" t="inlineStr">
        <is>
          <t>23/09/2026</t>
        </is>
      </c>
      <c r="P407" s="123" t="inlineStr">
        <is>
          <t>23/09/2026</t>
        </is>
      </c>
      <c r="Q407" s="178">
        <f>TEXT(O407,"mmm/aaaa")</f>
        <v/>
      </c>
      <c r="R407" s="129" t="inlineStr">
        <is>
          <t>ECOMMERCE BP SUPORTE FINANCEIRO N2</t>
        </is>
      </c>
      <c r="S407" s="129" t="inlineStr">
        <is>
          <t>carolineal@cielo.com.br</t>
        </is>
      </c>
      <c r="T407" s="129" t="inlineStr">
        <is>
          <t>VAI DE PROMO</t>
        </is>
      </c>
      <c r="U407" s="129" t="inlineStr">
        <is>
          <t>Olá, segue formulário enviado para Cielo E-commerce:&lt;p&gt;&lt;strong&gt;Qual seu nome?:&lt;/strong&gt; Caroline Mendes&lt;/p&gt;&lt;p&gt;&lt;strong&gt;Endereço de e-mail:&lt;/strong&gt; carolineal@cielo.com.br&lt;/p&gt;&lt;p&gt;&lt;strong&gt;CNPJ/CPF:&lt;/strong&gt; 61.118.045/0001-50&lt;/p&gt;&lt;p&gt;&lt;strong&gt;Telefone:&lt;/strong&gt; (11) 94503-1458&lt;/p&gt;&lt;p&gt;&lt;strong&gt;Assunto:&lt;/strong&gt; Divergência do número de transações x nota fiscal&lt;/p&gt;&lt;p&gt;&lt;strong&gt;Merchant ID/Estabelecimento Comercial (EC):&lt;/strong&gt; 97829c86-5a8d-4a3a-8993-03b21dbb88ba&lt;/p&gt;&lt;p&gt;&lt;strong&gt;Sobre qual produto ou área deseja falar?:&lt;/strong&gt; Financeiro&lt;/p&gt;&lt;p&gt;&lt;strong&gt;Como podemos te ajudar?:&lt;/strong&gt; Desejo falar com o setor financeiro&lt;/p&gt;&lt;p&gt;&lt;strong&gt;Descrição do problema:&lt;/strong&gt; Boa tarde, time!
O cliente Julio da Amo Promo me procurou de forma muito integra informando que há uma estranheza e divergência nos números de transações do pagador, com o número bem abaixo do que deveria. Neste último mês de Agosto por exemplo, na nota fiscal do cliente foi cobrado do produto pagador 5.299 transações. Eu extrai o rel</t>
        </is>
      </c>
      <c r="V407" s="129">
        <f>IFERROR(_xlfn.TEXTBEFORE(_xlfn.TEXTAFTER(U407,"Descrição do problema:&lt;/strong"),"&lt;/p&gt;"),_xlfn.TEXTAFTER(U407,"Descrição do problema:&lt;/strong"))</f>
        <v/>
      </c>
      <c r="W407" s="130">
        <f>_xlfn.CONCAT(D407:E407)</f>
        <v/>
      </c>
      <c r="X407" s="77" t="n">
        <v>46289</v>
      </c>
      <c r="Y407" s="131">
        <f>IF(X407="","Aberto","Encerrado")</f>
        <v/>
      </c>
      <c r="Z407" s="131">
        <f>IF(OR(L407="PENDENTE",L407="EM ANDAMENTO",L407="PENDENTE APROVAÇÃO CANCELAMENTO NF"),TODAY()-O407,X407-O407)</f>
        <v/>
      </c>
      <c r="AA407" s="131">
        <f>IF(Y407="Aberto",Z407+ROW()/100000,"")</f>
        <v/>
      </c>
      <c r="AB407" s="2">
        <f>IF(ISNUMBER(FIND("@cielo.com.br",S407)),"Interno","Externo")</f>
        <v/>
      </c>
      <c r="AC407" t="inlineStr">
        <is>
          <t>Contestar divergência, valor ou critério de cobrança.</t>
        </is>
      </c>
      <c r="AD407" t="inlineStr">
        <is>
          <t>divergência + transações</t>
        </is>
      </c>
      <c r="AE407" t="inlineStr">
        <is>
          <t>Contestação de cobrança</t>
        </is>
      </c>
      <c r="AF407" t="inlineStr">
        <is>
          <t>Valor Cobrado</t>
        </is>
      </c>
      <c r="AG407" t="inlineStr">
        <is>
          <t>Cobrança e Contestação</t>
        </is>
      </c>
      <c r="AI407" t="inlineStr">
        <is>
          <t>INT_COB_CONTESTACAO</t>
        </is>
      </c>
      <c r="AJ407" t="inlineStr">
        <is>
          <t>Sugerida</t>
        </is>
      </c>
      <c r="AK407" t="b">
        <v>0</v>
      </c>
      <c r="AN407">
        <f>IF(OR(AG407="",AM407=""),"",IF(AG407=AM407,"SIM","NÃO"))</f>
        <v/>
      </c>
      <c r="AO407" t="inlineStr">
        <is>
          <t>CLASSIFIED_PATTERN</t>
        </is>
      </c>
    </row>
    <row r="408" ht="15.5" customHeight="1">
      <c r="B408" s="132" t="inlineStr">
        <is>
          <t>Amanda Silva</t>
        </is>
      </c>
      <c r="C408" s="122">
        <f>VLOOKUP(I:I,'Referencias '!H:I,2,0)</f>
        <v/>
      </c>
      <c r="D408" s="129" t="n">
        <v>27673252</v>
      </c>
      <c r="E408" s="129" t="inlineStr">
        <is>
          <t>0</t>
        </is>
      </c>
      <c r="F408" s="126" t="inlineStr">
        <is>
          <t>2626613244909</t>
        </is>
      </c>
      <c r="G408" s="126">
        <f>VLOOKUP(H:H,'Referencias '!B:C,2,0)</f>
        <v/>
      </c>
      <c r="H408" s="126">
        <f>TRIM(_xlfn.TEXTBEFORE(_xlfn.TEXTAFTER(U408,"CNPJ/CPF:&lt;/strong&gt;"),"&lt;/p&gt;"))</f>
        <v/>
      </c>
      <c r="I408" s="122" t="inlineStr">
        <is>
          <t>Reenvio de boleto</t>
        </is>
      </c>
      <c r="J408" s="126" t="n"/>
      <c r="K408" s="126" t="n"/>
      <c r="L408" s="122" t="inlineStr">
        <is>
          <t>PENDENTE</t>
        </is>
      </c>
      <c r="M408" s="127" t="inlineStr">
        <is>
          <t>Médio</t>
        </is>
      </c>
      <c r="N408" s="129" t="inlineStr">
        <is>
          <t>1018 Financeiro | Desejo falar com o setor financeiro | Fabiane | notas.ti@spngrupo.com.br</t>
        </is>
      </c>
      <c r="O408" s="125" t="inlineStr">
        <is>
          <t>23/09/2026</t>
        </is>
      </c>
      <c r="P408" s="123" t="inlineStr">
        <is>
          <t>23/09/2026</t>
        </is>
      </c>
      <c r="Q408" s="178">
        <f>TEXT(O408,"mmm/aaaa")</f>
        <v/>
      </c>
      <c r="R408" s="129" t="inlineStr">
        <is>
          <t>ECOMMERCE BP SUPORTE FINANCEIRO N2</t>
        </is>
      </c>
      <c r="S408" s="129" t="inlineStr">
        <is>
          <t>notas.ti@spngrupo.com.br</t>
        </is>
      </c>
      <c r="T408" s="129" t="inlineStr">
        <is>
          <t>FARMACIAS UNIPRECO</t>
        </is>
      </c>
      <c r="U408" s="129" t="inlineStr">
        <is>
          <t>Olá, segue formulário enviado para Cielo E-commerce:&lt;p&gt;&lt;strong&gt;Sobre qual produto ou área deseja falar?:&lt;/strong&gt; Financeiro&lt;/p&gt;&lt;p&gt;&lt;strong&gt;Como podemos te ajudar?:&lt;/strong&gt; Desejo falar com o setor financeiro&lt;/p&gt;&lt;p&gt;&lt;strong&gt;Merchant ID/Estabelecimento Comercial (EC):&lt;/strong&gt; 1&lt;/p&gt;&lt;p&gt;&lt;strong&gt;Qual seu nome?:&lt;/strong&gt; Fabiane&lt;/p&gt;&lt;p&gt;&lt;strong&gt;Endereço de e-mail:&lt;/strong&gt; notas.ti@spngrupo.com.br&lt;/p&gt;&lt;p&gt;&lt;strong&gt;CNPJ/CPF:&lt;/strong&gt; 12.044.700/0019-96&lt;/p&gt;&lt;p&gt;&lt;strong&gt;Telefone:&lt;/strong&gt; (41) 3139-5065&lt;/p&gt;&lt;p&gt;&lt;strong&gt;Assunto:&lt;/strong&gt; Boleto&lt;/p&gt;&lt;p&gt;&lt;strong&gt;Descrição do problema:&lt;/strong&gt; Solicito por gentileza o ajuste no boleto para pagamento hoje sem juros, pois a pessoa qye recebe esteve de ferias e fiquei sem acesso ao boleto, tbm solicito a inclusão no email cau@farmaciasunipreco.com.br,para as proximas despesas.&lt;/p&gt;&lt;p&gt;&lt;strong&gt;Data e hora do erro:&lt;/strong&gt; 23-09-2026 13:32&lt;/p&gt;&lt;p&gt;&lt;strong&gt;GA Client ID:&lt;/strong&gt; 1063060478.1790180989&lt;/p&gt;&lt;p&gt;&lt;strong&gt;Lead Hash ID:&lt;/strong&gt; 61724fb74d967e901c7969d32a7383</t>
        </is>
      </c>
      <c r="V408" s="129">
        <f>IFERROR(_xlfn.TEXTBEFORE(_xlfn.TEXTAFTER(U408,"Descrição do problema:&lt;/strong"),"&lt;/p&gt;"),_xlfn.TEXTAFTER(U408,"Descrição do problema:&lt;/strong"))</f>
        <v/>
      </c>
      <c r="W408" s="130">
        <f>_xlfn.CONCAT(D408:E408)</f>
        <v/>
      </c>
      <c r="X408" s="77" t="n"/>
      <c r="Y408" s="131">
        <f>IF(X408="","Aberto","Encerrado")</f>
        <v/>
      </c>
      <c r="Z408" s="131">
        <f>IF(OR(L408="PENDENTE",L408="EM ANDAMENTO",L408="PENDENTE APROVAÇÃO CANCELAMENTO NF"),TODAY()-O408,X408-O408)</f>
        <v/>
      </c>
      <c r="AA408" s="131">
        <f>IF(Y408="Aberto",Z408+ROW()/100000,"")</f>
        <v/>
      </c>
      <c r="AB408" s="2">
        <f>IF(ISNUMBER(FIND("@cielo.com.br",S408)),"Interno","Externo")</f>
        <v/>
      </c>
      <c r="AD408" t="inlineStr"/>
      <c r="AJ408" t="inlineStr">
        <is>
          <t>Sem correspondência</t>
        </is>
      </c>
      <c r="AK408" t="b">
        <v>0</v>
      </c>
      <c r="AN408">
        <f>IF(OR(AG408="",AM408=""),"",IF(AG408=AM408,"SIM","NÃO"))</f>
        <v/>
      </c>
      <c r="AO408" t="inlineStr">
        <is>
          <t>NO_PATTERN</t>
        </is>
      </c>
    </row>
    <row r="409" ht="15.5" customHeight="1">
      <c r="B409" s="132" t="inlineStr">
        <is>
          <t>Stephany Lima</t>
        </is>
      </c>
      <c r="C409" s="122">
        <f>VLOOKUP(I:I,'Referencias '!H:I,2,0)</f>
        <v/>
      </c>
      <c r="D409" s="129" t="n">
        <v>27662077</v>
      </c>
      <c r="E409" s="129" t="inlineStr">
        <is>
          <t>0</t>
        </is>
      </c>
      <c r="F409" s="126" t="inlineStr">
        <is>
          <t>2626611238003</t>
        </is>
      </c>
      <c r="G409" s="126">
        <f>VLOOKUP(H:H,'Referencias '!B:C,2,0)</f>
        <v/>
      </c>
      <c r="H409" s="126">
        <f>TRIM(_xlfn.TEXTBEFORE(_xlfn.TEXTAFTER(U409,"CNPJ/CPF:&lt;/strong&gt;"),"&lt;/p&gt;"))</f>
        <v/>
      </c>
      <c r="I409" s="122" t="inlineStr">
        <is>
          <t>Contestação de cobrança</t>
        </is>
      </c>
      <c r="J409" s="126" t="n"/>
      <c r="K409" s="126" t="n"/>
      <c r="L409" s="122" t="inlineStr">
        <is>
          <t>PENDENTE</t>
        </is>
      </c>
      <c r="M409" s="127" t="inlineStr">
        <is>
          <t>Médio</t>
        </is>
      </c>
      <c r="N409" s="129" t="inlineStr">
        <is>
          <t>1018 Financeiro | Desejo falar com o setor financeiro | FESTVAL | jucileia.santos@superfestval.com.br</t>
        </is>
      </c>
      <c r="O409" s="125" t="inlineStr">
        <is>
          <t>23/09/2026</t>
        </is>
      </c>
      <c r="P409" s="123" t="inlineStr">
        <is>
          <t>23/09/2026</t>
        </is>
      </c>
      <c r="Q409" s="178">
        <f>TEXT(O409,"mmm/aaaa")</f>
        <v/>
      </c>
      <c r="R409" s="129" t="inlineStr">
        <is>
          <t>ECOMMERCE BP SUPORTE FINANCEIRO N2</t>
        </is>
      </c>
      <c r="S409" s="129" t="inlineStr">
        <is>
          <t>jucileia.santos@superfestval.com.br</t>
        </is>
      </c>
      <c r="T409" s="129" t="inlineStr">
        <is>
          <t>FESTVAL</t>
        </is>
      </c>
      <c r="U409" s="129" t="inlineStr">
        <is>
          <t>Olá, segue formulário enviado para Cielo E-commerce:&lt;p&gt;&lt;strong&gt;Qual seu nome?:&lt;/strong&gt; FESTVAL&lt;/p&gt;&lt;p&gt;&lt;strong&gt;Endereço de e-mail:&lt;/strong&gt; jucileia.santos@superfestval.com.br&lt;/p&gt;&lt;p&gt;&lt;strong&gt;CNPJ/CPF:&lt;/strong&gt; 78.116.670/0005-99&lt;/p&gt;&lt;p&gt;&lt;strong&gt;Telefone:&lt;/strong&gt; (41) 3148-6695&lt;/p&gt;&lt;p&gt;&lt;strong&gt;Assunto:&lt;/strong&gt; Duvidas NFs&lt;/p&gt;&lt;p&gt;&lt;strong&gt;Merchant ID/Estabelecimento Comercial (EC):&lt;/strong&gt; 78116670000599&lt;/p&gt;&lt;p&gt;&lt;strong&gt;Sobre qual produto ou área deseja falar?:&lt;/strong&gt; Financeiro&lt;/p&gt;&lt;p&gt;&lt;strong&gt;Descrição do problema:&lt;/strong&gt; financeiro&lt;/p&gt;&lt;p&gt;&lt;strong&gt;Como podemos te ajudar?:&lt;/strong&gt; Desejo falar com o setor financeiro&lt;/p&gt;&lt;p&gt;&lt;strong&gt;GA Client ID:&lt;/strong&gt; &lt;/p&gt;&lt;p&gt;&lt;strong&gt;Lead Hash ID:&lt;/strong&gt; 3226a5dfe007a34d26970788d62b036c28f56f45d38eecce4eadbf84a1b1ada4&lt;/p&gt;&lt;p&gt;&lt;strong&gt;Lead Form ID:&lt;/strong&gt; 3226a5dfe007a34d26970788d62b036c28f56f45d38eecce4eadbf84a1b1ada4.1790173268561&lt;/p&gt;&lt;br&gt;-json-{
    "infoClientes": [
        {
            "nomeCliente": "FESTVAL",
            "emailCliente": "jucileia.san</t>
        </is>
      </c>
      <c r="V409" s="129">
        <f>IFERROR(_xlfn.TEXTBEFORE(_xlfn.TEXTAFTER(U409,"Descrição do problema:&lt;/strong"),"&lt;/p&gt;"),_xlfn.TEXTAFTER(U409,"Descrição do problema:&lt;/strong"))</f>
        <v/>
      </c>
      <c r="W409" s="130">
        <f>_xlfn.CONCAT(D409:E409)</f>
        <v/>
      </c>
      <c r="X409" s="77" t="n"/>
      <c r="Y409" s="131">
        <f>IF(X409="","Aberto","Encerrado")</f>
        <v/>
      </c>
      <c r="Z409" s="131">
        <f>IF(OR(L409="PENDENTE",L409="EM ANDAMENTO",L409="PENDENTE APROVAÇÃO CANCELAMENTO NF"),TODAY()-O409,X409-O409)</f>
        <v/>
      </c>
      <c r="AA409" s="131">
        <f>IF(Y409="Aberto",Z409+ROW()/100000,"")</f>
        <v/>
      </c>
      <c r="AB409" s="2">
        <f>IF(ISNUMBER(FIND("@cielo.com.br",S409)),"Interno","Externo")</f>
        <v/>
      </c>
      <c r="AD409" t="inlineStr"/>
      <c r="AJ409" t="inlineStr">
        <is>
          <t>Sem correspondência</t>
        </is>
      </c>
      <c r="AK409" t="b">
        <v>0</v>
      </c>
      <c r="AN409">
        <f>IF(OR(AG409="",AM409=""),"",IF(AG409=AM409,"SIM","NÃO"))</f>
        <v/>
      </c>
      <c r="AO409" t="inlineStr">
        <is>
          <t>NO_PATTERN</t>
        </is>
      </c>
    </row>
    <row r="410" ht="15.5" customHeight="1">
      <c r="B410" s="132" t="inlineStr">
        <is>
          <t>Amanda Silva</t>
        </is>
      </c>
      <c r="C410" s="122">
        <f>VLOOKUP(I:I,'Referencias '!H:I,2,0)</f>
        <v/>
      </c>
      <c r="D410" s="129" t="n">
        <v>27608241</v>
      </c>
      <c r="E410" s="129" t="inlineStr">
        <is>
          <t>0</t>
        </is>
      </c>
      <c r="F410" s="126" t="inlineStr">
        <is>
          <t>2626512203836</t>
        </is>
      </c>
      <c r="G410" s="126" t="inlineStr">
        <is>
          <t>MICHEL REIPS LTDA</t>
        </is>
      </c>
      <c r="H410" s="126">
        <f>TRIM(_xlfn.TEXTBEFORE(_xlfn.TEXTAFTER(U410,"CNPJ/CPF:&lt;/strong&gt;"),"&lt;/p&gt;"))</f>
        <v/>
      </c>
      <c r="I410" s="122" t="inlineStr">
        <is>
          <t>Cancelamento de NF</t>
        </is>
      </c>
      <c r="J410" s="126" t="n"/>
      <c r="K410" s="126" t="n"/>
      <c r="L410" s="122" t="inlineStr">
        <is>
          <t>PENDENTE</t>
        </is>
      </c>
      <c r="M410" s="127" t="inlineStr">
        <is>
          <t>Médio</t>
        </is>
      </c>
      <c r="N410" s="129" t="inlineStr">
        <is>
          <t>1018 Financeiro | Desejo falar com o setor financeiro | MICHEL REIPS LTDA | ariane.pasilva@cielo.com.br</t>
        </is>
      </c>
      <c r="O410" s="125" t="inlineStr">
        <is>
          <t>22/09/2026</t>
        </is>
      </c>
      <c r="P410" s="123" t="inlineStr">
        <is>
          <t>23/09/2026</t>
        </is>
      </c>
      <c r="Q410" s="178">
        <f>TEXT(O410,"mmm/aaaa")</f>
        <v/>
      </c>
      <c r="R410" s="129" t="inlineStr">
        <is>
          <t>ECOMMERCE BP SUPORTE FINANCEIRO N2</t>
        </is>
      </c>
      <c r="S410" s="129" t="inlineStr">
        <is>
          <t>ariane.pasilva@cielo.com.br</t>
        </is>
      </c>
      <c r="T410" s="129" t="inlineStr"/>
      <c r="U410" s="129" t="inlineStr">
        <is>
          <t>Olá, segue formulário enviado para Cielo E-commerce:&lt;p&gt;&lt;strong&gt;Qual seu nome?:&lt;/strong&gt; MICHEL REIPS LTDA&lt;/p&gt;&lt;p&gt;&lt;strong&gt;CNPJ/CPF:&lt;/strong&gt; 59.186.949/0001-70&lt;/p&gt;&lt;p&gt;&lt;strong&gt;Endereço de e-mail:&lt;/strong&gt; ariane.pasilva@cielo.com.br&lt;/p&gt;&lt;p&gt;&lt;strong&gt;Telefone:&lt;/strong&gt; (11) 9777-1602&lt;/p&gt;&lt;p&gt;&lt;strong&gt;Assunto:&lt;/strong&gt; EMISSÃO SETUP&lt;/p&gt;&lt;p&gt;&lt;strong&gt;Merchant ID/Estabelecimento Comercial (EC):&lt;/strong&gt; 59186949000170&lt;/p&gt;&lt;p&gt;&lt;strong&gt;Sobre qual produto ou área deseja falar?:&lt;/strong&gt; Financeiro&lt;/p&gt;&lt;p&gt;&lt;strong&gt;Como podemos te ajudar?:&lt;/strong&gt; Desejo falar com o setor financeiro&lt;/p&gt;&lt;p&gt;&lt;strong&gt;Descrição do problema:&lt;/strong&gt; Time financeiro, boa tarde. Tudo bem?
Por favor cancelar a nota de setup:122827
 e emitir uma nova no valor correto: R$ 3.346,00.
DA comercial em anexo.&lt;/p&gt;&lt;p&gt;&lt;strong&gt;GA Client ID:&lt;/strong&gt; 9342157.1788180899&lt;/p&gt;&lt;p&gt;&lt;strong&gt;Lead Hash ID:&lt;/strong&gt; 2a07344672c93c9ca782cc07cf9dc37d0cd4c270e817a83b9f87f9b32f0130a9&lt;/p&gt;&lt;p&gt;&lt;strong&gt;Lead Form ID:&lt;/strong&gt; 2a07344672c93c9ca782cc07cf9dc37d0cd4c27</t>
        </is>
      </c>
      <c r="V410" s="129">
        <f>IFERROR(_xlfn.TEXTBEFORE(_xlfn.TEXTAFTER(U410,"Descrição do problema:&lt;/strong"),"&lt;/p&gt;"),_xlfn.TEXTAFTER(U410,"Descrição do problema:&lt;/strong"))</f>
        <v/>
      </c>
      <c r="W410" s="130">
        <f>_xlfn.CONCAT(D410:E410)</f>
        <v/>
      </c>
      <c r="X410" s="77" t="n"/>
      <c r="Y410" s="131">
        <f>IF(X410="","Aberto","Encerrado")</f>
        <v/>
      </c>
      <c r="Z410" s="131">
        <f>IF(OR(L410="PENDENTE",L410="EM ANDAMENTO",L410="PENDENTE APROVAÇÃO CANCELAMENTO NF"),TODAY()-O410,X410-O410)</f>
        <v/>
      </c>
      <c r="AA410" s="131">
        <f>IF(Y410="Aberto",Z410+ROW()/100000,"")</f>
        <v/>
      </c>
      <c r="AB410" s="2">
        <f>IF(ISNUMBER(FIND("@cielo.com.br",S410)),"Interno","Externo")</f>
        <v/>
      </c>
      <c r="AC410" t="inlineStr">
        <is>
          <t>Cancelar, substituir ou reemitir nota fiscal.</t>
        </is>
      </c>
      <c r="AD410" t="inlineStr">
        <is>
          <t>favor cancelar a nota</t>
        </is>
      </c>
      <c r="AE410" t="inlineStr">
        <is>
          <t>Cancelamento de NF</t>
        </is>
      </c>
      <c r="AF410" t="inlineStr">
        <is>
          <t>Documento Fiscal</t>
        </is>
      </c>
      <c r="AG410" t="inlineStr">
        <is>
          <t>Cancelamento e Reemissão de Nota Fiscal</t>
        </is>
      </c>
      <c r="AI410" t="inlineStr">
        <is>
          <t>INT_NF_CANCEL_REEMISSAO</t>
        </is>
      </c>
      <c r="AJ410" t="inlineStr">
        <is>
          <t>Sugerida</t>
        </is>
      </c>
      <c r="AK410" t="b">
        <v>0</v>
      </c>
      <c r="AN410">
        <f>IF(OR(AG410="",AM410=""),"",IF(AG410=AM410,"SIM","NÃO"))</f>
        <v/>
      </c>
      <c r="AO410" t="inlineStr">
        <is>
          <t>CLASSIFIED_PATTERN</t>
        </is>
      </c>
    </row>
    <row r="411" ht="15.5" customHeight="1">
      <c r="B411" s="132" t="inlineStr">
        <is>
          <t>Emilly Maria</t>
        </is>
      </c>
      <c r="C411" s="122">
        <f>VLOOKUP(I:I,'Referencias '!H:I,2,0)</f>
        <v/>
      </c>
      <c r="D411" s="129" t="n">
        <v>27558945</v>
      </c>
      <c r="E411" s="129" t="inlineStr">
        <is>
          <t>0</t>
        </is>
      </c>
      <c r="F411" s="126" t="inlineStr">
        <is>
          <t>2626414172285</t>
        </is>
      </c>
      <c r="G411" s="126">
        <f>VLOOKUP(H:H,'Referencias '!B:C,2,0)</f>
        <v/>
      </c>
      <c r="H411" s="126">
        <f>TRIM(_xlfn.TEXTBEFORE(_xlfn.TEXTAFTER(U411,"CNPJ/CPF:&lt;/strong&gt;"),"&lt;/p&gt;"))</f>
        <v/>
      </c>
      <c r="I411" s="122" t="inlineStr">
        <is>
          <t>Contestação de cobrança</t>
        </is>
      </c>
      <c r="J411" s="126" t="n"/>
      <c r="K411" s="126" t="n"/>
      <c r="L411" s="122" t="inlineStr">
        <is>
          <t>PENDENTE</t>
        </is>
      </c>
      <c r="M411" s="127" t="inlineStr">
        <is>
          <t>Médio</t>
        </is>
      </c>
      <c r="N411" s="129" t="inlineStr">
        <is>
          <t>1018 Financeiro | Desejo falar com o setor financeiro | Rodrigo Alves Costa | rodrigo@pousadaportomare.com.br</t>
        </is>
      </c>
      <c r="O411" s="125" t="inlineStr">
        <is>
          <t>21/09/2026</t>
        </is>
      </c>
      <c r="P411" s="123" t="inlineStr">
        <is>
          <t>21/09/2026</t>
        </is>
      </c>
      <c r="Q411" s="178">
        <f>TEXT(O411,"mmm/aaaa")</f>
        <v/>
      </c>
      <c r="R411" s="129" t="inlineStr">
        <is>
          <t>ECOMMERCE BP SUPORTE FINANCEIRO N2</t>
        </is>
      </c>
      <c r="S411" s="129" t="inlineStr">
        <is>
          <t>rodrigo@pousadaportomare.com.br</t>
        </is>
      </c>
      <c r="T411" s="129" t="inlineStr">
        <is>
          <t>POUSADA PORTO MARE</t>
        </is>
      </c>
      <c r="U411" s="129" t="inlineStr">
        <is>
          <t>Olá, segue formulário enviado para Cielo E-commerce:&lt;p&gt;&lt;strong&gt;Qual seu nome?:&lt;/strong&gt; Rodrigo Alves Costa&lt;/p&gt;&lt;p&gt;&lt;strong&gt;Endereço de e-mail:&lt;/strong&gt; rodrigo@pousadaportomare.com.br&lt;/p&gt;&lt;p&gt;&lt;strong&gt;CNPJ/CPF:&lt;/strong&gt; 08.071.439/0001-17&lt;/p&gt;&lt;p&gt;&lt;strong&gt;Telefone:&lt;/strong&gt; (12) 98137-0284&lt;/p&gt;&lt;p&gt;&lt;strong&gt;Assunto:&lt;/strong&gt; Cobrança em duplicidade&lt;/p&gt;&lt;p&gt;&lt;strong&gt;Merchant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Certo, essa nota 100160 a gente não recebeu e nem entrou no DDA, realmente precisamos acertar.
Agora as notas 116040 e 115796 estão cobrando valores em duplicidade. Veja a descrição da nota 116040:
E agora a descrição da nota 115796:
 As duas foram pagas dia 26/06/2026. Na nota 116040 foi cobrado 188,00 das transações antifraude referente ao período de 01/05/2026 à 31/05/20</t>
        </is>
      </c>
      <c r="V411" s="129">
        <f>IFERROR(_xlfn.TEXTBEFORE(_xlfn.TEXTAFTER(U411,"Descrição do problema:&lt;/strong"),"&lt;/p&gt;"),_xlfn.TEXTAFTER(U411,"Descrição do problema:&lt;/strong"))</f>
        <v/>
      </c>
      <c r="W411" s="130">
        <f>_xlfn.CONCAT(D411:E411)</f>
        <v/>
      </c>
      <c r="X411" s="77" t="n"/>
      <c r="Y411" s="131">
        <f>IF(X411="","Aberto","Encerrado")</f>
        <v/>
      </c>
      <c r="Z411" s="131">
        <f>IF(OR(L411="PENDENTE",L411="EM ANDAMENTO",L411="PENDENTE APROVAÇÃO CANCELAMENTO NF"),TODAY()-O411,X411-O411)</f>
        <v/>
      </c>
      <c r="AA411" s="131">
        <f>IF(Y411="Aberto",Z411+ROW()/100000,"")</f>
        <v/>
      </c>
      <c r="AB411" s="2">
        <f>IF(ISNUMBER(FIND("@cielo.com.br",S411)),"Interno","Externo")</f>
        <v/>
      </c>
      <c r="AC411" t="inlineStr">
        <is>
          <t>Corrigir cobrança ou pagamento em duplicidade.</t>
        </is>
      </c>
      <c r="AD411" t="inlineStr">
        <is>
          <t>cobrança em duplicidade; valores em duplicidade; cobrança + duplicidade; notas + duplicidade</t>
        </is>
      </c>
      <c r="AE411" t="inlineStr">
        <is>
          <t>Duplicidade de cobrança</t>
        </is>
      </c>
      <c r="AF411" t="inlineStr">
        <is>
          <t>Valor Cobrado</t>
        </is>
      </c>
      <c r="AG411" t="inlineStr">
        <is>
          <t>Cobrança e Contestação</t>
        </is>
      </c>
      <c r="AI411" t="inlineStr">
        <is>
          <t>INT_COB_DUPLICIDADE</t>
        </is>
      </c>
      <c r="AJ411" t="inlineStr">
        <is>
          <t>Sugerida</t>
        </is>
      </c>
      <c r="AK411" t="b">
        <v>0</v>
      </c>
      <c r="AN411">
        <f>IF(OR(AG411="",AM411=""),"",IF(AG411=AM411,"SIM","NÃO"))</f>
        <v/>
      </c>
      <c r="AO411" t="inlineStr">
        <is>
          <t>CLASSIFIED_PATTERN</t>
        </is>
      </c>
    </row>
    <row r="412" ht="15.5" customHeight="1">
      <c r="B412" s="132" t="inlineStr">
        <is>
          <t>Amanda Silva</t>
        </is>
      </c>
      <c r="C412" s="122" t="inlineStr">
        <is>
          <t>Cobrança e Contestação</t>
        </is>
      </c>
      <c r="D412" s="129" t="n">
        <v>27749029</v>
      </c>
      <c r="E412" s="129" t="inlineStr">
        <is>
          <t>0</t>
        </is>
      </c>
      <c r="F412" s="126" t="inlineStr">
        <is>
          <t>2626717293506</t>
        </is>
      </c>
      <c r="G412" s="126">
        <f>VLOOKUP(H:H,'Referencias '!B:C,2,0)</f>
        <v/>
      </c>
      <c r="H412" s="126">
        <f>TRIM(_xlfn.TEXTBEFORE(_xlfn.TEXTAFTER(U412,"CNPJ/CPF:&lt;/strong&gt;"),"&lt;/p&gt;"))</f>
        <v/>
      </c>
      <c r="I412" s="122" t="inlineStr">
        <is>
          <t>Dúvida cobrança</t>
        </is>
      </c>
      <c r="J412" s="126" t="n"/>
      <c r="K412" s="126" t="n"/>
      <c r="L412" s="122" t="inlineStr">
        <is>
          <t>PENDENTE</t>
        </is>
      </c>
      <c r="M412" s="127" t="inlineStr">
        <is>
          <t>Médio</t>
        </is>
      </c>
      <c r="N412" s="129" t="inlineStr">
        <is>
          <t>1018 Financeiro | Desejo falar com o setor financeiro | Caroline Mendes | carolineal@cielo.com.br</t>
        </is>
      </c>
      <c r="O412" s="125" t="inlineStr">
        <is>
          <t>24/09/2026</t>
        </is>
      </c>
      <c r="P412" s="123" t="inlineStr">
        <is>
          <t>24/09/2026</t>
        </is>
      </c>
      <c r="Q412" s="178">
        <f>TEXT(O412,"mmm/aaaa")</f>
        <v/>
      </c>
      <c r="R412" s="129" t="inlineStr">
        <is>
          <t>ECOMMERCE BP SUPORTE FINANCEIRO N2</t>
        </is>
      </c>
      <c r="S412" s="129" t="inlineStr">
        <is>
          <t>carolineal@cielo.com.br</t>
        </is>
      </c>
      <c r="T412" s="129" t="inlineStr">
        <is>
          <t>MEGAMAXX</t>
        </is>
      </c>
      <c r="U412" s="129" t="inlineStr">
        <is>
          <t>Olá, segue formulário enviado para Cielo E-commerce:&lt;p&gt;&lt;strong&gt;Qual seu nome?:&lt;/strong&gt; Caroline Mendes&lt;/p&gt;&lt;p&gt;&lt;strong&gt;Endereço de e-mail:&lt;/strong&gt; carolineal@cielo.com.br&lt;/p&gt;&lt;p&gt;&lt;strong&gt;Descrição do problema:&lt;/strong&gt; Boa tarde pessoal,
Precisamos de ajuda com o boleto pago, 0090018398
A nota é do mês passado e não pode ser lançada em outro mês. Além disso ela tem retenção.
favor cancelar e emitir uma nova NF
Obrigada!&lt;/p&gt;&lt;p&gt;&lt;strong&gt;CNPJ/CPF:&lt;/strong&gt; 05.164.667/0007-39&lt;/p&gt;&lt;p&gt;&lt;strong&gt;Telefone:&lt;/strong&gt; (11) 4771-3284&lt;/p&gt;&lt;p&gt;&lt;strong&gt;Assunto:&lt;/strong&gt; Reenvio de NF&lt;/p&gt;&lt;p&gt;&lt;strong&gt;Merchant ID/Estabelecimento Comercial (EC):&lt;/strong&gt; 05.164.667/0007-39&lt;/p&gt;&lt;p&gt;&lt;strong&gt;Sobre qual produto ou área deseja falar?:&lt;/strong&gt; Financeiro&lt;/p&gt;&lt;p&gt;&lt;strong&gt;Como podemos te ajudar?:&lt;/strong&gt; Desejo falar com o setor financeiro&lt;/p&gt;&lt;p&gt;&lt;strong&gt;GA Client ID:&lt;/strong&gt; 1324974709.1764694782&lt;/p&gt;&lt;p&gt;&lt;strong&gt;Lead Hash ID:&lt;/strong&gt; 5de3ee21145b832194bc3dc71743625a751e89d7eefdce9a43e728c8df0aa32d&lt;/p&gt;&lt;p&gt;&lt;strong&gt;Lead Fo</t>
        </is>
      </c>
      <c r="V412" s="129">
        <f>IFERROR(_xlfn.TEXTBEFORE(_xlfn.TEXTAFTER(U412,"Descrição do problema:&lt;/strong"),"&lt;/p&gt;"),_xlfn.TEXTAFTER(U412,"Descrição do problema:&lt;/strong"))</f>
        <v/>
      </c>
      <c r="W412" s="130">
        <f>_xlfn.CONCAT(D412:E412)</f>
        <v/>
      </c>
      <c r="X412" s="121" t="n"/>
      <c r="Y412" s="131">
        <f>IF(X412="","Aberto","Encerrado")</f>
        <v/>
      </c>
      <c r="Z412" s="131">
        <f>IF(OR(L412="PENDENTE",L412="EM ANDAMENTO",L412="PENDENTE APROVAÇÃO CANCELAMENTO NF"),TODAY()-O412,X412-O412)</f>
        <v/>
      </c>
      <c r="AA412" s="131">
        <f>IF(Y412="Aberto",Z412+ROW()/100000,"")</f>
        <v/>
      </c>
      <c r="AB412" s="2">
        <f>IF(ISNUMBER(FIND("@cielo.com.br",S412)),"Interno","Externo")</f>
        <v/>
      </c>
      <c r="AD412" t="inlineStr">
        <is>
          <t>ACAO:CANCELAR; OBJETO:BOLETO; OBJETO:NOTA_FISCAL</t>
        </is>
      </c>
      <c r="AJ412" t="inlineStr">
        <is>
          <t>Ambígua</t>
        </is>
      </c>
      <c r="AK412" t="b">
        <v>1</v>
      </c>
      <c r="AN412">
        <f>IF(OR(AG412="",AM412=""),"",IF(AG412=AM412,"SIM","NÃO"))</f>
        <v/>
      </c>
      <c r="AO412" t="inlineStr">
        <is>
          <t>AMBIGUOUS_CAUSE</t>
        </is>
      </c>
    </row>
    <row r="413" ht="15.5" customHeight="1">
      <c r="B413" s="132" t="inlineStr">
        <is>
          <t>Emilly Maria</t>
        </is>
      </c>
      <c r="C413" s="122" t="inlineStr">
        <is>
          <t>Cobrança e Contestação</t>
        </is>
      </c>
      <c r="D413" s="129" t="n">
        <v>27713605</v>
      </c>
      <c r="E413" s="129" t="inlineStr">
        <is>
          <t>0</t>
        </is>
      </c>
      <c r="F413" s="126" t="inlineStr">
        <is>
          <t>2626710271129</t>
        </is>
      </c>
      <c r="G413" s="126">
        <f>VLOOKUP(H:H,'Referencias '!B:C,2,0)</f>
        <v/>
      </c>
      <c r="H413" s="126">
        <f>TRIM(_xlfn.TEXTBEFORE(_xlfn.TEXTAFTER(U413,"CNPJ/CPF:&lt;/strong&gt;"),"&lt;/p&gt;"))</f>
        <v/>
      </c>
      <c r="I413" s="122" t="inlineStr">
        <is>
          <t>Confirmar cobrança Split</t>
        </is>
      </c>
      <c r="J413" s="126" t="n"/>
      <c r="K413" s="126" t="n"/>
      <c r="L413" s="122" t="inlineStr">
        <is>
          <t>PENDENTE</t>
        </is>
      </c>
      <c r="M413" s="127" t="inlineStr">
        <is>
          <t>Médio</t>
        </is>
      </c>
      <c r="N413" s="129" t="inlineStr">
        <is>
          <t>1018 Financeiro | Desejo falar com o setor financeiro | Júlia Angelozzi | julia.djesus@cielo.com.br</t>
        </is>
      </c>
      <c r="O413" s="125" t="inlineStr">
        <is>
          <t>24/09/2026</t>
        </is>
      </c>
      <c r="P413" s="123" t="inlineStr">
        <is>
          <t>25/09/2026</t>
        </is>
      </c>
      <c r="Q413" s="178">
        <f>TEXT(O413,"mmm/aaaa")</f>
        <v/>
      </c>
      <c r="R413" s="129" t="inlineStr">
        <is>
          <t>ECOMMERCE BP SUPORTE FINANCEIRO N2</t>
        </is>
      </c>
      <c r="S413" s="129" t="inlineStr">
        <is>
          <t>vnuadn@prestadorcbmp.com.br</t>
        </is>
      </c>
      <c r="T413" s="129" t="inlineStr"/>
      <c r="U413" s="129" t="inlineStr">
        <is>
          <t>Errata!
Chamado pai de correção, sobre o fechamento indevido do chamado: 26727039.
Tratamento pendente.
Olá, segue formulário enviado para Cielo E-commerce:
Qual seu nome?: Júlia Angelozzi
Endereço de e-mail: julia.djesus@cielo.com.br&lt;mailto:julia.djesus@cielo.com.br&gt;
CNPJ/CPF: 35.382.630/0001-52
Telefone: (11) 94452-6362
Assunto: Cobrança de setup por chave de loja
Merchant ID/Estabelecimento Comercial (EC): n/a
Sobre qual produto ou área deseja falar?: Financeiro
Como podemos te ajudar?: Desejo falar com o setor financeiro
Descrição do problema: Time, preciso que gerem uma cobrança de setup para o cliente por geração de chave de loja 35.382.630/0001-52, SUCESSO EVENTOS LOCACAO DE AUDIO E VIDEO LTDA. Estou anexando o aditivo.
GA Client ID: 1748044628.1765558654
Lead Hash ID: 3dc5c78ff78351c9b79cf06b80b413fa18042906d6688441ed3158eb1146368f
Lead Form ID: 3dc5c78ff78351c9b79cf06b80b413fa18042906d6688441ed3158eb1146368f.1788209102825
-json-{ "infoClientes": [ { "nomeCliente": "J\u00f</t>
        </is>
      </c>
      <c r="V413" s="129">
        <f>IFERROR(_xlfn.TEXTBEFORE(_xlfn.TEXTAFTER(U413,"Descrição do problema:&lt;/strong"),"&lt;/p&gt;"),_xlfn.TEXTAFTER(U413,"Descrição do problema:&lt;/strong"))</f>
        <v/>
      </c>
      <c r="W413" s="130">
        <f>_xlfn.CONCAT(D413:E413)</f>
        <v/>
      </c>
      <c r="X413" s="121" t="n"/>
      <c r="Y413" s="131">
        <f>IF(X413="","Aberto","Encerrado")</f>
        <v/>
      </c>
      <c r="Z413" s="131">
        <f>IF(OR(L413="PENDENTE",L413="EM ANDAMENTO",L413="PENDENTE APROVAÇÃO CANCELAMENTO NF"),TODAY()-O413,X413-O413)</f>
        <v/>
      </c>
      <c r="AA413" s="131">
        <f>IF(Y413="Aberto",Z413+ROW()/100000,"")</f>
        <v/>
      </c>
      <c r="AB413" s="2">
        <f>IF(ISNUMBER(FIND("@cielo.com.br",S413)),"Interno","Externo")</f>
        <v/>
      </c>
      <c r="AC413" t="inlineStr">
        <is>
          <t>Questionar ou corrigir cobrança de setup, taxa ou chave de loja.</t>
        </is>
      </c>
      <c r="AD413" t="inlineStr">
        <is>
          <t>cobrança de setup; cobrança + setup</t>
        </is>
      </c>
      <c r="AE413" t="inlineStr">
        <is>
          <t>Cobrança de setup</t>
        </is>
      </c>
      <c r="AF413" t="inlineStr">
        <is>
          <t>Valor Cobrado</t>
        </is>
      </c>
      <c r="AG413" t="inlineStr">
        <is>
          <t>Cobrança e Contestação</t>
        </is>
      </c>
      <c r="AI413" t="inlineStr">
        <is>
          <t>INT_COB_SETUP</t>
        </is>
      </c>
      <c r="AJ413" t="inlineStr">
        <is>
          <t>Sugerida</t>
        </is>
      </c>
      <c r="AK413" t="b">
        <v>0</v>
      </c>
      <c r="AN413">
        <f>IF(OR(AG413="",AM413=""),"",IF(AG413=AM413,"SIM","NÃO"))</f>
        <v/>
      </c>
      <c r="AO413" t="inlineStr">
        <is>
          <t>CLASSIFIED_PATTERN</t>
        </is>
      </c>
    </row>
    <row r="414">
      <c r="B414" s="132" t="inlineStr"/>
      <c r="C414" s="122" t="inlineStr">
        <is>
          <t>Cobrança e Contestação</t>
        </is>
      </c>
      <c r="D414" s="129" t="n">
        <v>27777709</v>
      </c>
      <c r="E414" s="129" t="n">
        <v>0</v>
      </c>
      <c r="F414" s="126" t="n">
        <v>2626812311828</v>
      </c>
      <c r="G414" s="126">
        <f>VLOOKUP(H:H,'Referencias '!B:C,2,0)</f>
        <v/>
      </c>
      <c r="H414" s="126">
        <f>TRIM(_xlfn.TEXTBEFORE(_xlfn.TEXTAFTER(U414,"CNPJ/CPF:&lt;/strong&gt;"),"&lt;/p&gt;"))</f>
        <v/>
      </c>
      <c r="I414" s="122" t="inlineStr">
        <is>
          <t>Contestação/Divergência de Cobrança</t>
        </is>
      </c>
      <c r="J414" s="126" t="inlineStr"/>
      <c r="K414" s="126" t="inlineStr"/>
      <c r="L414" s="122" t="inlineStr">
        <is>
          <t>Em Roteamento</t>
        </is>
      </c>
      <c r="M414" s="127" t="inlineStr"/>
      <c r="N414" s="129" t="inlineStr">
        <is>
          <t>1018 Financeiro | Desejo falar com o setor financeiro | Mariane Oliveira dos Santos | mariane.santos@cielo.com.br</t>
        </is>
      </c>
      <c r="O414" s="125" t="inlineStr">
        <is>
          <t>25/09/2026</t>
        </is>
      </c>
      <c r="P414" s="123" t="inlineStr">
        <is>
          <t>28/09/2026</t>
        </is>
      </c>
      <c r="Q414" s="178">
        <f>TEXT(O414,"mmm/aaaa")</f>
        <v/>
      </c>
      <c r="R414" s="129" t="inlineStr">
        <is>
          <t>ECOMMERCE BP SUPORTE FINANCEIRO N2</t>
        </is>
      </c>
      <c r="S414" s="129" t="inlineStr">
        <is>
          <t>mariane.santos@cielo.com.br</t>
        </is>
      </c>
      <c r="T414" s="129" t="inlineStr">
        <is>
          <t>FARMACIA DE MANIPULACAO PETLOVE</t>
        </is>
      </c>
      <c r="U414" s="129" t="inlineStr">
        <is>
          <t>Olá, segue formulário enviado para Cielo E-commerce:&lt;p&gt;&lt;strong&gt;Qual seu nome?:&lt;/strong&gt; Mariane Oliveira dos Santos&lt;/p&gt;&lt;p&gt;&lt;strong&gt;Endereço de e-mail:&lt;/strong&gt; mariane.santos@cielo.com.br&lt;/p&gt;&lt;p&gt;&lt;strong&gt;CNPJ/CPF:&lt;/strong&gt; 19.726.259/0001-42&lt;/p&gt;&lt;p&gt;&lt;strong&gt;Telefone:&lt;/strong&gt; (11) 98407-1789&lt;/p&gt;&lt;p&gt;&lt;strong&gt;Assunto:&lt;/strong&gt; Número de transações NF&lt;/p&gt;&lt;p&gt;&lt;strong&gt;Merchant ID/Estabelecimento Comercial (EC):&lt;/strong&gt; a06522b1-8b88-4436-9481-cc9f50a26987&lt;/p&gt;&lt;p&gt;&lt;strong&gt;Descrição do problema:&lt;/strong&gt; Na NF referente ao período de 26/07 à 25/08 foi contabilizado 0 transações, porém entrei no portal para verificar e o cliente fez 846 transações (segue o relatório em anexo).
Precisamos identificar o que está gerando essa divergência&lt;/p&gt;&lt;p&gt;&lt;strong&gt;ID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t>
        </is>
      </c>
      <c r="V414" s="129">
        <f>IFERROR(_xlfn.TEXTBEFORE(_xlfn.TEXTAFTER(U414,"Descrição do problema:&lt;/strong"),"&lt;/p&gt;"),_xlfn.TEXTAFTER(U414,"Descrição do problema:&lt;/strong"))</f>
        <v/>
      </c>
      <c r="W414" s="130">
        <f>_xlfn.CONCAT(D414:E414)</f>
        <v/>
      </c>
      <c r="X414" s="121" t="inlineStr"/>
      <c r="Y414" s="131">
        <f>IF(X414="","Aberto","Encerrado")</f>
        <v/>
      </c>
      <c r="Z414" s="131">
        <f>IF(OR(L414="PENDENTE",L414="EM ANDAMENTO",L414="PENDENTE APROVAÇÃO CANCELAMENTO NF"),TODAY()-O414,X414-O414)</f>
        <v/>
      </c>
      <c r="AA414" s="131">
        <f>IF(Y414="Aberto",Z414+ROW()/100000,"")</f>
        <v/>
      </c>
      <c r="AB414" s="2">
        <f>IF(ISNUMBER(FIND("@cielo.com.br",S414)),"Interno","Externo")</f>
        <v/>
      </c>
      <c r="AC414" t="inlineStr">
        <is>
          <t>Contestar divergência, valor ou critério de cobrança.</t>
        </is>
      </c>
      <c r="AD414" t="inlineStr">
        <is>
          <t>divergência + transações; relatório + nf + divergência</t>
        </is>
      </c>
      <c r="AE414" t="inlineStr">
        <is>
          <t>Contestação de cobrança</t>
        </is>
      </c>
      <c r="AF414" t="inlineStr">
        <is>
          <t>Valor Cobrado</t>
        </is>
      </c>
      <c r="AG414" t="inlineStr">
        <is>
          <t>Cobrança e Contestação</t>
        </is>
      </c>
      <c r="AI414" t="inlineStr">
        <is>
          <t>INT_COB_CONTESTACAO</t>
        </is>
      </c>
      <c r="AJ414" t="inlineStr">
        <is>
          <t>Sugerida</t>
        </is>
      </c>
      <c r="AK414" t="b">
        <v>0</v>
      </c>
      <c r="AN414">
        <f>IF(OR(AG414="",AM414=""),"",IF(AG414=AM414,"SIM","NÃO"))</f>
        <v/>
      </c>
      <c r="AO414" t="inlineStr">
        <is>
          <t>CLASSIFIED_PATTERN</t>
        </is>
      </c>
    </row>
    <row r="415">
      <c r="B415" s="132" t="inlineStr"/>
      <c r="C415" s="122" t="inlineStr">
        <is>
          <t>Cobrança e Contestação</t>
        </is>
      </c>
      <c r="D415" s="129" t="n">
        <v>27771307</v>
      </c>
      <c r="E415" s="129" t="n">
        <v>0</v>
      </c>
      <c r="F415" s="126" t="n">
        <v>2626811307849</v>
      </c>
      <c r="G415" s="126">
        <f>VLOOKUP(H:H,'Referencias '!B:C,2,0)</f>
        <v/>
      </c>
      <c r="H415" s="126">
        <f>TRIM(_xlfn.TEXTBEFORE(_xlfn.TEXTAFTER(U415,"CNPJ/CPF:&lt;/strong&gt;"),"&lt;/p&gt;"))</f>
        <v/>
      </c>
      <c r="I415" s="122" t="inlineStr">
        <is>
          <t>Duplicidade de Cobrança</t>
        </is>
      </c>
      <c r="J415" s="126" t="inlineStr"/>
      <c r="K415" s="126" t="inlineStr"/>
      <c r="L415" s="122" t="inlineStr">
        <is>
          <t>Em Tratamento</t>
        </is>
      </c>
      <c r="M415" s="127" t="inlineStr"/>
      <c r="N415" s="129" t="inlineStr">
        <is>
          <t>1018 Financeiro | Desejo falar com o setor financeiro | BANCO INTER S.A | ariane.pasilva@cielo.com.br</t>
        </is>
      </c>
      <c r="O415" s="125" t="inlineStr">
        <is>
          <t>25/09/2026</t>
        </is>
      </c>
      <c r="P415" s="123" t="inlineStr">
        <is>
          <t>25/09/2026</t>
        </is>
      </c>
      <c r="Q415" s="178">
        <f>TEXT(O415,"mmm/aaaa")</f>
        <v/>
      </c>
      <c r="R415" s="129" t="inlineStr">
        <is>
          <t>Fatima Tavares Da Silva Dos Santos</t>
        </is>
      </c>
      <c r="S415" s="129" t="inlineStr">
        <is>
          <t>ariane.pasilva@cielo.com.br</t>
        </is>
      </c>
      <c r="T415" s="129" t="inlineStr">
        <is>
          <t>BANCO INTER SA</t>
        </is>
      </c>
      <c r="U415" s="129" t="inlineStr">
        <is>
          <t>Olá, segue formulário enviado para Cielo E-commerce:&lt;p&gt;&lt;strong&gt;Qual seu nome?:&lt;/strong&gt; BANCO INTER S.A&lt;/p&gt;&lt;p&gt;&lt;strong&gt;Endereço de e-mail:&lt;/strong&gt; ariane.pasilva@cielo.com.br&lt;/p&gt;&lt;p&gt;&lt;strong&gt;CNPJ/CPF:&lt;/strong&gt; 00.416.968/0001-01&lt;/p&gt;&lt;p&gt;&lt;strong&gt;Telefone:&lt;/strong&gt; (11) 97707-1602&lt;/p&gt;&lt;p&gt;&lt;strong&gt;Merchant ID/Estabelecimento Comercial (EC):&lt;/strong&gt; 00.416.968/0001-01&lt;/p&gt;&lt;p&gt;&lt;strong&gt;Assunto:&lt;/strong&gt; Emissão de notas erradas&lt;/p&gt;&lt;p&gt;&lt;strong&gt;Sobre qual produto ou área deseja falar?:&lt;/strong&gt; Financeiro&lt;/p&gt;&lt;p&gt;&lt;strong&gt;Como podemos te ajudar?:&lt;/strong&gt; Desejo falar com o setor financeiro&lt;/p&gt;&lt;p&gt;&lt;strong&gt;Descrição do problema:&lt;/strong&gt; Financeiro, bom dia. Tudo bem?
Por favor, preciso que corrijam as emissões realizadas indevidamente para o cliente INTER (Conta:1105).
1° O contrato do cliente prevê a cobrança do cartão protegido + gateway (pagador), os dois por apenas R$ 7.200, PORÉM FOI EMITIDO  duas notas apartadas:
120744 e 121068
2° O SETUP  foi cobrado errado (duplicado), no contrato é um setup p</t>
        </is>
      </c>
      <c r="V415" s="129">
        <f>IFERROR(_xlfn.TEXTBEFORE(_xlfn.TEXTAFTER(U415,"Descrição do problema:&lt;/strong"),"&lt;/p&gt;"),_xlfn.TEXTAFTER(U415,"Descrição do problema:&lt;/strong"))</f>
        <v/>
      </c>
      <c r="W415" s="130">
        <f>_xlfn.CONCAT(D415:E415)</f>
        <v/>
      </c>
      <c r="X415" s="121" t="inlineStr"/>
      <c r="Y415" s="131">
        <f>IF(X415="","Aberto","Encerrado")</f>
        <v/>
      </c>
      <c r="Z415" s="131">
        <f>IF(OR(L415="PENDENTE",L415="EM ANDAMENTO",L415="PENDENTE APROVAÇÃO CANCELAMENTO NF"),TODAY()-O415,X415-O415)</f>
        <v/>
      </c>
      <c r="AA415" s="131">
        <f>IF(Y415="Aberto",Z415+ROW()/100000,"")</f>
        <v/>
      </c>
      <c r="AB415" s="2">
        <f>IF(ISNUMBER(FIND("@cielo.com.br",S415)),"Interno","Externo")</f>
        <v/>
      </c>
      <c r="AC415" t="inlineStr">
        <is>
          <t>Questionar ou corrigir cobrança de setup, taxa ou chave de loja.</t>
        </is>
      </c>
      <c r="AD415" t="inlineStr">
        <is>
          <t>OBJETO:COBRANCA; OBJETO:CONTRATO; OBJETO:SETUP; CONTEXTO:DUPLICIDADE</t>
        </is>
      </c>
      <c r="AE415" t="inlineStr">
        <is>
          <t>Cobrança de setup</t>
        </is>
      </c>
      <c r="AF415" t="inlineStr">
        <is>
          <t>Valor Cobrado</t>
        </is>
      </c>
      <c r="AG415" t="inlineStr">
        <is>
          <t>Cobrança e Contestação</t>
        </is>
      </c>
      <c r="AI415" t="inlineStr">
        <is>
          <t>INT_COB_SETUP</t>
        </is>
      </c>
      <c r="AJ415" t="inlineStr">
        <is>
          <t>Sugerida</t>
        </is>
      </c>
      <c r="AK415" t="b">
        <v>0</v>
      </c>
      <c r="AN415">
        <f>IF(OR(AG415="",AM415=""),"",IF(AG415=AM415,"SIM","NÃO"))</f>
        <v/>
      </c>
      <c r="AO415" t="inlineStr">
        <is>
          <t>CLASSIFIED_SIGNATURE</t>
        </is>
      </c>
    </row>
  </sheetData>
  <conditionalFormatting sqref="D1:D1048576">
    <cfRule type="duplicateValues" priority="18" dxfId="30"/>
  </conditionalFormatting>
  <conditionalFormatting sqref="D5:D413">
    <cfRule type="duplicateValues" priority="20" dxfId="30"/>
    <cfRule type="duplicateValues" priority="34" dxfId="30"/>
  </conditionalFormatting>
  <conditionalFormatting sqref="D291:D302">
    <cfRule type="duplicateValues" priority="14" dxfId="30"/>
  </conditionalFormatting>
  <conditionalFormatting sqref="K129">
    <cfRule type="cellIs" priority="1" operator="equal" dxfId="29">
      <formula>"EM ANDAMENTO"</formula>
    </cfRule>
    <cfRule type="cellIs" priority="2" operator="equal" dxfId="31">
      <formula>"FINALIZADO"</formula>
    </cfRule>
    <cfRule type="cellIs" priority="3" operator="equal" dxfId="30">
      <formula>"PENDENTE"</formula>
    </cfRule>
  </conditionalFormatting>
  <conditionalFormatting sqref="L5:L413">
    <cfRule type="cellIs" priority="4" operator="equal" dxfId="29">
      <formula>"EM ANDAMENTO"</formula>
    </cfRule>
    <cfRule type="cellIs" priority="5" operator="equal" dxfId="31">
      <formula>"FINALIZADO"</formula>
    </cfRule>
    <cfRule type="cellIs" priority="6" operator="equal" dxfId="30">
      <formula>"PENDENTE"</formula>
    </cfRule>
  </conditionalFormatting>
  <conditionalFormatting sqref="F2:K2 L1:M3 L347:M356 L381:M1048576 M358:M359 M361:M362 M364:M365 M367:M368 M370:M371 M373:M374 M376:M377 M379:M382">
    <cfRule type="cellIs" priority="23" operator="equal" dxfId="31">
      <formula>"FINALIZADO"</formula>
    </cfRule>
    <cfRule type="cellIs" priority="24" operator="equal" dxfId="30">
      <formula>"PENDENTE"</formula>
    </cfRule>
  </conditionalFormatting>
  <conditionalFormatting sqref="L1:M3 L347:M356 L381:M1048576 M358:M359 M361:M362 M364:M365 M367:M368 M370:M371 M373:M374 M376:M377 M379:M382">
    <cfRule type="cellIs" priority="19" operator="equal" dxfId="29">
      <formula>"EM ANDAMENTO"</formula>
    </cfRule>
  </conditionalFormatting>
  <pageMargins left="0.7" right="0.7" top="0.75" bottom="0.75" header="0.3" footer="0.3"/>
  <headerFooter>
    <oddHeader/>
    <oddFooter>&amp;R&amp;"Aptos"&amp;10 &amp;K000000_x000d_# INFORMAÇÃO INTERNA</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2"/>
  <sheetViews>
    <sheetView workbookViewId="0">
      <selection activeCell="D1" sqref="D1"/>
    </sheetView>
  </sheetViews>
  <sheetFormatPr baseColWidth="8" defaultColWidth="17.6328125" defaultRowHeight="14.5"/>
  <cols>
    <col width="27.453125" bestFit="1" customWidth="1" min="12" max="12"/>
    <col width="20.08984375" customWidth="1" min="14" max="14"/>
    <col width="23.08984375" customWidth="1" min="15" max="15"/>
    <col width="27.08984375" customWidth="1" min="16" max="16"/>
  </cols>
  <sheetData>
    <row r="1" ht="15" customHeight="1" thickBot="1">
      <c r="A1" s="116" t="inlineStr">
        <is>
          <t>Solicitante</t>
        </is>
      </c>
      <c r="B1" s="116" t="inlineStr">
        <is>
          <t>Chamado</t>
        </is>
      </c>
      <c r="C1" s="116" t="inlineStr">
        <is>
          <t>Cliente</t>
        </is>
      </c>
      <c r="D1" s="117" t="inlineStr">
        <is>
          <t>Nome 1</t>
        </is>
      </c>
      <c r="E1" s="117" t="inlineStr">
        <is>
          <t>CPF/CNPJ</t>
        </is>
      </c>
      <c r="F1" s="117" t="inlineStr">
        <is>
          <t>Data NFSe</t>
        </is>
      </c>
      <c r="G1" s="117" t="inlineStr">
        <is>
          <t>Valor do contas a receber</t>
        </is>
      </c>
      <c r="H1" s="117" t="inlineStr">
        <is>
          <t>Montante de imposto</t>
        </is>
      </c>
      <c r="I1" s="117" t="inlineStr">
        <is>
          <t>Multa</t>
        </is>
      </c>
      <c r="J1" s="117" t="inlineStr">
        <is>
          <t>Juros</t>
        </is>
      </c>
      <c r="K1" s="118" t="inlineStr">
        <is>
          <t>Valor do boleto atualizado</t>
        </is>
      </c>
      <c r="L1" s="119" t="inlineStr">
        <is>
          <t>Justificativa do Cancelamento</t>
        </is>
      </c>
      <c r="M1" s="119" t="inlineStr">
        <is>
          <t>Ofensor</t>
        </is>
      </c>
      <c r="N1" s="119" t="inlineStr">
        <is>
          <t>DA Comercial Link</t>
        </is>
      </c>
      <c r="O1" s="119" t="inlineStr">
        <is>
          <t>DA Financeiro Link</t>
        </is>
      </c>
      <c r="P1" s="119" t="inlineStr">
        <is>
          <t>Cancelamento Efetivado</t>
        </is>
      </c>
    </row>
    <row r="2">
      <c r="N2" t="inlineStr">
        <is>
          <t xml:space="preserve">*Salvar na rede com o numero do chamado + cliente </t>
        </is>
      </c>
    </row>
  </sheetData>
  <pageMargins left="0.511811024" right="0.511811024" top="0.787401575" bottom="0.787401575" header="0.31496062" footer="0.31496062"/>
</worksheet>
</file>

<file path=xl/worksheets/sheet8.xml><?xml version="1.0" encoding="utf-8"?>
<worksheet xmlns="http://schemas.openxmlformats.org/spreadsheetml/2006/main">
  <sheetPr>
    <outlinePr summaryBelow="1" summaryRight="1"/>
    <pageSetUpPr/>
  </sheetPr>
  <dimension ref="B1:I3617"/>
  <sheetViews>
    <sheetView workbookViewId="0">
      <selection activeCell="C1" sqref="C1"/>
    </sheetView>
  </sheetViews>
  <sheetFormatPr baseColWidth="8" defaultRowHeight="14.5"/>
  <cols>
    <col width="24.453125" customWidth="1" style="55" min="2" max="2"/>
    <col width="30.54296875" customWidth="1" min="3" max="3"/>
  </cols>
  <sheetData>
    <row r="1" ht="17" customHeight="1" thickBot="1">
      <c r="B1" s="55" t="inlineStr">
        <is>
          <t>CNPJ</t>
        </is>
      </c>
      <c r="C1" t="inlineStr">
        <is>
          <t>Cliente</t>
        </is>
      </c>
      <c r="H1" s="56" t="inlineStr">
        <is>
          <t>Tema</t>
        </is>
      </c>
      <c r="I1" s="56" t="inlineStr">
        <is>
          <t>Macro Classificação</t>
        </is>
      </c>
    </row>
    <row r="2" ht="17" customHeight="1" thickBot="1">
      <c r="B2" s="55" t="inlineStr">
        <is>
          <t>00.247.997/0002-60</t>
        </is>
      </c>
      <c r="C2" t="inlineStr">
        <is>
          <t>RAYAR MALHAS E CONFECCOES LTDA</t>
        </is>
      </c>
      <c r="H2" s="57" t="inlineStr">
        <is>
          <t>Verificação Faturamento</t>
        </is>
      </c>
      <c r="I2" s="57" t="inlineStr">
        <is>
          <t>Faturamento e Obrigações Fiscais</t>
        </is>
      </c>
    </row>
    <row r="3" ht="17" customHeight="1" thickBot="1">
      <c r="B3" s="55" t="inlineStr">
        <is>
          <t>00.292.851/0001-55</t>
        </is>
      </c>
      <c r="C3" t="inlineStr">
        <is>
          <t>J TEXTIL COMERCIO DE TECIDOS E DECORACOES LTDA</t>
        </is>
      </c>
      <c r="H3" s="57" t="inlineStr">
        <is>
          <t>Cancelamento de NF</t>
        </is>
      </c>
      <c r="I3" s="57" t="inlineStr">
        <is>
          <t>Cancelamento e Reemissão de Nota Fiscal</t>
        </is>
      </c>
    </row>
    <row r="4" ht="17" customHeight="1" thickBot="1">
      <c r="B4" s="55" t="inlineStr">
        <is>
          <t>00.292.851/0001-55</t>
        </is>
      </c>
      <c r="C4" t="inlineStr">
        <is>
          <t>J TEXTIL COMERCIO DE TECIDOS E DECORACOES LTDA</t>
        </is>
      </c>
      <c r="H4" s="57" t="inlineStr">
        <is>
          <t>Cancelamento de Nota Fiscal</t>
        </is>
      </c>
      <c r="I4" s="57" t="inlineStr">
        <is>
          <t>Cancelamento e Reemissão de Nota Fiscal</t>
        </is>
      </c>
    </row>
    <row r="5" ht="17" customHeight="1" thickBot="1">
      <c r="B5" s="55" t="inlineStr">
        <is>
          <t>00.338.915/0001-01</t>
        </is>
      </c>
      <c r="C5" t="inlineStr">
        <is>
          <t>PAULISTA PRAIA HOTEL S/A</t>
        </is>
      </c>
      <c r="H5" s="57" t="inlineStr">
        <is>
          <t>Cancelamento de NF / reemissão</t>
        </is>
      </c>
      <c r="I5" s="57" t="inlineStr">
        <is>
          <t>Cancelamento e Reemissão de Nota Fiscal</t>
        </is>
      </c>
    </row>
    <row r="6" ht="17" customHeight="1" thickBot="1">
      <c r="B6" s="55" t="inlineStr">
        <is>
          <t>00.338.915/0001-01</t>
        </is>
      </c>
      <c r="C6" t="inlineStr">
        <is>
          <t>PAULISTA PRAIA HOTEL S/A</t>
        </is>
      </c>
      <c r="H6" s="57" t="inlineStr">
        <is>
          <t>Cancelamento de Nota Fiscal / Reemissão</t>
        </is>
      </c>
      <c r="I6" s="57" t="inlineStr">
        <is>
          <t>Cancelamento e Reemissão de Nota Fiscal</t>
        </is>
      </c>
    </row>
    <row r="7" ht="17" customHeight="1" thickBot="1">
      <c r="B7" s="55" t="inlineStr">
        <is>
          <t>00.353.071/0001-78</t>
        </is>
      </c>
      <c r="C7" t="inlineStr">
        <is>
          <t>SOPASSOS CALCADOS LTDA</t>
        </is>
      </c>
      <c r="H7" s="57" t="inlineStr">
        <is>
          <t>Cancelamento de NF / Reemissão (Mudança CNPJ)</t>
        </is>
      </c>
      <c r="I7" s="57" t="inlineStr">
        <is>
          <t>Cancelamento e Reemissão de Nota Fiscal</t>
        </is>
      </c>
    </row>
    <row r="8" ht="17" customHeight="1" thickBot="1">
      <c r="B8" s="55" t="inlineStr">
        <is>
          <t>00.356.399/0001-48</t>
        </is>
      </c>
      <c r="C8" t="inlineStr">
        <is>
          <t>ATMAN COMERCIO DE CALCADOS E PARTICIPACOES LTDA</t>
        </is>
      </c>
      <c r="H8" s="57" t="inlineStr">
        <is>
          <t>Cancelamento de NF / Reemissão (Incluir PO)</t>
        </is>
      </c>
      <c r="I8" s="57" t="inlineStr">
        <is>
          <t>Cancelamento e Reemissão de Nota Fiscal</t>
        </is>
      </c>
    </row>
    <row r="9" ht="17" customHeight="1" thickBot="1">
      <c r="B9" s="55" t="inlineStr">
        <is>
          <t>00.356.399/0001-48</t>
        </is>
      </c>
      <c r="C9" t="inlineStr">
        <is>
          <t>ATMAN COMERCIO DE CALCADOS E PARTICIPACOES LTDA</t>
        </is>
      </c>
      <c r="H9" s="57" t="inlineStr">
        <is>
          <t>Reemissão de NF (incluir PO)</t>
        </is>
      </c>
      <c r="I9" s="57" t="inlineStr">
        <is>
          <t>Cancelamento e Reemissão de Nota Fiscal</t>
        </is>
      </c>
    </row>
    <row r="10" ht="17" customHeight="1" thickBot="1">
      <c r="B10" s="55" t="inlineStr">
        <is>
          <t>00.416.968/0001-01</t>
        </is>
      </c>
      <c r="C10" t="inlineStr">
        <is>
          <t>BANCO INTER S.A</t>
        </is>
      </c>
      <c r="H10" s="57" t="inlineStr">
        <is>
          <t>Alterar data de emissão da NF</t>
        </is>
      </c>
      <c r="I10" s="57" t="inlineStr">
        <is>
          <t>Cancelamento e Reemissão de Nota Fiscal</t>
        </is>
      </c>
    </row>
    <row r="11" ht="17" customHeight="1" thickBot="1">
      <c r="B11" s="55" t="inlineStr">
        <is>
          <t>00.416.968/0001-01</t>
        </is>
      </c>
      <c r="C11" t="inlineStr">
        <is>
          <t>BANCO INTER S.A</t>
        </is>
      </c>
      <c r="H11" s="57" t="inlineStr">
        <is>
          <t>Mudança de código NF</t>
        </is>
      </c>
      <c r="I11" s="57" t="inlineStr">
        <is>
          <t>Cancelamento e Reemissão de Nota Fiscal</t>
        </is>
      </c>
    </row>
    <row r="12" ht="17" customHeight="1" thickBot="1">
      <c r="B12" s="55" t="inlineStr">
        <is>
          <t>00.416.968/0001-01</t>
        </is>
      </c>
      <c r="C12" t="inlineStr">
        <is>
          <t>BANCO INTER S.A</t>
        </is>
      </c>
      <c r="H12" s="57" t="inlineStr">
        <is>
          <t>Contestação de cobrança</t>
        </is>
      </c>
      <c r="I12" s="57" t="inlineStr">
        <is>
          <t>Cobrança e Contestação</t>
        </is>
      </c>
    </row>
    <row r="13" ht="17" customHeight="1" thickBot="1">
      <c r="B13" s="55" t="inlineStr">
        <is>
          <t>00.416.968/0001-01</t>
        </is>
      </c>
      <c r="C13" t="inlineStr">
        <is>
          <t>BANCO INTER S.A</t>
        </is>
      </c>
      <c r="H13" s="57" t="inlineStr">
        <is>
          <t>Dúvidas sobre cobrança</t>
        </is>
      </c>
      <c r="I13" s="57" t="inlineStr">
        <is>
          <t>Cobrança e Contestação</t>
        </is>
      </c>
    </row>
    <row r="14" ht="17" customHeight="1" thickBot="1">
      <c r="B14" s="55" t="inlineStr">
        <is>
          <t>00.416.968/0001-01</t>
        </is>
      </c>
      <c r="C14" t="inlineStr">
        <is>
          <t>BANCO INTER S.A</t>
        </is>
      </c>
      <c r="H14" s="57" t="inlineStr">
        <is>
          <t>Ajuste de cobrança / faturamento</t>
        </is>
      </c>
      <c r="I14" s="57" t="inlineStr">
        <is>
          <t>Cobrança e Contestação</t>
        </is>
      </c>
    </row>
    <row r="15" ht="17" customHeight="1" thickBot="1">
      <c r="B15" s="55" t="inlineStr">
        <is>
          <t>00.441.181/0001-91</t>
        </is>
      </c>
      <c r="C15" t="inlineStr">
        <is>
          <t>REMO CORPORATION LTDA</t>
        </is>
      </c>
      <c r="H15" s="57" t="inlineStr">
        <is>
          <t>Duplicidade De Cobrança</t>
        </is>
      </c>
      <c r="I15" s="57" t="inlineStr">
        <is>
          <t>Cobrança e Contestação</t>
        </is>
      </c>
    </row>
    <row r="16" ht="17" customHeight="1" thickBot="1">
      <c r="B16" s="55" t="inlineStr">
        <is>
          <t>00.480.608/0001-60</t>
        </is>
      </c>
      <c r="C16" t="inlineStr">
        <is>
          <t>MARCO MARCHETTI S A HOTEIS</t>
        </is>
      </c>
      <c r="H16" s="57" t="inlineStr">
        <is>
          <t>Estorno de cobrança</t>
        </is>
      </c>
      <c r="I16" s="57" t="inlineStr">
        <is>
          <t>Cobrança e Contestação</t>
        </is>
      </c>
    </row>
    <row r="17" ht="17" customHeight="1" thickBot="1">
      <c r="B17" s="55" t="inlineStr">
        <is>
          <t>00.487.239/0001-38</t>
        </is>
      </c>
      <c r="C17" t="inlineStr">
        <is>
          <t>FREITAS ROSA SERVICOS FARMACEUTICOS LTDA</t>
        </is>
      </c>
      <c r="H17" s="57" t="inlineStr">
        <is>
          <t>Estorno / Devolução financeira</t>
        </is>
      </c>
      <c r="I17" s="57" t="inlineStr">
        <is>
          <t>Cobrança e Contestação</t>
        </is>
      </c>
    </row>
    <row r="18" ht="17" customHeight="1" thickBot="1">
      <c r="B18" s="55" t="inlineStr">
        <is>
          <t>00.487.239/0001-38</t>
        </is>
      </c>
      <c r="C18" t="inlineStr">
        <is>
          <t>FREITAS ROSA SERVICOS FARMACEUTICOS LTDA</t>
        </is>
      </c>
      <c r="H18" s="57" t="inlineStr">
        <is>
          <t>Cobrança retroativa</t>
        </is>
      </c>
      <c r="I18" s="57" t="inlineStr">
        <is>
          <t>Cobrança e Contestação</t>
        </is>
      </c>
    </row>
    <row r="19" ht="17" customHeight="1" thickBot="1">
      <c r="B19" s="55" t="inlineStr">
        <is>
          <t>00.487.239/0001-38</t>
        </is>
      </c>
      <c r="C19" t="inlineStr">
        <is>
          <t>FREITAS ROSA SERVICOS FARMACEUTICOS LTDA</t>
        </is>
      </c>
      <c r="H19" s="57" t="inlineStr">
        <is>
          <t>Cobrança de Setup</t>
        </is>
      </c>
      <c r="I19" s="57" t="inlineStr">
        <is>
          <t>Cobrança e Contestação</t>
        </is>
      </c>
    </row>
    <row r="20" ht="17" customHeight="1" thickBot="1">
      <c r="B20" s="55" t="inlineStr">
        <is>
          <t>00.541.642/0001-06</t>
        </is>
      </c>
      <c r="C20" t="inlineStr">
        <is>
          <t>DATA SYSTEM SOFTWARES LTDA</t>
        </is>
      </c>
      <c r="H20" s="57" t="inlineStr">
        <is>
          <t>Cobrança Setup</t>
        </is>
      </c>
      <c r="I20" s="57" t="inlineStr">
        <is>
          <t>Cobrança e Contestação</t>
        </is>
      </c>
    </row>
    <row r="21" ht="17" customHeight="1" thickBot="1">
      <c r="B21" s="55" t="inlineStr">
        <is>
          <t>00.565.813/0001-29</t>
        </is>
      </c>
      <c r="C21" t="inlineStr">
        <is>
          <t>ANHANGUERA COMERCIO DE FERRAMENTAS LTDA</t>
        </is>
      </c>
      <c r="H21" s="57" t="inlineStr">
        <is>
          <t>Cobrança Taxa Setup</t>
        </is>
      </c>
      <c r="I21" s="57" t="inlineStr">
        <is>
          <t>Cobrança e Contestação</t>
        </is>
      </c>
    </row>
    <row r="22" ht="17" customHeight="1" thickBot="1">
      <c r="B22" s="55" t="inlineStr">
        <is>
          <t>00.565.813/0001-29</t>
        </is>
      </c>
      <c r="C22" t="inlineStr">
        <is>
          <t>ANHANGUERA COMERCIO DE FERRAMENTAS LTDA</t>
        </is>
      </c>
      <c r="H22" s="57" t="inlineStr">
        <is>
          <t>Cobrança de Chaves de Loja</t>
        </is>
      </c>
      <c r="I22" s="57" t="inlineStr">
        <is>
          <t>Cobrança e Contestação</t>
        </is>
      </c>
    </row>
    <row r="23" ht="17" customHeight="1" thickBot="1">
      <c r="B23" s="55" t="inlineStr">
        <is>
          <t>00.565.813/0001-29</t>
        </is>
      </c>
      <c r="C23" t="inlineStr">
        <is>
          <t>ANHANGUERA COMERCIO DE FERRAMENTAS LTDA</t>
        </is>
      </c>
      <c r="H23" s="57" t="inlineStr">
        <is>
          <t>Conciliação / divergência simples</t>
        </is>
      </c>
      <c r="I23" s="57" t="inlineStr">
        <is>
          <t>Cobrança e Contestação</t>
        </is>
      </c>
    </row>
    <row r="24" ht="17" customHeight="1" thickBot="1">
      <c r="B24" s="55" t="inlineStr">
        <is>
          <t>00.565.813/0001-29</t>
        </is>
      </c>
      <c r="C24" t="inlineStr">
        <is>
          <t>ANHANGUERA COMERCIO DE FERRAMENTAS LTDA</t>
        </is>
      </c>
      <c r="H24" s="57" t="inlineStr">
        <is>
          <t>Reenvio de boleto / NF</t>
        </is>
      </c>
      <c r="I24" s="57" t="inlineStr">
        <is>
          <t>Pagamentos, Boletos e Recebimentos</t>
        </is>
      </c>
    </row>
    <row r="25" ht="17" customHeight="1" thickBot="1">
      <c r="B25" s="55" t="inlineStr">
        <is>
          <t>00.649.766/0001-00</t>
        </is>
      </c>
      <c r="C25" t="inlineStr">
        <is>
          <t>VIP-MAR AGENCIA DE VIAGENS E TURISMO LTDA</t>
        </is>
      </c>
      <c r="H25" s="57" t="inlineStr">
        <is>
          <t>Solicitação de Boleto</t>
        </is>
      </c>
      <c r="I25" s="57" t="inlineStr">
        <is>
          <t>Pagamentos, Boletos e Recebimentos</t>
        </is>
      </c>
    </row>
    <row r="26" ht="17" customHeight="1" thickBot="1">
      <c r="B26" s="55" t="inlineStr">
        <is>
          <t>00.673.318/0001-33</t>
        </is>
      </c>
      <c r="C26" t="inlineStr">
        <is>
          <t>FARMACIA SANTINE LTDA</t>
        </is>
      </c>
      <c r="H26" s="57" t="inlineStr">
        <is>
          <t>Prorrogação de Boleto</t>
        </is>
      </c>
      <c r="I26" s="57" t="inlineStr">
        <is>
          <t>Pagamentos, Boletos e Recebimentos</t>
        </is>
      </c>
    </row>
    <row r="27" ht="17" customHeight="1" thickBot="1">
      <c r="B27" s="55" t="inlineStr">
        <is>
          <t>00.673.318/0001-33</t>
        </is>
      </c>
      <c r="C27" t="inlineStr">
        <is>
          <t>FARMACIA SANTINE LTDA</t>
        </is>
      </c>
      <c r="H27" s="57" t="inlineStr">
        <is>
          <t>Alteração de vencimento</t>
        </is>
      </c>
      <c r="I27" s="57" t="inlineStr">
        <is>
          <t>Pagamentos, Boletos e Recebimentos</t>
        </is>
      </c>
    </row>
    <row r="28" ht="17" customHeight="1" thickBot="1">
      <c r="B28" s="55" t="inlineStr">
        <is>
          <t>00.673.318/0001-33</t>
        </is>
      </c>
      <c r="C28" t="inlineStr">
        <is>
          <t>FARMACIA SANTINE LTDA</t>
        </is>
      </c>
      <c r="H28" s="57" t="inlineStr">
        <is>
          <t>Alteração de vencimento / prorrogação</t>
        </is>
      </c>
      <c r="I28" s="57" t="inlineStr">
        <is>
          <t>Pagamentos, Boletos e Recebimentos</t>
        </is>
      </c>
    </row>
    <row r="29" ht="17" customHeight="1" thickBot="1">
      <c r="B29" s="55" t="inlineStr">
        <is>
          <t>00.718.661/0001-57</t>
        </is>
      </c>
      <c r="C29" t="inlineStr">
        <is>
          <t>COMPENSADOS FERNANDES S.A.</t>
        </is>
      </c>
      <c r="H29" s="57" t="inlineStr">
        <is>
          <t>Alteração de vencimento / Prorrogação / Reenvio de boleto</t>
        </is>
      </c>
      <c r="I29" s="57" t="inlineStr">
        <is>
          <t>Pagamentos, Boletos e Recebimentos</t>
        </is>
      </c>
    </row>
    <row r="30" ht="17" customHeight="1" thickBot="1">
      <c r="B30" s="55" t="inlineStr">
        <is>
          <t>00.718.661/0001-57</t>
        </is>
      </c>
      <c r="C30" t="inlineStr">
        <is>
          <t>COMPENSADOS FERNANDES S.A.</t>
        </is>
      </c>
      <c r="H30" s="57" t="inlineStr">
        <is>
          <t>Alteração de prazo de pagamento</t>
        </is>
      </c>
      <c r="I30" s="57" t="inlineStr">
        <is>
          <t>Pagamentos, Boletos e Recebimentos</t>
        </is>
      </c>
    </row>
    <row r="31" ht="17" customHeight="1" thickBot="1">
      <c r="B31" s="55" t="inlineStr">
        <is>
          <t>00.718.661/0001-57</t>
        </is>
      </c>
      <c r="C31" t="inlineStr">
        <is>
          <t>COMPENSADOS FERNANDES S.A.</t>
        </is>
      </c>
      <c r="H31" s="57" t="inlineStr">
        <is>
          <t>Consulta financeira</t>
        </is>
      </c>
      <c r="I31" s="57" t="inlineStr">
        <is>
          <t>Pagamentos, Boletos e Recebimentos</t>
        </is>
      </c>
    </row>
    <row r="32" ht="17" customHeight="1" thickBot="1">
      <c r="B32" s="55" t="inlineStr">
        <is>
          <t>00.735.882/0001-33</t>
        </is>
      </c>
      <c r="C32" t="inlineStr">
        <is>
          <t>BRASIL DISTRIBUIDORA COMERCIO DE PRODUTOS ALIMENTICIOS LTDA</t>
        </is>
      </c>
      <c r="H32" s="57" t="inlineStr">
        <is>
          <t>Consulta de débitos</t>
        </is>
      </c>
      <c r="I32" s="57" t="inlineStr">
        <is>
          <t>Pagamentos, Boletos e Recebimentos</t>
        </is>
      </c>
    </row>
    <row r="33" ht="17" customHeight="1" thickBot="1">
      <c r="B33" s="55" t="inlineStr">
        <is>
          <t>00.735.882/0001-33</t>
        </is>
      </c>
      <c r="C33" t="inlineStr">
        <is>
          <t>BRASIL DISTRIBUIDORA COMERCIO DE PRODUTOS ALIMENTICIOS LTDA</t>
        </is>
      </c>
      <c r="H33" s="57" t="inlineStr">
        <is>
          <t>Consulta prazo pagamento</t>
        </is>
      </c>
      <c r="I33" s="57" t="inlineStr">
        <is>
          <t>Pagamentos, Boletos e Recebimentos</t>
        </is>
      </c>
    </row>
    <row r="34" ht="17" customHeight="1" thickBot="1">
      <c r="B34" s="55" t="inlineStr">
        <is>
          <t>00.737.669/0001-60</t>
        </is>
      </c>
      <c r="C34" t="inlineStr">
        <is>
          <t>BROCKER TURISMO LTDA</t>
        </is>
      </c>
      <c r="H34" s="57" t="inlineStr">
        <is>
          <t>Informação sobre forma de pagamento</t>
        </is>
      </c>
      <c r="I34" s="57" t="inlineStr">
        <is>
          <t>Pagamentos, Boletos e Recebimentos</t>
        </is>
      </c>
    </row>
    <row r="35" ht="17" customHeight="1" thickBot="1">
      <c r="B35" s="55" t="inlineStr">
        <is>
          <t>00.737.669/0001-60</t>
        </is>
      </c>
      <c r="C35" t="inlineStr">
        <is>
          <t>BROCKER TURISMO LTDA</t>
        </is>
      </c>
      <c r="H35" s="57" t="inlineStr">
        <is>
          <t>Informações sobre pagamento</t>
        </is>
      </c>
      <c r="I35" s="57" t="inlineStr">
        <is>
          <t>Pagamentos, Boletos e Recebimentos</t>
        </is>
      </c>
    </row>
    <row r="36" ht="17" customHeight="1" thickBot="1">
      <c r="B36" s="55" t="inlineStr">
        <is>
          <t>00.737.669/0001-60</t>
        </is>
      </c>
      <c r="C36" t="inlineStr">
        <is>
          <t>BROCKER TURISMO LTDA</t>
        </is>
      </c>
      <c r="H36" s="57" t="inlineStr">
        <is>
          <t>Informacao conta para depósito</t>
        </is>
      </c>
      <c r="I36" s="57" t="inlineStr">
        <is>
          <t>Pagamentos, Boletos e Recebimentos</t>
        </is>
      </c>
    </row>
    <row r="37" ht="17" customHeight="1" thickBot="1">
      <c r="B37" s="55" t="inlineStr">
        <is>
          <t>00.804.304/0002-92</t>
        </is>
      </c>
      <c r="C37" t="inlineStr">
        <is>
          <t>EMBARQUE TURISMO LTDA</t>
        </is>
      </c>
      <c r="H37" s="57" t="inlineStr">
        <is>
          <t>Troca de conta para depósito</t>
        </is>
      </c>
      <c r="I37" s="57" t="inlineStr">
        <is>
          <t>Pagamentos, Boletos e Recebimentos</t>
        </is>
      </c>
    </row>
    <row r="38" ht="17" customHeight="1" thickBot="1">
      <c r="B38" s="55" t="inlineStr">
        <is>
          <t>00.804.304/0002-92</t>
        </is>
      </c>
      <c r="C38" t="inlineStr">
        <is>
          <t>EMBARQUE TURISMO LTDA</t>
        </is>
      </c>
      <c r="H38" s="57" t="inlineStr">
        <is>
          <t>Mudança conta recebimento</t>
        </is>
      </c>
      <c r="I38" s="57" t="inlineStr">
        <is>
          <t>Pagamentos, Boletos e Recebimentos</t>
        </is>
      </c>
    </row>
    <row r="39" ht="17" customHeight="1" thickBot="1">
      <c r="B39" s="55" t="inlineStr">
        <is>
          <t>00.827.783/0001-81</t>
        </is>
      </c>
      <c r="C39" t="inlineStr">
        <is>
          <t>KURUMA VEICULOS S.A.</t>
        </is>
      </c>
      <c r="H39" s="57" t="inlineStr">
        <is>
          <t>Falha do repasse seller</t>
        </is>
      </c>
      <c r="I39" s="57" t="inlineStr">
        <is>
          <t>Pagamentos, Boletos e Recebimentos</t>
        </is>
      </c>
    </row>
    <row r="40" ht="17" customHeight="1" thickBot="1">
      <c r="B40" s="55" t="inlineStr">
        <is>
          <t>00.827.783/0001-81</t>
        </is>
      </c>
      <c r="C40" t="inlineStr">
        <is>
          <t>KURUMA VEICULOS S.A.</t>
        </is>
      </c>
      <c r="H40" s="57" t="inlineStr">
        <is>
          <t>Regularização Pendências Financeiras</t>
        </is>
      </c>
      <c r="I40" s="57" t="inlineStr">
        <is>
          <t>Pagamentos, Boletos e Recebimentos</t>
        </is>
      </c>
    </row>
    <row r="41" ht="17" customHeight="1" thickBot="1">
      <c r="B41" s="55" t="inlineStr">
        <is>
          <t>00.827.783/0001-81</t>
        </is>
      </c>
      <c r="C41" t="inlineStr">
        <is>
          <t>KURUMA VEICULOS S.A.</t>
        </is>
      </c>
      <c r="H41" s="57" t="inlineStr">
        <is>
          <t>Informações sobre faturamento</t>
        </is>
      </c>
      <c r="I41" s="57" t="inlineStr">
        <is>
          <t>Faturamento e Obrigações Fiscais</t>
        </is>
      </c>
    </row>
    <row r="42" ht="17" customHeight="1" thickBot="1">
      <c r="B42" s="55" t="inlineStr">
        <is>
          <t>01.030.685/0001-81</t>
        </is>
      </c>
      <c r="C42" t="inlineStr">
        <is>
          <t>LN COMERCIO DE ELETRONICOS LTDA</t>
        </is>
      </c>
      <c r="H42" s="57" t="inlineStr">
        <is>
          <t>Dúvida sobre faturamento</t>
        </is>
      </c>
      <c r="I42" s="57" t="inlineStr">
        <is>
          <t>Faturamento e Obrigações Fiscais</t>
        </is>
      </c>
    </row>
    <row r="43" ht="17" customHeight="1" thickBot="1">
      <c r="B43" s="55" t="inlineStr">
        <is>
          <t>01.124.578/0001-12</t>
        </is>
      </c>
      <c r="C43" t="inlineStr">
        <is>
          <t>BHZZ COMERCIO DE CALCADOS LTDA</t>
        </is>
      </c>
      <c r="H43" s="57" t="inlineStr">
        <is>
          <t>Alteração de dados fiscais</t>
        </is>
      </c>
      <c r="I43" s="57" t="inlineStr">
        <is>
          <t>Faturamento e Obrigações Fiscais</t>
        </is>
      </c>
    </row>
    <row r="44" ht="17" customHeight="1" thickBot="1">
      <c r="B44" s="55" t="inlineStr">
        <is>
          <t>01.127.671/0003-42</t>
        </is>
      </c>
      <c r="C44" t="inlineStr">
        <is>
          <t>DINHO- WOSNIACK DISTRIBUICAO DE BEBIDAS LTDA</t>
        </is>
      </c>
      <c r="H44" s="57" t="inlineStr">
        <is>
          <t>Requisito fiscal do cliente</t>
        </is>
      </c>
      <c r="I44" s="57" t="inlineStr">
        <is>
          <t>Faturamento e Obrigações Fiscais</t>
        </is>
      </c>
    </row>
    <row r="45" ht="17" customHeight="1" thickBot="1">
      <c r="B45" s="55" t="inlineStr">
        <is>
          <t>01.129.534/0001-85</t>
        </is>
      </c>
      <c r="C45" t="inlineStr">
        <is>
          <t>THE MAGIC NUTS COMERCIAL LTDA</t>
        </is>
      </c>
      <c r="H45" s="57" t="inlineStr">
        <is>
          <t>Dúvida sobre adiantamento</t>
        </is>
      </c>
      <c r="I45" s="57" t="inlineStr">
        <is>
          <t>Faturamento e Obrigações Fiscais</t>
        </is>
      </c>
    </row>
    <row r="46" ht="17" customHeight="1" thickBot="1">
      <c r="B46" s="55" t="inlineStr">
        <is>
          <t>01.129.534/0001-85</t>
        </is>
      </c>
      <c r="C46" t="inlineStr">
        <is>
          <t>THE MAGIC NUTS COMERCIAL LTDA</t>
        </is>
      </c>
      <c r="H46" s="57" t="inlineStr">
        <is>
          <t>Atualização Condições Comerciais</t>
        </is>
      </c>
      <c r="I46" s="57" t="inlineStr">
        <is>
          <t>Contratos, Comercial e Cadastro</t>
        </is>
      </c>
    </row>
    <row r="47" ht="17" customHeight="1" thickBot="1">
      <c r="B47" s="55" t="inlineStr">
        <is>
          <t>01.129.534/0001-85</t>
        </is>
      </c>
      <c r="C47" t="inlineStr">
        <is>
          <t>THE MAGIC NUTS COMERCIAL LTDA</t>
        </is>
      </c>
      <c r="H47" s="57" t="inlineStr">
        <is>
          <t>Atualização contrato</t>
        </is>
      </c>
      <c r="I47" s="57" t="inlineStr">
        <is>
          <t>Contratos, Comercial e Cadastro</t>
        </is>
      </c>
    </row>
    <row r="48" ht="17" customHeight="1" thickBot="1">
      <c r="B48" s="55" t="inlineStr">
        <is>
          <t>01.132.478/0001-38</t>
        </is>
      </c>
      <c r="C48" t="inlineStr">
        <is>
          <t>IRMAOS ANDREAZZA LTDA</t>
        </is>
      </c>
      <c r="H48" s="57" t="inlineStr">
        <is>
          <t>Dúvida comercial</t>
        </is>
      </c>
      <c r="I48" s="57" t="inlineStr">
        <is>
          <t>Contratos, Comercial e Cadastro</t>
        </is>
      </c>
    </row>
    <row r="49" ht="17" customHeight="1" thickBot="1">
      <c r="B49" s="55" t="inlineStr">
        <is>
          <t>01.132.478/0001-38</t>
        </is>
      </c>
      <c r="C49" t="inlineStr">
        <is>
          <t>IRMAOS ANDREAZZA LTDA</t>
        </is>
      </c>
      <c r="H49" s="57" t="inlineStr">
        <is>
          <t>Renegociação comercial</t>
        </is>
      </c>
      <c r="I49" s="57" t="inlineStr">
        <is>
          <t>Contratos, Comercial e Cadastro</t>
        </is>
      </c>
    </row>
    <row r="50" ht="17" customHeight="1" thickBot="1">
      <c r="B50" s="55" t="inlineStr">
        <is>
          <t>01.132.478/0001-38</t>
        </is>
      </c>
      <c r="C50" t="inlineStr">
        <is>
          <t>IRMAOS ANDREAZZA LTDA</t>
        </is>
      </c>
      <c r="H50" s="57" t="inlineStr">
        <is>
          <t>Congelamento de contrato</t>
        </is>
      </c>
      <c r="I50" s="57" t="inlineStr">
        <is>
          <t>Contratos, Comercial e Cadastro</t>
        </is>
      </c>
    </row>
    <row r="51" ht="17" customHeight="1" thickBot="1">
      <c r="B51" s="55" t="inlineStr">
        <is>
          <t>01.136.729/0001-52</t>
        </is>
      </c>
      <c r="C51" t="inlineStr">
        <is>
          <t>ASTRA ABC COMERCIAL LTDA</t>
        </is>
      </c>
      <c r="H51" s="57" t="inlineStr">
        <is>
          <t>Dúvidas sobre contrato / cobrança</t>
        </is>
      </c>
      <c r="I51" s="57" t="inlineStr">
        <is>
          <t>Contratos, Comercial e Cadastro</t>
        </is>
      </c>
    </row>
    <row r="52" ht="17" customHeight="1" thickBot="1">
      <c r="B52" s="55" t="inlineStr">
        <is>
          <t>01.136.729/0001-52</t>
        </is>
      </c>
      <c r="C52" t="inlineStr">
        <is>
          <t>ASTRA ABC COMERCIAL LTDA</t>
        </is>
      </c>
      <c r="H52" s="57" t="inlineStr">
        <is>
          <t>Informação sobre contrato</t>
        </is>
      </c>
      <c r="I52" s="57" t="inlineStr">
        <is>
          <t>Contratos, Comercial e Cadastro</t>
        </is>
      </c>
    </row>
    <row r="53" ht="17" customHeight="1" thickBot="1">
      <c r="B53" s="55" t="inlineStr">
        <is>
          <t>01.154.956/0018-59</t>
        </is>
      </c>
      <c r="C53" t="inlineStr">
        <is>
          <t>BELA TINTAS LTDA</t>
        </is>
      </c>
      <c r="H53" s="57" t="inlineStr">
        <is>
          <t>Alteração cadastral</t>
        </is>
      </c>
      <c r="I53" s="57" t="inlineStr">
        <is>
          <t>Contratos, Comercial e Cadastro</t>
        </is>
      </c>
    </row>
    <row r="54" ht="17" customHeight="1" thickBot="1">
      <c r="B54" s="55" t="inlineStr">
        <is>
          <t>01.154.956/0018-59</t>
        </is>
      </c>
      <c r="C54" t="inlineStr">
        <is>
          <t>BELA TINTAS LTDA</t>
        </is>
      </c>
      <c r="H54" s="57" t="inlineStr">
        <is>
          <t>Atualização cadastral</t>
        </is>
      </c>
      <c r="I54" s="57" t="inlineStr">
        <is>
          <t>Contratos, Comercial e Cadastro</t>
        </is>
      </c>
    </row>
    <row r="55" ht="17" customHeight="1" thickBot="1">
      <c r="B55" s="55" t="inlineStr">
        <is>
          <t>01.154.956/0018-59</t>
        </is>
      </c>
      <c r="C55" t="inlineStr">
        <is>
          <t>BELA TINTAS LTDA</t>
        </is>
      </c>
      <c r="H55" s="57" t="inlineStr">
        <is>
          <t>Atualização de Cadastro</t>
        </is>
      </c>
      <c r="I55" s="57" t="inlineStr">
        <is>
          <t>Contratos, Comercial e Cadastro</t>
        </is>
      </c>
    </row>
    <row r="56" ht="17" customHeight="1" thickBot="1">
      <c r="B56" s="55" t="inlineStr">
        <is>
          <t>01.198.511/0001-22</t>
        </is>
      </c>
      <c r="C56" t="inlineStr">
        <is>
          <t>MONTANARI SOLUCOES EM INFORMATICA LTDA.</t>
        </is>
      </c>
      <c r="H56" s="57" t="inlineStr">
        <is>
          <t>Alteração de cadastro (e-mail)</t>
        </is>
      </c>
      <c r="I56" s="57" t="inlineStr">
        <is>
          <t>Contratos, Comercial e Cadastro</t>
        </is>
      </c>
    </row>
    <row r="57" ht="17" customHeight="1" thickBot="1">
      <c r="B57" s="55" t="inlineStr">
        <is>
          <t>01.198.511/0001-22</t>
        </is>
      </c>
      <c r="C57" t="inlineStr">
        <is>
          <t>MONTANARI SOLUCOES EM INFORMATICA LTDA.</t>
        </is>
      </c>
      <c r="H57" s="57" t="inlineStr">
        <is>
          <t>Alteração de cadastro (e-mail) / Reenvio de NF</t>
        </is>
      </c>
      <c r="I57" s="57" t="inlineStr">
        <is>
          <t>Contratos, Comercial e Cadastro</t>
        </is>
      </c>
    </row>
    <row r="58" ht="17" customHeight="1" thickBot="1">
      <c r="B58" s="55" t="inlineStr">
        <is>
          <t>01.413.885/0001-13</t>
        </is>
      </c>
      <c r="C58" t="inlineStr">
        <is>
          <t>SIX TECH DESENVOLVIMENTO SISTEMAS DE INFORMATICA LTDA</t>
        </is>
      </c>
      <c r="H58" s="57" t="inlineStr">
        <is>
          <t>Cadastro de MIDs</t>
        </is>
      </c>
      <c r="I58" s="57" t="inlineStr">
        <is>
          <t>Contratos, Comercial e Cadastro</t>
        </is>
      </c>
    </row>
    <row r="59" ht="17" customHeight="1" thickBot="1">
      <c r="B59" s="55" t="inlineStr">
        <is>
          <t>01.418.847/0001-53</t>
        </is>
      </c>
      <c r="C59" t="inlineStr">
        <is>
          <t>CAIXA DE ASSISTENCIA DOS ADVOGADOS DE GOIAS</t>
        </is>
      </c>
      <c r="H59" s="57" t="inlineStr">
        <is>
          <t>Carta de quitação / circularização</t>
        </is>
      </c>
      <c r="I59" s="57" t="inlineStr">
        <is>
          <t>Atendimento Administrativo e Suporte</t>
        </is>
      </c>
    </row>
    <row r="60" ht="17" customHeight="1" thickBot="1">
      <c r="B60" s="55" t="inlineStr">
        <is>
          <t>01.418.847/0001-53</t>
        </is>
      </c>
      <c r="C60" t="inlineStr">
        <is>
          <t>CAIXA DE ASSISTENCIA DOS ADVOGADOS DE GOIAS</t>
        </is>
      </c>
      <c r="H60" s="57" t="inlineStr">
        <is>
          <t>Carta de quitação</t>
        </is>
      </c>
      <c r="I60" s="57" t="inlineStr">
        <is>
          <t>Atendimento Administrativo e Suporte</t>
        </is>
      </c>
    </row>
    <row r="61" ht="17" customHeight="1" thickBot="1">
      <c r="B61" s="55" t="inlineStr">
        <is>
          <t>01.462.814/0001-00</t>
        </is>
      </c>
      <c r="C61" t="inlineStr">
        <is>
          <t>INDUSTRIA E COMERCIO DE PRODUTOS PARA FONOAUDIOLOGIA HCP LTDA</t>
        </is>
      </c>
      <c r="H61" s="57" t="inlineStr">
        <is>
          <t>Solicitação de documentos (contrato, NF, histórico)</t>
        </is>
      </c>
      <c r="I61" s="57" t="inlineStr">
        <is>
          <t>Atendimento Administrativo e Suporte</t>
        </is>
      </c>
    </row>
    <row r="62" ht="17" customHeight="1" thickBot="1">
      <c r="B62" s="55" t="inlineStr">
        <is>
          <t>01.586.729/0001-54</t>
        </is>
      </c>
      <c r="C62" t="inlineStr">
        <is>
          <t>TOURMED VIAGENS E TURISMO LTDA</t>
        </is>
      </c>
      <c r="H62" s="57" t="inlineStr">
        <is>
          <t>Restrição no Serasa</t>
        </is>
      </c>
      <c r="I62" s="57" t="inlineStr">
        <is>
          <t>Atendimento Administrativo e Suporte</t>
        </is>
      </c>
    </row>
    <row r="63" ht="17" customHeight="1" thickBot="1">
      <c r="B63" s="55" t="inlineStr">
        <is>
          <t>01.610.917/0005-02</t>
        </is>
      </c>
      <c r="C63" t="inlineStr">
        <is>
          <t>MOVEIS B P LTDA</t>
        </is>
      </c>
      <c r="H63" s="57" t="inlineStr">
        <is>
          <t>Dúvida acesso ao portal</t>
        </is>
      </c>
      <c r="I63" s="57" t="inlineStr">
        <is>
          <t>Atendimento Administrativo e Suporte</t>
        </is>
      </c>
    </row>
    <row r="64" ht="17" customHeight="1" thickBot="1">
      <c r="B64" s="55" t="inlineStr">
        <is>
          <t>01.610.917/0005-02</t>
        </is>
      </c>
      <c r="C64" t="inlineStr">
        <is>
          <t>MOVEIS B P LTDA</t>
        </is>
      </c>
      <c r="H64" s="57" t="inlineStr">
        <is>
          <t>Acesso admin</t>
        </is>
      </c>
      <c r="I64" s="57" t="inlineStr">
        <is>
          <t>Atendimento Administrativo e Suporte</t>
        </is>
      </c>
    </row>
    <row r="65" ht="17" customHeight="1" thickBot="1">
      <c r="B65" s="55" t="inlineStr">
        <is>
          <t>01.623.624/0001-28</t>
        </is>
      </c>
      <c r="C65" t="inlineStr">
        <is>
          <t>CARLOS HENRIQUE SOUZA COSTA FILHO LTDA</t>
        </is>
      </c>
      <c r="H65" s="57" t="inlineStr">
        <is>
          <t>Informações geral</t>
        </is>
      </c>
      <c r="I65" s="57" t="inlineStr">
        <is>
          <t>Atendimento Administrativo e Suporte</t>
        </is>
      </c>
    </row>
    <row r="66" ht="17" customHeight="1" thickBot="1">
      <c r="B66" s="55" t="inlineStr">
        <is>
          <t>01.655.212/0001-70</t>
        </is>
      </c>
      <c r="C66" t="inlineStr">
        <is>
          <t>SCANMETAL - INDUSTRIA, COMERCIO, IMPORTACAO E EXPORTACAO DE FERRAMENTAS LTDA</t>
        </is>
      </c>
      <c r="H66" s="57" t="inlineStr">
        <is>
          <t>Outros</t>
        </is>
      </c>
      <c r="I66" s="57" t="inlineStr">
        <is>
          <t>Atendimento Administrativo e Suporte</t>
        </is>
      </c>
    </row>
    <row r="67" ht="17" customHeight="1" thickBot="1">
      <c r="B67" s="55" t="inlineStr">
        <is>
          <t>01.655.212/0001-70</t>
        </is>
      </c>
      <c r="C67" t="inlineStr">
        <is>
          <t>SCANMETAL - INDUSTRIA, COMERCIO, IMPORTACAO E EXPORTACAO DE FERRAMENTAS LTDA</t>
        </is>
      </c>
      <c r="H67" s="57" t="inlineStr">
        <is>
          <t>Sem ação, encerrar</t>
        </is>
      </c>
      <c r="I67" s="57" t="inlineStr">
        <is>
          <t>Atendimento Administrativo e Suporte</t>
        </is>
      </c>
    </row>
    <row r="68">
      <c r="B68" s="55" t="inlineStr">
        <is>
          <t>01.655.212/0001-70</t>
        </is>
      </c>
      <c r="C68" t="inlineStr">
        <is>
          <t>SCANMETAL - INDUSTRIA, COMERCIO, IMPORTACAO E EXPORTACAO DE FERRAMENTAS LTDA</t>
        </is>
      </c>
      <c r="H68" s="58" t="inlineStr">
        <is>
          <t>Cancelamento de contrato</t>
        </is>
      </c>
      <c r="I68" s="58" t="inlineStr">
        <is>
          <t>Contratos, Comercial e Cadastro</t>
        </is>
      </c>
    </row>
    <row r="69">
      <c r="B69" s="55" t="inlineStr">
        <is>
          <t>01.677.137/0001-48</t>
        </is>
      </c>
      <c r="C69" t="inlineStr">
        <is>
          <t>PIRULITO MODA MIUDA LTDA</t>
        </is>
      </c>
      <c r="H69" s="58" t="inlineStr">
        <is>
          <t>Renegociação contrato</t>
        </is>
      </c>
      <c r="I69" s="58" t="inlineStr">
        <is>
          <t>Contratos, Comercial e Cadastro</t>
        </is>
      </c>
    </row>
    <row r="70">
      <c r="B70" s="55" t="inlineStr">
        <is>
          <t>01.677.137/0001-48</t>
        </is>
      </c>
      <c r="C70" t="inlineStr">
        <is>
          <t>PIRULITO MODA MIUDA LTDA</t>
        </is>
      </c>
      <c r="H70" s="58" t="inlineStr">
        <is>
          <t>Prorrogação / Reenvio de boleto</t>
        </is>
      </c>
      <c r="I70" s="58" t="inlineStr">
        <is>
          <t>Pagamentos, Boletos e Recebimentos</t>
        </is>
      </c>
    </row>
    <row r="71">
      <c r="B71" s="55" t="inlineStr">
        <is>
          <t>01.677.137/0001-48</t>
        </is>
      </c>
      <c r="C71" t="inlineStr">
        <is>
          <t>PIRULITO MODA MIUDA LTDA</t>
        </is>
      </c>
      <c r="H71" s="58" t="inlineStr">
        <is>
          <t>Sem solicitação encerrar</t>
        </is>
      </c>
      <c r="I71" s="58" t="inlineStr">
        <is>
          <t>Atendimento Administrativo e Suporte</t>
        </is>
      </c>
    </row>
    <row r="72">
      <c r="B72" s="55" t="inlineStr">
        <is>
          <t>01.771.307/0001-59</t>
        </is>
      </c>
      <c r="C72" t="inlineStr">
        <is>
          <t>MAC ALTO TIETE COMERCIO DE ALIMENTOS, BEBIDAS E EVENTOS LTDA</t>
        </is>
      </c>
      <c r="H72" s="58" t="inlineStr">
        <is>
          <t>Pendente Retorno Comercial</t>
        </is>
      </c>
      <c r="I72" s="58" t="inlineStr">
        <is>
          <t>Contratos, Comercial e Cadastro</t>
        </is>
      </c>
    </row>
    <row r="73">
      <c r="B73" s="55" t="inlineStr">
        <is>
          <t>01.771.307/0001-59</t>
        </is>
      </c>
      <c r="C73" t="inlineStr">
        <is>
          <t>MAC ALTO TIETE COMERCIO DE ALIMENTOS, BEBIDAS E EVENTOS LTDA</t>
        </is>
      </c>
      <c r="H73" s="58" t="inlineStr">
        <is>
          <t>Cancelamento contrato (produto) / NF</t>
        </is>
      </c>
      <c r="I73" s="58" t="inlineStr">
        <is>
          <t>Contratos, Comercial e Cadastro</t>
        </is>
      </c>
    </row>
    <row r="74">
      <c r="B74" s="55" t="inlineStr">
        <is>
          <t>01.771.307/0001-59</t>
        </is>
      </c>
      <c r="C74" t="inlineStr">
        <is>
          <t>MAC ALTO TIETE COMERCIO DE ALIMENTOS, BEBIDAS E EVENTOS LTDA</t>
        </is>
      </c>
      <c r="H74" s="58" t="inlineStr">
        <is>
          <t>Reenvio de informação</t>
        </is>
      </c>
      <c r="I74" s="58" t="inlineStr">
        <is>
          <t>Atendimento Administrativo e Suporte</t>
        </is>
      </c>
    </row>
    <row r="75">
      <c r="B75" s="55" t="inlineStr">
        <is>
          <t>01.838.723/0001-27</t>
        </is>
      </c>
      <c r="C75" t="inlineStr">
        <is>
          <t>BRF S.A.</t>
        </is>
      </c>
      <c r="H75" s="58" t="inlineStr">
        <is>
          <t>Reemissão de boleto</t>
        </is>
      </c>
      <c r="I75" s="58" t="inlineStr">
        <is>
          <t>Pagamentos, Boletos e Recebimentos</t>
        </is>
      </c>
    </row>
    <row r="76">
      <c r="B76" s="55" t="inlineStr">
        <is>
          <t>01.838.723/0001-27</t>
        </is>
      </c>
      <c r="C76" t="inlineStr">
        <is>
          <t>BRF S.A.</t>
        </is>
      </c>
      <c r="H76" s="58" t="inlineStr">
        <is>
          <t>Cancelamento de boletos</t>
        </is>
      </c>
      <c r="I76" s="58" t="inlineStr">
        <is>
          <t>Pagamentos, Boletos e Recebimentos</t>
        </is>
      </c>
    </row>
    <row r="77">
      <c r="B77" s="55" t="inlineStr">
        <is>
          <t>01.838.723/0001-27</t>
        </is>
      </c>
      <c r="C77" t="inlineStr">
        <is>
          <t>BRF S.A.</t>
        </is>
      </c>
      <c r="H77" s="58" t="inlineStr">
        <is>
          <t>Atualização cadastral (email)</t>
        </is>
      </c>
      <c r="I77" s="58" t="inlineStr">
        <is>
          <t>Contratos, Comercial e Cadastro</t>
        </is>
      </c>
    </row>
    <row r="78">
      <c r="B78" s="55" t="inlineStr">
        <is>
          <t>01.838.723/0001-27</t>
        </is>
      </c>
      <c r="C78" t="inlineStr">
        <is>
          <t>BRF S.A.</t>
        </is>
      </c>
      <c r="H78" s="58" t="inlineStr">
        <is>
          <t>Confirmação Dados Fatura</t>
        </is>
      </c>
      <c r="I78" s="58" t="inlineStr">
        <is>
          <t>Faturamento e Obrigações Fiscais</t>
        </is>
      </c>
    </row>
    <row r="79">
      <c r="B79" s="55" t="inlineStr">
        <is>
          <t>01.838.723/0001-27</t>
        </is>
      </c>
      <c r="C79" t="inlineStr">
        <is>
          <t>BRF S.A.</t>
        </is>
      </c>
      <c r="H79" s="58" t="inlineStr">
        <is>
          <t>Reenvio de boleto</t>
        </is>
      </c>
      <c r="I79" s="58" t="inlineStr">
        <is>
          <t>Pagamentos, Boletos e Recebimentos</t>
        </is>
      </c>
    </row>
    <row r="80">
      <c r="B80" s="55" t="inlineStr">
        <is>
          <t>01.838.723/0001-27</t>
        </is>
      </c>
      <c r="C80" t="inlineStr">
        <is>
          <t>BRF S.A.</t>
        </is>
      </c>
      <c r="H80" s="58" t="inlineStr">
        <is>
          <t>Reenvio de NF</t>
        </is>
      </c>
      <c r="I80" s="58" t="inlineStr">
        <is>
          <t>Faturamento e Obrigações Fiscais</t>
        </is>
      </c>
    </row>
    <row r="81">
      <c r="B81" s="55" t="inlineStr">
        <is>
          <t>01.838.723/0001-27</t>
        </is>
      </c>
      <c r="C81" t="inlineStr">
        <is>
          <t>BRF S.A.</t>
        </is>
      </c>
      <c r="H81" s="58" t="inlineStr">
        <is>
          <t>Alteração cadastral (telefone)</t>
        </is>
      </c>
      <c r="I81" s="58" t="inlineStr">
        <is>
          <t>Contratos, Comercial e Cadastro</t>
        </is>
      </c>
    </row>
    <row r="82">
      <c r="B82" s="55" t="inlineStr">
        <is>
          <t>01.933.725/0002-86</t>
        </is>
      </c>
      <c r="C82" t="inlineStr">
        <is>
          <t>J C COMERCIO DE JOIAS E ARTIGOS PARA PRESENTES LTDA</t>
        </is>
      </c>
      <c r="H82" s="58" t="inlineStr">
        <is>
          <t>Negociação Inadimplência</t>
        </is>
      </c>
      <c r="I82" s="58" t="inlineStr">
        <is>
          <t>Cobrança e Contestação</t>
        </is>
      </c>
    </row>
    <row r="83">
      <c r="B83" s="55" t="inlineStr">
        <is>
          <t>01.933.725/0002-86</t>
        </is>
      </c>
      <c r="C83" t="inlineStr">
        <is>
          <t>J C COMERCIO DE JOIAS E ARTIGOS PARA PRESENTES LTDA</t>
        </is>
      </c>
      <c r="H83" s="58" t="inlineStr">
        <is>
          <t>Inclusão de PO NF</t>
        </is>
      </c>
      <c r="I83" s="58" t="inlineStr">
        <is>
          <t>Cancelamento e Reemissão de Nota Fiscal</t>
        </is>
      </c>
    </row>
    <row r="84">
      <c r="B84" s="55" t="inlineStr">
        <is>
          <t>01.933.725/0002-86</t>
        </is>
      </c>
      <c r="C84" t="inlineStr">
        <is>
          <t>J C COMERCIO DE JOIAS E ARTIGOS PARA PRESENTES LTDA</t>
        </is>
      </c>
      <c r="H84" s="58" t="inlineStr">
        <is>
          <t>Alteração de cadastro (e-mail)</t>
        </is>
      </c>
      <c r="I84" s="58" t="inlineStr">
        <is>
          <t>Contratos, Comercial e Cadastro</t>
        </is>
      </c>
    </row>
    <row r="85">
      <c r="B85" s="55" t="inlineStr">
        <is>
          <t>01.963.040/0001-00</t>
        </is>
      </c>
      <c r="C85" t="inlineStr">
        <is>
          <t>ALVORADA COMERCIO DE PRODUTOS AGROPECUARIOS LTDA</t>
        </is>
      </c>
      <c r="H85" s="58" t="inlineStr">
        <is>
          <t>Informação conta para depósito</t>
        </is>
      </c>
      <c r="I85" s="58" t="inlineStr">
        <is>
          <t>Pagamentos, Boletos e Recebimentos</t>
        </is>
      </c>
    </row>
    <row r="86">
      <c r="B86" s="55" t="inlineStr">
        <is>
          <t>01.963.040/0001-00</t>
        </is>
      </c>
      <c r="C86" t="inlineStr">
        <is>
          <t>ALVORADA COMERCIO DE PRODUTOS AGROPECUARIOS LTDA</t>
        </is>
      </c>
    </row>
    <row r="87">
      <c r="B87" s="55" t="inlineStr">
        <is>
          <t>01.972.193/0001-05</t>
        </is>
      </c>
      <c r="C87" t="inlineStr">
        <is>
          <t>BEL FIX IMPORTACAO LTDA</t>
        </is>
      </c>
    </row>
    <row r="88">
      <c r="B88" s="55" t="inlineStr">
        <is>
          <t>01.972.193/0001-05</t>
        </is>
      </c>
      <c r="C88" t="inlineStr">
        <is>
          <t>BEL FIX IMPORTACAO LTDA</t>
        </is>
      </c>
    </row>
    <row r="89">
      <c r="B89" s="55" t="inlineStr">
        <is>
          <t>01.972.193/0001-05</t>
        </is>
      </c>
      <c r="C89" t="inlineStr">
        <is>
          <t>BEL FIX IMPORTACAO LTDA</t>
        </is>
      </c>
    </row>
    <row r="90">
      <c r="B90" s="55" t="inlineStr">
        <is>
          <t>01.972.193/0001-05</t>
        </is>
      </c>
      <c r="C90" t="inlineStr">
        <is>
          <t>BEL FIX IMPORTACAO LTDA</t>
        </is>
      </c>
    </row>
    <row r="91">
      <c r="B91" s="55" t="inlineStr">
        <is>
          <t>02.049.586/0001-04</t>
        </is>
      </c>
      <c r="C91" t="inlineStr">
        <is>
          <t>JULIANA MARIA MANTOVANE TRENTINI LTDA</t>
        </is>
      </c>
    </row>
    <row r="92">
      <c r="B92" s="55" t="inlineStr">
        <is>
          <t>02.049.586/0001-04</t>
        </is>
      </c>
      <c r="C92" t="inlineStr">
        <is>
          <t>JULIANA MARIA MANTOVANE TRENTINI LTDA</t>
        </is>
      </c>
    </row>
    <row r="93">
      <c r="B93" s="55" t="inlineStr">
        <is>
          <t>02.196.466/0001-30</t>
        </is>
      </c>
      <c r="C93" t="inlineStr">
        <is>
          <t>RAMIRES MOTORS LTDA</t>
        </is>
      </c>
    </row>
    <row r="94">
      <c r="B94" s="55" t="inlineStr">
        <is>
          <t>02.196.466/0001-30</t>
        </is>
      </c>
      <c r="C94" t="inlineStr">
        <is>
          <t>RAMIRES MOTORS LTDA</t>
        </is>
      </c>
    </row>
    <row r="95">
      <c r="B95" s="55" t="inlineStr">
        <is>
          <t>02.196.466/0001-30</t>
        </is>
      </c>
      <c r="C95" t="inlineStr">
        <is>
          <t>RAMIRES MOTORS LTDA</t>
        </is>
      </c>
    </row>
    <row r="96">
      <c r="B96" s="55" t="inlineStr">
        <is>
          <t>02.207.068/0001-71</t>
        </is>
      </c>
      <c r="C96" t="inlineStr">
        <is>
          <t>DROGARIA PRINCIPAL DE VINHEDO LTDA</t>
        </is>
      </c>
    </row>
    <row r="97">
      <c r="B97" s="55" t="inlineStr">
        <is>
          <t>02.207.068/0001-71</t>
        </is>
      </c>
      <c r="C97" t="inlineStr">
        <is>
          <t>DROGARIA PRINCIPAL DE VINHEDO LTDA</t>
        </is>
      </c>
    </row>
    <row r="98">
      <c r="B98" s="55" t="inlineStr">
        <is>
          <t>02.274.615/0001-31</t>
        </is>
      </c>
      <c r="C98" t="inlineStr">
        <is>
          <t>USECAR LOCADORA DE VEICULOS S/A</t>
        </is>
      </c>
    </row>
    <row r="99">
      <c r="B99" s="55" t="inlineStr">
        <is>
          <t>02.274.615/0001-31</t>
        </is>
      </c>
      <c r="C99" t="inlineStr">
        <is>
          <t>USECAR LOCADORA DE VEICULOS S/A</t>
        </is>
      </c>
    </row>
    <row r="100">
      <c r="B100" s="55" t="inlineStr">
        <is>
          <t>02.302.096/0003-30</t>
        </is>
      </c>
      <c r="C100" t="inlineStr">
        <is>
          <t>USIMED DE TUBARAO COOPERATIVA DE USUARIOS DE ASSISTENCIA EM SAUDE</t>
        </is>
      </c>
    </row>
    <row r="101">
      <c r="B101" s="55" t="inlineStr">
        <is>
          <t>02.302.096/0003-30</t>
        </is>
      </c>
      <c r="C101" t="inlineStr">
        <is>
          <t>USIMED DE TUBARAO COOPERATIVA DE USUARIOS DE ASSISTENCIA EM SAUDE</t>
        </is>
      </c>
    </row>
    <row r="102">
      <c r="B102" s="55" t="inlineStr">
        <is>
          <t>02.302.096/0003-30</t>
        </is>
      </c>
      <c r="C102" t="inlineStr">
        <is>
          <t>USIMED DE TUBARAO COOPERATIVA DE USUARIOS DE ASSISTENCIA EM SAUDE</t>
        </is>
      </c>
    </row>
    <row r="103">
      <c r="B103" s="55" t="inlineStr">
        <is>
          <t>02.302.096/0003-30</t>
        </is>
      </c>
      <c r="C103" t="inlineStr">
        <is>
          <t>USIMED DE TUBARAO COOPERATIVA DE USUARIOS DE ASSISTENCIA EM SAUDE</t>
        </is>
      </c>
    </row>
    <row r="104">
      <c r="B104" s="55" t="inlineStr">
        <is>
          <t>02.391.030/0001-00</t>
        </is>
      </c>
      <c r="C104" t="inlineStr">
        <is>
          <t>FARMACIA ULTRAFARMA LTDA</t>
        </is>
      </c>
    </row>
    <row r="105">
      <c r="B105" s="55" t="inlineStr">
        <is>
          <t>02.391.030/0001-00</t>
        </is>
      </c>
      <c r="C105" t="inlineStr">
        <is>
          <t>FARMACIA ULTRAFARMA LTDA</t>
        </is>
      </c>
    </row>
    <row r="106">
      <c r="B106" s="55" t="inlineStr">
        <is>
          <t>02.391.030/0001-00</t>
        </is>
      </c>
      <c r="C106" t="inlineStr">
        <is>
          <t>FARMACIA ULTRAFARMA LTDA</t>
        </is>
      </c>
    </row>
    <row r="107">
      <c r="B107" s="55" t="inlineStr">
        <is>
          <t>02.391.030/0001-00</t>
        </is>
      </c>
      <c r="C107" t="inlineStr">
        <is>
          <t>FARMACIA ULTRAFARMA LTDA</t>
        </is>
      </c>
    </row>
    <row r="108">
      <c r="B108" s="55" t="inlineStr">
        <is>
          <t>02.397.386/0001-42</t>
        </is>
      </c>
      <c r="C108" t="inlineStr">
        <is>
          <t>T F S INDUSTRIA DE CONFECCOES LTDA</t>
        </is>
      </c>
    </row>
    <row r="109">
      <c r="B109" s="55" t="inlineStr">
        <is>
          <t>02.397.386/0001-42</t>
        </is>
      </c>
      <c r="C109" t="inlineStr">
        <is>
          <t>T F S INDUSTRIA DE CONFECCOES LTDA</t>
        </is>
      </c>
    </row>
    <row r="110">
      <c r="B110" s="55" t="inlineStr">
        <is>
          <t>02.402.689/0001-06</t>
        </is>
      </c>
      <c r="C110" t="inlineStr">
        <is>
          <t>PRATAS PARK HOTEL LTDA</t>
        </is>
      </c>
    </row>
    <row r="111">
      <c r="B111" s="55" t="inlineStr">
        <is>
          <t>02.402.689/0001-06</t>
        </is>
      </c>
      <c r="C111" t="inlineStr">
        <is>
          <t>PRATAS PARK HOTEL LTDA</t>
        </is>
      </c>
    </row>
    <row r="112">
      <c r="B112" s="55" t="inlineStr">
        <is>
          <t>02.402.689/0001-06</t>
        </is>
      </c>
      <c r="C112" t="inlineStr">
        <is>
          <t>PRATAS PARK HOTEL LTDA</t>
        </is>
      </c>
    </row>
    <row r="113">
      <c r="B113" s="55" t="inlineStr">
        <is>
          <t>02.402.689/0001-06</t>
        </is>
      </c>
      <c r="C113" t="inlineStr">
        <is>
          <t>PRATAS PARK HOTEL LTDA</t>
        </is>
      </c>
    </row>
    <row r="114">
      <c r="B114" s="55" t="inlineStr">
        <is>
          <t>02.402.689/0001-06</t>
        </is>
      </c>
      <c r="C114" t="inlineStr">
        <is>
          <t>PRATAS PARK HOTEL LTDA</t>
        </is>
      </c>
    </row>
    <row r="115">
      <c r="B115" s="55" t="inlineStr">
        <is>
          <t>02.447.633/0001-78</t>
        </is>
      </c>
      <c r="C115" t="inlineStr">
        <is>
          <t>HYD BRAZILIAN TOURS VIAGENS LTDA</t>
        </is>
      </c>
    </row>
    <row r="116">
      <c r="B116" s="55" t="inlineStr">
        <is>
          <t>02.447.633/0001-78</t>
        </is>
      </c>
      <c r="C116" t="inlineStr">
        <is>
          <t>HYD BRAZILIAN TOURS VIAGENS LTDA</t>
        </is>
      </c>
    </row>
    <row r="117">
      <c r="B117" s="55" t="inlineStr">
        <is>
          <t>02.457.533/0001-22</t>
        </is>
      </c>
      <c r="C117" t="inlineStr">
        <is>
          <t>DICOMP DISTRIBUIDORA DE ELETRONICOS LTDA</t>
        </is>
      </c>
    </row>
    <row r="118">
      <c r="B118" s="55" t="inlineStr">
        <is>
          <t>02.470.293/0001-04</t>
        </is>
      </c>
      <c r="C118" t="inlineStr">
        <is>
          <t>TELHADAO COMERCIAL LTDA</t>
        </is>
      </c>
    </row>
    <row r="119">
      <c r="B119" s="55" t="inlineStr">
        <is>
          <t>02.470.293/0001-04</t>
        </is>
      </c>
      <c r="C119" t="inlineStr">
        <is>
          <t>TELHADAO COMERCIAL LTDA</t>
        </is>
      </c>
    </row>
    <row r="120">
      <c r="B120" s="55" t="inlineStr">
        <is>
          <t>02.476.399/0001-07</t>
        </is>
      </c>
      <c r="C120" t="inlineStr">
        <is>
          <t>MGM FARMA LTDA</t>
        </is>
      </c>
    </row>
    <row r="121">
      <c r="B121" s="55" t="inlineStr">
        <is>
          <t>02.476.399/0001-07</t>
        </is>
      </c>
      <c r="C121" t="inlineStr">
        <is>
          <t>MGM FARMA LTDA</t>
        </is>
      </c>
    </row>
    <row r="122">
      <c r="B122" s="55" t="inlineStr">
        <is>
          <t>02.476.399/0001-07</t>
        </is>
      </c>
      <c r="C122" t="inlineStr">
        <is>
          <t>MGM FARMA LTDA</t>
        </is>
      </c>
    </row>
    <row r="123">
      <c r="B123" s="55" t="inlineStr">
        <is>
          <t>02.486.036/0001-52</t>
        </is>
      </c>
      <c r="C123" t="inlineStr">
        <is>
          <t>DROGARIA DIMAS LTDA</t>
        </is>
      </c>
    </row>
    <row r="124">
      <c r="B124" s="55" t="inlineStr">
        <is>
          <t>02.486.036/0001-52</t>
        </is>
      </c>
      <c r="C124" t="inlineStr">
        <is>
          <t>DROGARIA DIMAS LTDA</t>
        </is>
      </c>
    </row>
    <row r="125">
      <c r="B125" s="55" t="inlineStr">
        <is>
          <t>02.521.077/0008-09</t>
        </is>
      </c>
      <c r="C125" t="inlineStr">
        <is>
          <t>CK AMORIM COMERCIO DE ARTEFATOS DE METAIS LTDA.</t>
        </is>
      </c>
    </row>
    <row r="126">
      <c r="B126" s="55" t="inlineStr">
        <is>
          <t>02.521.077/0008-09</t>
        </is>
      </c>
      <c r="C126" t="inlineStr">
        <is>
          <t>CK AMORIM COMERCIO DE ARTEFATOS DE METAIS LTDA.</t>
        </is>
      </c>
    </row>
    <row r="127">
      <c r="B127" s="55" t="inlineStr">
        <is>
          <t>02.521.077/0008-09</t>
        </is>
      </c>
      <c r="C127" t="inlineStr">
        <is>
          <t>CK AMORIM COMERCIO DE ARTEFATOS DE METAIS LTDA.</t>
        </is>
      </c>
    </row>
    <row r="128">
      <c r="B128" s="55" t="inlineStr">
        <is>
          <t>02.595.545/0001-13</t>
        </is>
      </c>
      <c r="C128" t="inlineStr">
        <is>
          <t>LINHA MEDICA COMERCIO REPRESENTACAO E IMPORTACAO LTDA</t>
        </is>
      </c>
    </row>
    <row r="129">
      <c r="B129" s="55" t="inlineStr">
        <is>
          <t>02.595.845/0001-00</t>
        </is>
      </c>
      <c r="C129" t="inlineStr">
        <is>
          <t>SIV SOFTHARD SISTEMAS LTDA</t>
        </is>
      </c>
    </row>
    <row r="130">
      <c r="B130" s="55" t="inlineStr">
        <is>
          <t>02.595.845/0001-00</t>
        </is>
      </c>
      <c r="C130" t="inlineStr">
        <is>
          <t>SIV SOFTHARD SISTEMAS LTDA</t>
        </is>
      </c>
    </row>
    <row r="131">
      <c r="B131" s="55" t="inlineStr">
        <is>
          <t>02.595.845/0001-00</t>
        </is>
      </c>
      <c r="C131" t="inlineStr">
        <is>
          <t>SIV SOFTHARD SISTEMAS LTDA</t>
        </is>
      </c>
    </row>
    <row r="132">
      <c r="B132" s="55" t="inlineStr">
        <is>
          <t>02.597.394/0001-32</t>
        </is>
      </c>
      <c r="C132" t="inlineStr">
        <is>
          <t>UNIMED VALE DO SEPOTUBA - COOPERATIVA DE TRABALHO MEDICO</t>
        </is>
      </c>
    </row>
    <row r="133">
      <c r="B133" s="55" t="inlineStr">
        <is>
          <t>02.597.394/0001-32</t>
        </is>
      </c>
      <c r="C133" t="inlineStr">
        <is>
          <t>UNIMED VALE DO SEPOTUBA - COOPERATIVA DE TRABALHO MEDICO</t>
        </is>
      </c>
    </row>
    <row r="134">
      <c r="B134" s="55" t="inlineStr">
        <is>
          <t>02.633.346/0001-52</t>
        </is>
      </c>
      <c r="C134" t="inlineStr">
        <is>
          <t>PALLAS OPERADORA TURISTICA LTDA</t>
        </is>
      </c>
    </row>
    <row r="135">
      <c r="B135" s="55" t="inlineStr">
        <is>
          <t>02.633.346/0001-52</t>
        </is>
      </c>
      <c r="C135" t="inlineStr">
        <is>
          <t>PALLAS OPERADORA TURISTICA LTDA</t>
        </is>
      </c>
    </row>
    <row r="136">
      <c r="B136" s="55" t="inlineStr">
        <is>
          <t>02.681.508/0001-28</t>
        </is>
      </c>
      <c r="C136" t="inlineStr">
        <is>
          <t>INDUSTRIA DE CALCADOS CAVAGE LTDA</t>
        </is>
      </c>
    </row>
    <row r="137">
      <c r="B137" s="55" t="inlineStr">
        <is>
          <t>02.737.654/0001-28</t>
        </is>
      </c>
      <c r="C137" t="inlineStr">
        <is>
          <t>TAC FRANQUIA INDUSTRIA E COMERCIO LTDA</t>
        </is>
      </c>
    </row>
    <row r="138">
      <c r="B138" s="55" t="inlineStr">
        <is>
          <t>02.771.903/0001-00</t>
        </is>
      </c>
      <c r="C138" t="inlineStr">
        <is>
          <t>BRASILPLAST EMBALAGENS E DESCARTAVEIS LTDA</t>
        </is>
      </c>
    </row>
    <row r="139">
      <c r="B139" s="55" t="inlineStr">
        <is>
          <t>02.771.903/0001-00</t>
        </is>
      </c>
      <c r="C139" t="inlineStr">
        <is>
          <t>BRASILPLAST EMBALAGENS E DESCARTAVEIS LTDA</t>
        </is>
      </c>
    </row>
    <row r="140">
      <c r="B140" s="55" t="inlineStr">
        <is>
          <t>02.824.638/0001-72</t>
        </is>
      </c>
      <c r="C140" t="inlineStr">
        <is>
          <t>SAO JOSE MANIPULACAO FARMACEUTICA LTDA</t>
        </is>
      </c>
    </row>
    <row r="141">
      <c r="B141" s="55" t="inlineStr">
        <is>
          <t>02.824.638/0003-34</t>
        </is>
      </c>
      <c r="C141" t="inlineStr">
        <is>
          <t>SAO JOSE MANIPULACAO FARMACEUTICA LTDA</t>
        </is>
      </c>
    </row>
    <row r="142">
      <c r="B142" s="55" t="inlineStr">
        <is>
          <t>02.834.047/0001-86</t>
        </is>
      </c>
      <c r="C142" t="inlineStr">
        <is>
          <t>R.A. DROGARIAS LTDA</t>
        </is>
      </c>
    </row>
    <row r="143">
      <c r="B143" s="55" t="inlineStr">
        <is>
          <t>02.846.188/0001-19</t>
        </is>
      </c>
      <c r="C143" t="inlineStr">
        <is>
          <t>COMERCIO DE ALIMENTOS SANTA CRUZ LTDA EM RECUPERACAO JUDICIAL</t>
        </is>
      </c>
    </row>
    <row r="144">
      <c r="B144" s="55" t="inlineStr">
        <is>
          <t>02.846.188/0001-19</t>
        </is>
      </c>
      <c r="C144" t="inlineStr">
        <is>
          <t>COMERCIO DE ALIMENTOS SANTA CRUZ LTDA EM RECUPERACAO JUDICIAL</t>
        </is>
      </c>
    </row>
    <row r="145">
      <c r="B145" s="55" t="inlineStr">
        <is>
          <t>02.850.465/0001-67</t>
        </is>
      </c>
      <c r="C145" t="inlineStr">
        <is>
          <t>A C P DE A GUILHERME</t>
        </is>
      </c>
    </row>
    <row r="146">
      <c r="B146" s="55" t="inlineStr">
        <is>
          <t>02.850.465/0001-67</t>
        </is>
      </c>
      <c r="C146" t="inlineStr">
        <is>
          <t>A C P DE A GUILHERME</t>
        </is>
      </c>
    </row>
    <row r="147">
      <c r="B147" s="55" t="inlineStr">
        <is>
          <t>02.850.465/0001-67</t>
        </is>
      </c>
      <c r="C147" t="inlineStr">
        <is>
          <t>A C P DE A GUILHERME</t>
        </is>
      </c>
    </row>
    <row r="148">
      <c r="B148" s="55" t="inlineStr">
        <is>
          <t>02.926.572/0001-21</t>
        </is>
      </c>
      <c r="C148" t="inlineStr">
        <is>
          <t>FLORES ONLINE S.A.</t>
        </is>
      </c>
    </row>
    <row r="149">
      <c r="B149" s="55" t="inlineStr">
        <is>
          <t>02.926.572/0001-21</t>
        </is>
      </c>
      <c r="C149" t="inlineStr">
        <is>
          <t>FLORES ONLINE S.A.</t>
        </is>
      </c>
    </row>
    <row r="150">
      <c r="B150" s="55" t="inlineStr">
        <is>
          <t>02.930.347/0001-69</t>
        </is>
      </c>
      <c r="C150" t="inlineStr">
        <is>
          <t>COMERCIO DE CALCADOS AYELLO MARQUES SILVA LTDA</t>
        </is>
      </c>
    </row>
    <row r="151">
      <c r="B151" s="55" t="inlineStr">
        <is>
          <t>02.968.226/0001-06</t>
        </is>
      </c>
      <c r="C151" t="inlineStr">
        <is>
          <t>GREINER BIO-ONE BRASIL SERVICE TECH SISTEMAS, PRODUTOS E SERVICOS PARA SAUDE LTDA</t>
        </is>
      </c>
    </row>
    <row r="152">
      <c r="B152" s="55" t="inlineStr">
        <is>
          <t>02.968.226/0001-06</t>
        </is>
      </c>
      <c r="C152" t="inlineStr">
        <is>
          <t>GREINER BIO-ONE BRASIL SERVICE TECH SISTEMAS, PRODUTOS E SERVICOS PARA SAUDE LTDA</t>
        </is>
      </c>
    </row>
    <row r="153">
      <c r="B153" s="55" t="inlineStr">
        <is>
          <t>02.971.360/0001-66</t>
        </is>
      </c>
      <c r="C153" t="inlineStr">
        <is>
          <t>DISVECO LTDA</t>
        </is>
      </c>
    </row>
    <row r="154">
      <c r="B154" s="55" t="inlineStr">
        <is>
          <t>02.971.360/0001-66</t>
        </is>
      </c>
      <c r="C154" t="inlineStr">
        <is>
          <t>DISVECO LTDA</t>
        </is>
      </c>
    </row>
    <row r="155">
      <c r="B155" s="55" t="inlineStr">
        <is>
          <t>02.971.360/0001-66</t>
        </is>
      </c>
      <c r="C155" t="inlineStr">
        <is>
          <t>DISVECO LTDA</t>
        </is>
      </c>
    </row>
    <row r="156">
      <c r="B156" s="55" t="inlineStr">
        <is>
          <t>02.971.360/0008-32</t>
        </is>
      </c>
      <c r="C156" t="inlineStr">
        <is>
          <t>DISVECO LTDA</t>
        </is>
      </c>
    </row>
    <row r="157">
      <c r="B157" s="55" t="inlineStr">
        <is>
          <t>02.971.360/0008-32</t>
        </is>
      </c>
      <c r="C157" t="inlineStr">
        <is>
          <t>DISVECO LTDA</t>
        </is>
      </c>
    </row>
    <row r="158">
      <c r="B158" s="55" t="inlineStr">
        <is>
          <t>02.971.360/0008-32</t>
        </is>
      </c>
      <c r="C158" t="inlineStr">
        <is>
          <t>DISVECO LTDA</t>
        </is>
      </c>
    </row>
    <row r="159">
      <c r="B159" s="55" t="inlineStr">
        <is>
          <t>02.995.233/0001-05</t>
        </is>
      </c>
      <c r="C159" t="inlineStr">
        <is>
          <t>TELECOMUNICACOES NORDESTE LTDA</t>
        </is>
      </c>
    </row>
    <row r="160">
      <c r="B160" s="55" t="inlineStr">
        <is>
          <t>03.015.366/0001-22</t>
        </is>
      </c>
      <c r="C160" t="inlineStr">
        <is>
          <t>KITAKAS DIVERSOES LTDA</t>
        </is>
      </c>
    </row>
    <row r="161">
      <c r="B161" s="55" t="inlineStr">
        <is>
          <t>03.025.155/0001-70</t>
        </is>
      </c>
      <c r="C161" t="inlineStr">
        <is>
          <t>REFRIAL DISTRIBUIDORA COMERCIAL DE MAQUINAS E PECAS LTDA.,</t>
        </is>
      </c>
    </row>
    <row r="162">
      <c r="B162" s="55" t="inlineStr">
        <is>
          <t>03.025.155/0001-70</t>
        </is>
      </c>
      <c r="C162" t="inlineStr">
        <is>
          <t>REFRIAL DISTRIBUIDORA COMERCIAL DE MAQUINAS E PECAS LTDA.,</t>
        </is>
      </c>
    </row>
    <row r="163">
      <c r="B163" s="55" t="inlineStr">
        <is>
          <t>03.025.155/0001-70</t>
        </is>
      </c>
      <c r="C163" t="inlineStr">
        <is>
          <t>REFRIAL DISTRIBUIDORA COMERCIAL DE MAQUINAS E PECAS LTDA.,</t>
        </is>
      </c>
    </row>
    <row r="164">
      <c r="B164" s="55" t="inlineStr">
        <is>
          <t>03.025.155/0001-70</t>
        </is>
      </c>
      <c r="C164" t="inlineStr">
        <is>
          <t>REFRIAL DISTRIBUIDORA COMERCIAL DE MAQUINAS E PECAS LTDA.,</t>
        </is>
      </c>
    </row>
    <row r="165">
      <c r="B165" s="55" t="inlineStr">
        <is>
          <t>03.025.155/0001-70</t>
        </is>
      </c>
      <c r="C165" t="inlineStr">
        <is>
          <t>REFRIAL DISTRIBUIDORA COMERCIAL DE MAQUINAS E PECAS LTDA.,</t>
        </is>
      </c>
    </row>
    <row r="166">
      <c r="B166" s="55" t="inlineStr">
        <is>
          <t>03.028.416/0001-06</t>
        </is>
      </c>
      <c r="C166" t="inlineStr">
        <is>
          <t>ARZ MODAS LTDA</t>
        </is>
      </c>
    </row>
    <row r="167">
      <c r="B167" s="55" t="inlineStr">
        <is>
          <t>03.065.433/0001-13</t>
        </is>
      </c>
      <c r="C167" t="inlineStr">
        <is>
          <t>L'ANNEL COMERCIO VAREJISTA DE BIJUTERIAS LTDA</t>
        </is>
      </c>
    </row>
    <row r="168">
      <c r="B168" s="55" t="inlineStr">
        <is>
          <t>03.065.433/0001-13</t>
        </is>
      </c>
      <c r="C168" t="inlineStr">
        <is>
          <t>L'ANNEL COMERCIO VAREJISTA DE BIJUTERIAS LTDA</t>
        </is>
      </c>
    </row>
    <row r="169">
      <c r="B169" s="55" t="inlineStr">
        <is>
          <t>03.090.536/0001-33</t>
        </is>
      </c>
      <c r="C169" t="inlineStr">
        <is>
          <t>ART MED MANIPULACAO E HOMEOPATIA LTDA</t>
        </is>
      </c>
    </row>
    <row r="170">
      <c r="B170" s="55" t="inlineStr">
        <is>
          <t>03.090.536/0001-33</t>
        </is>
      </c>
      <c r="C170" t="inlineStr">
        <is>
          <t>ART MED MANIPULACAO E HOMEOPATIA LTDA</t>
        </is>
      </c>
    </row>
    <row r="171">
      <c r="B171" s="55" t="inlineStr">
        <is>
          <t>03.116.785/0001-50</t>
        </is>
      </c>
      <c r="C171" t="inlineStr">
        <is>
          <t>LABOR PRODUTOS OPTICOS LTDA.</t>
        </is>
      </c>
    </row>
    <row r="172">
      <c r="B172" s="55" t="inlineStr">
        <is>
          <t>03.116.785/0001-50</t>
        </is>
      </c>
      <c r="C172" t="inlineStr">
        <is>
          <t>LABOR PRODUTOS OPTICOS LTDA.</t>
        </is>
      </c>
    </row>
    <row r="173">
      <c r="B173" s="55" t="inlineStr">
        <is>
          <t>03.199.269/0001-37</t>
        </is>
      </c>
      <c r="C173" t="inlineStr">
        <is>
          <t>MK EDICOES MUSICAIS LTDA.</t>
        </is>
      </c>
    </row>
    <row r="174">
      <c r="B174" s="55" t="inlineStr">
        <is>
          <t>03.199.269/0001-37</t>
        </is>
      </c>
      <c r="C174" t="inlineStr">
        <is>
          <t>MK EDICOES MUSICAIS LTDA.</t>
        </is>
      </c>
    </row>
    <row r="175">
      <c r="B175" s="55" t="inlineStr">
        <is>
          <t>03.199.269/0001-37</t>
        </is>
      </c>
      <c r="C175" t="inlineStr">
        <is>
          <t>MK EDICOES MUSICAIS LTDA.</t>
        </is>
      </c>
    </row>
    <row r="176">
      <c r="B176" s="55" t="inlineStr">
        <is>
          <t>03.199.269/0001-37</t>
        </is>
      </c>
      <c r="C176" t="inlineStr">
        <is>
          <t>MK EDICOES MUSICAIS LTDA.</t>
        </is>
      </c>
    </row>
    <row r="177">
      <c r="B177" s="55" t="inlineStr">
        <is>
          <t>03.222.144/0001-80</t>
        </is>
      </c>
      <c r="C177" t="inlineStr">
        <is>
          <t>FARMACIA FARMA2000 LTDA</t>
        </is>
      </c>
    </row>
    <row r="178">
      <c r="B178" s="55" t="inlineStr">
        <is>
          <t>03.222.144/0001-80</t>
        </is>
      </c>
      <c r="C178" t="inlineStr">
        <is>
          <t>FARMACIA FARMA2000 LTDA</t>
        </is>
      </c>
    </row>
    <row r="179">
      <c r="B179" s="55" t="inlineStr">
        <is>
          <t>03.222.144/0001-80</t>
        </is>
      </c>
      <c r="C179" t="inlineStr">
        <is>
          <t>FARMACIA FARMA2000 LTDA</t>
        </is>
      </c>
    </row>
    <row r="180">
      <c r="B180" s="55" t="inlineStr">
        <is>
          <t>03.235.005/0001-91</t>
        </is>
      </c>
      <c r="C180" t="inlineStr">
        <is>
          <t>INSTITUTO DE IDIOMAS TRUJILLO LTDA</t>
        </is>
      </c>
    </row>
    <row r="181">
      <c r="B181" s="55" t="inlineStr">
        <is>
          <t>03.238.514/0001-78</t>
        </is>
      </c>
      <c r="C181" t="inlineStr">
        <is>
          <t>PUGA COMERCIO DE CALCADOS LTDA</t>
        </is>
      </c>
    </row>
    <row r="182">
      <c r="B182" s="55" t="inlineStr">
        <is>
          <t>03.266.271/0001-81</t>
        </is>
      </c>
      <c r="C182" t="inlineStr">
        <is>
          <t>03.266.271 EBERT MARQUES COELHO</t>
        </is>
      </c>
    </row>
    <row r="183">
      <c r="B183" s="55" t="inlineStr">
        <is>
          <t>03.300.062/0001-07</t>
        </is>
      </c>
      <c r="C183" t="inlineStr">
        <is>
          <t>COOPERFLORA-COOPERATIVA DOS FLORICULTORES</t>
        </is>
      </c>
    </row>
    <row r="184">
      <c r="B184" s="55" t="inlineStr">
        <is>
          <t>03.300.062/0001-07</t>
        </is>
      </c>
      <c r="C184" t="inlineStr">
        <is>
          <t>COOPERFLORA-COOPERATIVA DOS FLORICULTORES</t>
        </is>
      </c>
    </row>
    <row r="185">
      <c r="B185" s="55" t="inlineStr">
        <is>
          <t>03.300.062/0001-07</t>
        </is>
      </c>
      <c r="C185" t="inlineStr">
        <is>
          <t>COOPERFLORA-COOPERATIVA DOS FLORICULTORES</t>
        </is>
      </c>
    </row>
    <row r="186">
      <c r="B186" s="55" t="inlineStr">
        <is>
          <t>03.438.029/0001-48</t>
        </is>
      </c>
      <c r="C186" t="inlineStr">
        <is>
          <t>VOLPMANN SEGURANCA ELETRONICA LTDA</t>
        </is>
      </c>
    </row>
    <row r="187">
      <c r="B187" s="55" t="inlineStr">
        <is>
          <t>03.439.316/0001-72</t>
        </is>
      </c>
      <c r="C187" t="inlineStr">
        <is>
          <t>CONSTRUDECOR S/A</t>
        </is>
      </c>
    </row>
    <row r="188">
      <c r="B188" s="55" t="inlineStr">
        <is>
          <t>03.439.316/0001-72</t>
        </is>
      </c>
      <c r="C188" t="inlineStr">
        <is>
          <t>CONSTRUDECOR S/A</t>
        </is>
      </c>
    </row>
    <row r="189">
      <c r="B189" s="55" t="inlineStr">
        <is>
          <t>03.439.316/0001-72</t>
        </is>
      </c>
      <c r="C189" t="inlineStr">
        <is>
          <t>CONSTRUDECOR S/A</t>
        </is>
      </c>
    </row>
    <row r="190">
      <c r="B190" s="55" t="inlineStr">
        <is>
          <t>03.439.316/0001-72</t>
        </is>
      </c>
      <c r="C190" t="inlineStr">
        <is>
          <t>CONSTRUDECOR S/A</t>
        </is>
      </c>
    </row>
    <row r="191">
      <c r="B191" s="55" t="inlineStr">
        <is>
          <t>03.447.568/0001-43</t>
        </is>
      </c>
      <c r="C191" t="inlineStr">
        <is>
          <t>ASSOCIACAO INSTITUTO NACIONAL DE MATEMATICA PURA E APLICADA</t>
        </is>
      </c>
    </row>
    <row r="192">
      <c r="B192" s="55" t="inlineStr">
        <is>
          <t>03.447.568/0001-43</t>
        </is>
      </c>
      <c r="C192" t="inlineStr">
        <is>
          <t>ASSOCIACAO INSTITUTO NACIONAL DE MATEMATICA PURA E APLICADA</t>
        </is>
      </c>
    </row>
    <row r="193">
      <c r="B193" s="55" t="inlineStr">
        <is>
          <t>03.447.568/0001-43</t>
        </is>
      </c>
      <c r="C193" t="inlineStr">
        <is>
          <t>ASSOCIACAO INSTITUTO NACIONAL DE MATEMATICA PURA E APLICADA</t>
        </is>
      </c>
    </row>
    <row r="194">
      <c r="B194" s="55" t="inlineStr">
        <is>
          <t>03.537.589/0001-50</t>
        </is>
      </c>
      <c r="C194" t="inlineStr">
        <is>
          <t>MASTER CARGAS BRASIL LTDA</t>
        </is>
      </c>
    </row>
    <row r="195">
      <c r="B195" s="55" t="inlineStr">
        <is>
          <t>03.635.174/0001-19</t>
        </is>
      </c>
      <c r="C195" t="inlineStr">
        <is>
          <t>BANCORBRAS TURISMO S.A</t>
        </is>
      </c>
    </row>
    <row r="196">
      <c r="B196" s="55" t="inlineStr">
        <is>
          <t>03.640.467/0001-94</t>
        </is>
      </c>
      <c r="C196" t="inlineStr">
        <is>
          <t>SUPERMERCADOS JAU SERVE LTDA</t>
        </is>
      </c>
    </row>
    <row r="197">
      <c r="B197" s="55" t="inlineStr">
        <is>
          <t>03.640.467/0001-94</t>
        </is>
      </c>
      <c r="C197" t="inlineStr">
        <is>
          <t>SUPERMERCADOS JAU SERVE LTDA</t>
        </is>
      </c>
    </row>
    <row r="198">
      <c r="B198" s="55" t="inlineStr">
        <is>
          <t>03.640.467/0001-94</t>
        </is>
      </c>
      <c r="C198" t="inlineStr">
        <is>
          <t>SUPERMERCADOS JAU SERVE LTDA</t>
        </is>
      </c>
    </row>
    <row r="199">
      <c r="B199" s="55" t="inlineStr">
        <is>
          <t>03.640.467/0001-94</t>
        </is>
      </c>
      <c r="C199" t="inlineStr">
        <is>
          <t>SUPERMERCADOS JAU SERVE LTDA</t>
        </is>
      </c>
    </row>
    <row r="200">
      <c r="B200" s="55" t="inlineStr">
        <is>
          <t>03.640.467/0001-94</t>
        </is>
      </c>
      <c r="C200" t="inlineStr">
        <is>
          <t>SUPERMERCADOS JAU SERVE LTDA</t>
        </is>
      </c>
    </row>
    <row r="201">
      <c r="B201" s="55" t="inlineStr">
        <is>
          <t>03.640.467/0001-94</t>
        </is>
      </c>
      <c r="C201" t="inlineStr">
        <is>
          <t>SUPERMERCADOS JAU SERVE LTDA</t>
        </is>
      </c>
    </row>
    <row r="202">
      <c r="B202" s="55" t="inlineStr">
        <is>
          <t>03.640.467/0001-94</t>
        </is>
      </c>
      <c r="C202" t="inlineStr">
        <is>
          <t>SUPERMERCADOS JAU SERVE LTDA</t>
        </is>
      </c>
    </row>
    <row r="203">
      <c r="B203" s="55" t="inlineStr">
        <is>
          <t>03.656.472/0001-95</t>
        </is>
      </c>
      <c r="C203" t="inlineStr">
        <is>
          <t>MEDFORMULA -  FARMACIA  DE MANIPULACAO  LTDA</t>
        </is>
      </c>
    </row>
    <row r="204">
      <c r="B204" s="55" t="inlineStr">
        <is>
          <t>03.656.472/0001-95</t>
        </is>
      </c>
      <c r="C204" t="inlineStr">
        <is>
          <t>MEDFORMULA -  FARMACIA  DE MANIPULACAO  LTDA</t>
        </is>
      </c>
    </row>
    <row r="205">
      <c r="B205" s="55" t="inlineStr">
        <is>
          <t>03.656.472/0001-95</t>
        </is>
      </c>
      <c r="C205" t="inlineStr">
        <is>
          <t>MEDFORMULA -  FARMACIA  DE MANIPULACAO  LTDA</t>
        </is>
      </c>
    </row>
    <row r="206">
      <c r="B206" s="55" t="inlineStr">
        <is>
          <t>03.708.173/0001-57</t>
        </is>
      </c>
      <c r="C206" t="inlineStr">
        <is>
          <t>SANTOS &amp; SOARES DROGARIA LTDA</t>
        </is>
      </c>
    </row>
    <row r="207">
      <c r="B207" s="55" t="inlineStr">
        <is>
          <t>03.708.173/0001-57</t>
        </is>
      </c>
      <c r="C207" t="inlineStr">
        <is>
          <t>SANTOS &amp; SOARES DROGARIA LTDA</t>
        </is>
      </c>
    </row>
    <row r="208">
      <c r="B208" s="55" t="inlineStr">
        <is>
          <t>03.708.173/0001-57</t>
        </is>
      </c>
      <c r="C208" t="inlineStr">
        <is>
          <t>SANTOS &amp; SOARES DROGARIA LTDA</t>
        </is>
      </c>
    </row>
    <row r="209">
      <c r="B209" s="55" t="inlineStr">
        <is>
          <t>03.709.814/0001-98</t>
        </is>
      </c>
      <c r="C209" t="inlineStr">
        <is>
          <t>SERVICO NACIONAL DE APRENDIZAGEM COMERCIAL SENAC</t>
        </is>
      </c>
    </row>
    <row r="210">
      <c r="B210" s="55" t="inlineStr">
        <is>
          <t>03.715.646/0001-43</t>
        </is>
      </c>
      <c r="C210" t="inlineStr">
        <is>
          <t>PERKAL AUTOMOVEIS LTDA</t>
        </is>
      </c>
    </row>
    <row r="211">
      <c r="B211" s="55" t="inlineStr">
        <is>
          <t>03.720.814/0001-99</t>
        </is>
      </c>
      <c r="C211" t="inlineStr">
        <is>
          <t>TRAVEL.COM VIAGENS E TURISMO LTDA</t>
        </is>
      </c>
    </row>
    <row r="212">
      <c r="B212" s="55" t="inlineStr">
        <is>
          <t>03.720.814/0001-99</t>
        </is>
      </c>
      <c r="C212" t="inlineStr">
        <is>
          <t>TRAVEL.COM VIAGENS E TURISMO LTDA</t>
        </is>
      </c>
    </row>
    <row r="213">
      <c r="B213" s="55" t="inlineStr">
        <is>
          <t>03.738.295/0001-96</t>
        </is>
      </c>
      <c r="C213" t="inlineStr">
        <is>
          <t>FAST SOLUTION - SERVICOS ADMINISTRATIVOS E FINANCEIROS LTDA</t>
        </is>
      </c>
    </row>
    <row r="214">
      <c r="B214" s="55" t="inlineStr">
        <is>
          <t>03.738.295/0001-96</t>
        </is>
      </c>
      <c r="C214" t="inlineStr">
        <is>
          <t>FAST SOLUTION - SERVICOS ADMINISTRATIVOS E FINANCEIROS LTDA</t>
        </is>
      </c>
    </row>
    <row r="215">
      <c r="B215" s="55" t="inlineStr">
        <is>
          <t>03.738.295/0001-96</t>
        </is>
      </c>
      <c r="C215" t="inlineStr">
        <is>
          <t>FAST SOLUTION - SERVICOS ADMINISTRATIVOS E FINANCEIROS LTDA</t>
        </is>
      </c>
    </row>
    <row r="216">
      <c r="B216" s="55" t="inlineStr">
        <is>
          <t>03.738.295/0001-96</t>
        </is>
      </c>
      <c r="C216" t="inlineStr">
        <is>
          <t>FAST SOLUTION - SERVICOS ADMINISTRATIVOS E FINANCEIROS LTDA</t>
        </is>
      </c>
    </row>
    <row r="217">
      <c r="B217" s="55" t="inlineStr">
        <is>
          <t>03.764.657/0001-13</t>
        </is>
      </c>
      <c r="C217" t="inlineStr">
        <is>
          <t>ROJEMAC IMPORTACAO E EXPORTACAO LIMITADA</t>
        </is>
      </c>
    </row>
    <row r="218">
      <c r="B218" s="55" t="inlineStr">
        <is>
          <t>03.781.919/0001-58</t>
        </is>
      </c>
      <c r="C218" t="inlineStr">
        <is>
          <t>FASM COMERCIO DE ARTIGOS DO VESTUARIO LTDA</t>
        </is>
      </c>
    </row>
    <row r="219">
      <c r="B219" s="55" t="inlineStr">
        <is>
          <t>03.789.872/0001-79</t>
        </is>
      </c>
      <c r="C219" t="inlineStr">
        <is>
          <t>PAX NACIONAL PREVER SERVICOS POSTUMOS LTDA</t>
        </is>
      </c>
    </row>
    <row r="220">
      <c r="B220" s="55" t="inlineStr">
        <is>
          <t>03.789.872/0001-79</t>
        </is>
      </c>
      <c r="C220" t="inlineStr">
        <is>
          <t>PAX NACIONAL PREVER SERVICOS POSTUMOS LTDA</t>
        </is>
      </c>
    </row>
    <row r="221">
      <c r="B221" s="55" t="inlineStr">
        <is>
          <t>03.794.556/0001-95</t>
        </is>
      </c>
      <c r="C221" t="inlineStr">
        <is>
          <t>POUSADA PENHASCO LTDA</t>
        </is>
      </c>
    </row>
    <row r="222">
      <c r="B222" s="55" t="inlineStr">
        <is>
          <t>03.794.556/0001-95</t>
        </is>
      </c>
      <c r="C222" t="inlineStr">
        <is>
          <t>POUSADA PENHASCO LTDA</t>
        </is>
      </c>
    </row>
    <row r="223">
      <c r="B223" s="55" t="inlineStr">
        <is>
          <t>03.816.413/0001-37</t>
        </is>
      </c>
      <c r="C223" t="inlineStr">
        <is>
          <t>PAGUEVELOZ INSTITUICAO DE PAGAMENTO LTDA</t>
        </is>
      </c>
    </row>
    <row r="224">
      <c r="B224" s="55" t="inlineStr">
        <is>
          <t>03.816.413/0001-37</t>
        </is>
      </c>
      <c r="C224" t="inlineStr">
        <is>
          <t>PAGUEVELOZ INSTITUICAO DE PAGAMENTO LTDA</t>
        </is>
      </c>
    </row>
    <row r="225">
      <c r="B225" s="55" t="inlineStr">
        <is>
          <t>03.817.469/0001-06</t>
        </is>
      </c>
      <c r="C225" t="inlineStr">
        <is>
          <t>TOYAMA DO BRASIL MAQUINAS LTDA.</t>
        </is>
      </c>
    </row>
    <row r="226">
      <c r="B226" s="55" t="inlineStr">
        <is>
          <t>03.817.469/0001-06</t>
        </is>
      </c>
      <c r="C226" t="inlineStr">
        <is>
          <t>TOYAMA DO BRASIL MAQUINAS LTDA.</t>
        </is>
      </c>
    </row>
    <row r="227">
      <c r="B227" s="55" t="inlineStr">
        <is>
          <t>03.836.946/0001-80</t>
        </is>
      </c>
      <c r="C227" t="inlineStr">
        <is>
          <t>CLAUDIA E GIOVANA CALCADOS LTDA</t>
        </is>
      </c>
    </row>
    <row r="228">
      <c r="B228" s="55" t="inlineStr">
        <is>
          <t>03.836.946/0001-80</t>
        </is>
      </c>
      <c r="C228" t="inlineStr">
        <is>
          <t>CLAUDIA E GIOVANA CALCADOS LTDA</t>
        </is>
      </c>
    </row>
    <row r="229">
      <c r="B229" s="55" t="inlineStr">
        <is>
          <t>03.838.332/0001-38</t>
        </is>
      </c>
      <c r="C229" t="inlineStr">
        <is>
          <t>FERNANDES DINIZ - COMERCIO DE CALCADOS LTDA</t>
        </is>
      </c>
    </row>
    <row r="230">
      <c r="B230" s="55" t="inlineStr">
        <is>
          <t>03.870.341/0002-97</t>
        </is>
      </c>
      <c r="C230" t="inlineStr">
        <is>
          <t>SANTA EMILIA MOTORS-COMERCIAL DE VEICULOS E PECAS LTDA</t>
        </is>
      </c>
    </row>
    <row r="231">
      <c r="B231" s="55" t="inlineStr">
        <is>
          <t>03.870.341/0002-97</t>
        </is>
      </c>
      <c r="C231" t="inlineStr">
        <is>
          <t>SANTA EMILIA MOTORS-COMERCIAL DE VEICULOS E PECAS LTDA</t>
        </is>
      </c>
    </row>
    <row r="232">
      <c r="B232" s="55" t="inlineStr">
        <is>
          <t>03.870.341/0002-97</t>
        </is>
      </c>
      <c r="C232" t="inlineStr">
        <is>
          <t>SANTA EMILIA MOTORS-COMERCIAL DE VEICULOS E PECAS LTDA</t>
        </is>
      </c>
    </row>
    <row r="233">
      <c r="B233" s="55" t="inlineStr">
        <is>
          <t>03.930.139/0001-22</t>
        </is>
      </c>
      <c r="C233" t="inlineStr">
        <is>
          <t>ESI VGM INFORMATICA LTDA</t>
        </is>
      </c>
    </row>
    <row r="234">
      <c r="B234" s="55" t="inlineStr">
        <is>
          <t>03.936.898/0001-00</t>
        </is>
      </c>
      <c r="C234" t="inlineStr">
        <is>
          <t>MOREIA CALCADOS LTDA (baixada)</t>
        </is>
      </c>
    </row>
    <row r="235">
      <c r="B235" s="55" t="inlineStr">
        <is>
          <t>03.943.249/0001-29</t>
        </is>
      </c>
      <c r="C235" t="inlineStr">
        <is>
          <t>GERMANO ZENI VEICULOS LTDA</t>
        </is>
      </c>
    </row>
    <row r="236">
      <c r="B236" s="55" t="inlineStr">
        <is>
          <t>03.943.249/0001-29</t>
        </is>
      </c>
      <c r="C236" t="inlineStr">
        <is>
          <t>GERMANO ZENI VEICULOS LTDA</t>
        </is>
      </c>
    </row>
    <row r="237">
      <c r="B237" s="55" t="inlineStr">
        <is>
          <t>03.943.249/0001-29</t>
        </is>
      </c>
      <c r="C237" t="inlineStr">
        <is>
          <t>GERMANO ZENI VEICULOS LTDA</t>
        </is>
      </c>
    </row>
    <row r="238">
      <c r="B238" s="55" t="inlineStr">
        <is>
          <t>03.951.956/0001-67</t>
        </is>
      </c>
      <c r="C238" t="inlineStr">
        <is>
          <t>CENTRAL DO CARNAVAL PRODUCOES ARTISTICAS LTDA</t>
        </is>
      </c>
    </row>
    <row r="239">
      <c r="B239" s="55" t="inlineStr">
        <is>
          <t>03.951.956/0001-67</t>
        </is>
      </c>
      <c r="C239" t="inlineStr">
        <is>
          <t>CENTRAL DO CARNAVAL PRODUCOES ARTISTICAS LTDA</t>
        </is>
      </c>
    </row>
    <row r="240">
      <c r="B240" s="55" t="inlineStr">
        <is>
          <t>03.951.956/0001-67</t>
        </is>
      </c>
      <c r="C240" t="inlineStr">
        <is>
          <t>CENTRAL DO CARNAVAL PRODUCOES ARTISTICAS LTDA</t>
        </is>
      </c>
    </row>
    <row r="241">
      <c r="B241" s="55" t="inlineStr">
        <is>
          <t>03.951.956/0001-67</t>
        </is>
      </c>
      <c r="C241" t="inlineStr">
        <is>
          <t>CENTRAL DO CARNAVAL PRODUCOES ARTISTICAS LTDA</t>
        </is>
      </c>
    </row>
    <row r="242">
      <c r="B242" s="55" t="inlineStr">
        <is>
          <t>03.951.956/0001-67</t>
        </is>
      </c>
      <c r="C242" t="inlineStr">
        <is>
          <t>CENTRAL DO CARNAVAL PRODUCOES ARTISTICAS LTDA</t>
        </is>
      </c>
    </row>
    <row r="243">
      <c r="B243" s="55" t="inlineStr">
        <is>
          <t>03.960.122/0002-07</t>
        </is>
      </c>
      <c r="C243" t="inlineStr">
        <is>
          <t>DANIELLA PINTO DE MENEZES VIEGAS LTDA</t>
        </is>
      </c>
    </row>
    <row r="244">
      <c r="B244" s="55" t="inlineStr">
        <is>
          <t>03.960.122/0002-07</t>
        </is>
      </c>
      <c r="C244" t="inlineStr">
        <is>
          <t>DANIELLA PINTO DE MENEZES VIEGAS LTDA</t>
        </is>
      </c>
    </row>
    <row r="245">
      <c r="B245" s="55" t="inlineStr">
        <is>
          <t>03.966.019/0001-85</t>
        </is>
      </c>
      <c r="C245" t="inlineStr">
        <is>
          <t>COMERCIAL MATRIT LTDA</t>
        </is>
      </c>
    </row>
    <row r="246">
      <c r="B246" s="55" t="inlineStr">
        <is>
          <t>03.977.536/0001-50</t>
        </is>
      </c>
      <c r="C246" t="inlineStr">
        <is>
          <t>GLOBAL PRODUCTS SOLUTIONS LATIN AMERICA INDUSTRIA E COMERCIO S.A.</t>
        </is>
      </c>
    </row>
    <row r="247">
      <c r="B247" s="55" t="inlineStr">
        <is>
          <t>03.990.047/0001-38</t>
        </is>
      </c>
      <c r="C247" t="inlineStr">
        <is>
          <t>ENGIPLAST COMERCIO DE MOLDES LTDA</t>
        </is>
      </c>
    </row>
    <row r="248">
      <c r="B248" s="55" t="inlineStr">
        <is>
          <t>04.004.760/0001-28</t>
        </is>
      </c>
      <c r="C248" t="inlineStr">
        <is>
          <t>TMI TRAVEL MART INTERNATIONAL LTDA</t>
        </is>
      </c>
    </row>
    <row r="249">
      <c r="B249" s="55" t="inlineStr">
        <is>
          <t>04.008.342/0001-09</t>
        </is>
      </c>
      <c r="C249" t="inlineStr">
        <is>
          <t>FUNDACAO VALE DO TAQUARI DE EDUCACAO E DESENVOLVIMENTO SOCIAL - FUVATES</t>
        </is>
      </c>
    </row>
    <row r="250">
      <c r="B250" s="55" t="inlineStr">
        <is>
          <t>04.026.631/0001-30</t>
        </is>
      </c>
      <c r="C250" t="inlineStr">
        <is>
          <t>DRESSING CALCADOS E ACESSORIOS LTDA</t>
        </is>
      </c>
    </row>
    <row r="251">
      <c r="B251" s="55" t="inlineStr">
        <is>
          <t>04.074.648/0001-63</t>
        </is>
      </c>
      <c r="C251" t="inlineStr">
        <is>
          <t>MACEDO COMERCIAL DE CALCADOS LTDA</t>
        </is>
      </c>
    </row>
    <row r="252">
      <c r="B252" s="55" t="inlineStr">
        <is>
          <t>04.082.624/0001-56</t>
        </is>
      </c>
      <c r="C252" t="inlineStr">
        <is>
          <t>IRMAOS GONCALVES COMERCIO E INDUSTRIA LTDA.</t>
        </is>
      </c>
    </row>
    <row r="253">
      <c r="B253" s="55" t="inlineStr">
        <is>
          <t>04.082.624/0001-56</t>
        </is>
      </c>
      <c r="C253" t="inlineStr">
        <is>
          <t>IRMAOS GONCALVES COMERCIO E INDUSTRIA LTDA.</t>
        </is>
      </c>
    </row>
    <row r="254">
      <c r="B254" s="55" t="inlineStr">
        <is>
          <t>04.114.403/0001-12</t>
        </is>
      </c>
      <c r="C254" t="inlineStr">
        <is>
          <t>PINHO SANTOS &amp; CIA LTDA</t>
        </is>
      </c>
    </row>
    <row r="255">
      <c r="B255" s="55" t="inlineStr">
        <is>
          <t>04.114.403/0001-12</t>
        </is>
      </c>
      <c r="C255" t="inlineStr">
        <is>
          <t>PINHO SANTOS &amp; CIA LTDA</t>
        </is>
      </c>
    </row>
    <row r="256">
      <c r="B256" s="55" t="inlineStr">
        <is>
          <t>04.114.403/0001-12</t>
        </is>
      </c>
      <c r="C256" t="inlineStr">
        <is>
          <t>PINHO SANTOS &amp; CIA LTDA</t>
        </is>
      </c>
    </row>
    <row r="257">
      <c r="B257" s="55" t="inlineStr">
        <is>
          <t>04.145.176/0001-92</t>
        </is>
      </c>
      <c r="C257" t="inlineStr">
        <is>
          <t>CLINIPREV CONSULTORIOS MEDICOS LTDA</t>
        </is>
      </c>
    </row>
    <row r="258">
      <c r="B258" s="55" t="inlineStr">
        <is>
          <t>04.185.877/0001-55</t>
        </is>
      </c>
      <c r="C258" t="inlineStr">
        <is>
          <t>JS DISTRIBUIDORA DE PECAS S/A</t>
        </is>
      </c>
    </row>
    <row r="259">
      <c r="B259" s="55" t="inlineStr">
        <is>
          <t>04.200.198/0001-08</t>
        </is>
      </c>
      <c r="C259" t="inlineStr">
        <is>
          <t>MARLON BONILHA LTDA</t>
        </is>
      </c>
    </row>
    <row r="260">
      <c r="B260" s="55" t="inlineStr">
        <is>
          <t>04.200.198/0001-08</t>
        </is>
      </c>
      <c r="C260" t="inlineStr">
        <is>
          <t>MARLON BONILHA LTDA</t>
        </is>
      </c>
    </row>
    <row r="261">
      <c r="B261" s="55" t="inlineStr">
        <is>
          <t>04.217.396/0001-84</t>
        </is>
      </c>
      <c r="C261" t="inlineStr">
        <is>
          <t>REDE DA MODA LTDA</t>
        </is>
      </c>
    </row>
    <row r="262">
      <c r="B262" s="55" t="inlineStr">
        <is>
          <t>04.227.467/0001-20</t>
        </is>
      </c>
      <c r="C262" t="inlineStr">
        <is>
          <t>GENTIL NEGOCIOS COMERCIO E FRANCHISING LTDA</t>
        </is>
      </c>
    </row>
    <row r="263">
      <c r="B263" s="55" t="inlineStr">
        <is>
          <t>04.244.807/0012-83</t>
        </is>
      </c>
      <c r="C263" t="inlineStr">
        <is>
          <t>FR INDUSTRIA E COMERCIO DE MOVEIS S/A</t>
        </is>
      </c>
    </row>
    <row r="264">
      <c r="B264" s="55" t="inlineStr">
        <is>
          <t>04.244.807/0012-83</t>
        </is>
      </c>
      <c r="C264" t="inlineStr">
        <is>
          <t>FR INDUSTRIA E COMERCIO DE MOVEIS S/A</t>
        </is>
      </c>
    </row>
    <row r="265">
      <c r="B265" s="55" t="inlineStr">
        <is>
          <t>04.249.984/0001-08</t>
        </is>
      </c>
      <c r="C265" t="inlineStr">
        <is>
          <t>NSA CALCADOS E ACESSORIOS LTDA</t>
        </is>
      </c>
    </row>
    <row r="266">
      <c r="B266" s="55" t="inlineStr">
        <is>
          <t>04.249.984/0001-08</t>
        </is>
      </c>
      <c r="C266" t="inlineStr">
        <is>
          <t>NSA CALCADOS E ACESSORIOS LTDA</t>
        </is>
      </c>
    </row>
    <row r="267">
      <c r="B267" s="55" t="inlineStr">
        <is>
          <t>04.429.764/0001-58</t>
        </is>
      </c>
      <c r="C267" t="inlineStr">
        <is>
          <t>CURUPY ACQUA PARK HOTEL LTDA</t>
        </is>
      </c>
    </row>
    <row r="268">
      <c r="B268" s="55" t="inlineStr">
        <is>
          <t>04.484.321/0007-55</t>
        </is>
      </c>
      <c r="C268" t="inlineStr">
        <is>
          <t>PROMEX COMERCIO, IMPORTACAO E EXPORTACAO LTDA</t>
        </is>
      </c>
    </row>
    <row r="269">
      <c r="B269" s="55" t="inlineStr">
        <is>
          <t>04.521.258/0010-85</t>
        </is>
      </c>
      <c r="C269" t="inlineStr">
        <is>
          <t>J CRUZ LTDA</t>
        </is>
      </c>
    </row>
    <row r="270">
      <c r="B270" s="55" t="inlineStr">
        <is>
          <t>04.521.258/0010-85</t>
        </is>
      </c>
      <c r="C270" t="inlineStr">
        <is>
          <t>J CRUZ LTDA</t>
        </is>
      </c>
    </row>
    <row r="271">
      <c r="B271" s="55" t="inlineStr">
        <is>
          <t>04.521.258/0016-70</t>
        </is>
      </c>
      <c r="C271" t="inlineStr">
        <is>
          <t>J CRUZ LTDA</t>
        </is>
      </c>
    </row>
    <row r="272">
      <c r="B272" s="55" t="inlineStr">
        <is>
          <t>04.521.258/0016-70</t>
        </is>
      </c>
      <c r="C272" t="inlineStr">
        <is>
          <t>J CRUZ LTDA</t>
        </is>
      </c>
    </row>
    <row r="273">
      <c r="B273" s="55" t="inlineStr">
        <is>
          <t>04.521.258/0019-13</t>
        </is>
      </c>
      <c r="C273" t="inlineStr">
        <is>
          <t>J CRUZ LTDA</t>
        </is>
      </c>
    </row>
    <row r="274">
      <c r="B274" s="55" t="inlineStr">
        <is>
          <t>04.521.258/0019-13</t>
        </is>
      </c>
      <c r="C274" t="inlineStr">
        <is>
          <t>J CRUZ LTDA</t>
        </is>
      </c>
    </row>
    <row r="275">
      <c r="B275" s="55" t="inlineStr">
        <is>
          <t>04.521.258/0024-80</t>
        </is>
      </c>
      <c r="C275" t="inlineStr">
        <is>
          <t>J CRUZ LTDA</t>
        </is>
      </c>
    </row>
    <row r="276">
      <c r="B276" s="55" t="inlineStr">
        <is>
          <t>04.521.258/0024-80</t>
        </is>
      </c>
      <c r="C276" t="inlineStr">
        <is>
          <t>J CRUZ LTDA</t>
        </is>
      </c>
    </row>
    <row r="277">
      <c r="B277" s="55" t="inlineStr">
        <is>
          <t>04.521.258/0029-95</t>
        </is>
      </c>
      <c r="C277" t="inlineStr">
        <is>
          <t>J CRUZ LTDA</t>
        </is>
      </c>
    </row>
    <row r="278">
      <c r="B278" s="55" t="inlineStr">
        <is>
          <t>04.521.258/0029-95</t>
        </is>
      </c>
      <c r="C278" t="inlineStr">
        <is>
          <t>J CRUZ LTDA</t>
        </is>
      </c>
    </row>
    <row r="279">
      <c r="B279" s="55" t="inlineStr">
        <is>
          <t>04.521.258/0032-90</t>
        </is>
      </c>
      <c r="C279" t="inlineStr">
        <is>
          <t>J CRUZ LTDA</t>
        </is>
      </c>
    </row>
    <row r="280">
      <c r="B280" s="55" t="inlineStr">
        <is>
          <t>04.521.258/0032-90</t>
        </is>
      </c>
      <c r="C280" t="inlineStr">
        <is>
          <t>J CRUZ LTDA</t>
        </is>
      </c>
    </row>
    <row r="281">
      <c r="B281" s="55" t="inlineStr">
        <is>
          <t>04.521.258/0035-33</t>
        </is>
      </c>
      <c r="C281" t="inlineStr">
        <is>
          <t>J CRUZ LTDA</t>
        </is>
      </c>
    </row>
    <row r="282">
      <c r="B282" s="55" t="inlineStr">
        <is>
          <t>04.521.258/0035-33</t>
        </is>
      </c>
      <c r="C282" t="inlineStr">
        <is>
          <t>J CRUZ LTDA</t>
        </is>
      </c>
    </row>
    <row r="283">
      <c r="B283" s="55" t="inlineStr">
        <is>
          <t>04.561.957/0001-68</t>
        </is>
      </c>
      <c r="C283" t="inlineStr">
        <is>
          <t>IMPORTADORA TV LAR LTDA</t>
        </is>
      </c>
    </row>
    <row r="284">
      <c r="B284" s="55" t="inlineStr">
        <is>
          <t>04.561.957/0001-68</t>
        </is>
      </c>
      <c r="C284" t="inlineStr">
        <is>
          <t>IMPORTADORA TV LAR LTDA</t>
        </is>
      </c>
    </row>
    <row r="285">
      <c r="B285" s="55" t="inlineStr">
        <is>
          <t>04.561.957/0001-68</t>
        </is>
      </c>
      <c r="C285" t="inlineStr">
        <is>
          <t>IMPORTADORA TV LAR LTDA</t>
        </is>
      </c>
    </row>
    <row r="286">
      <c r="B286" s="55" t="inlineStr">
        <is>
          <t>04.561.957/0001-68</t>
        </is>
      </c>
      <c r="C286" t="inlineStr">
        <is>
          <t>IMPORTADORA TV LAR LTDA</t>
        </is>
      </c>
    </row>
    <row r="287">
      <c r="B287" s="55" t="inlineStr">
        <is>
          <t>04.561.957/0001-68</t>
        </is>
      </c>
      <c r="C287" t="inlineStr">
        <is>
          <t>IMPORTADORA TV LAR LTDA</t>
        </is>
      </c>
    </row>
    <row r="288">
      <c r="B288" s="55" t="inlineStr">
        <is>
          <t>04.566.498/0001-05</t>
        </is>
      </c>
      <c r="C288" t="inlineStr">
        <is>
          <t>LASLUC CALCADOS, BOLSAS E ACESSORIOS LTDA</t>
        </is>
      </c>
    </row>
    <row r="289">
      <c r="B289" s="55" t="inlineStr">
        <is>
          <t>04.566.498/0001-05</t>
        </is>
      </c>
      <c r="C289" t="inlineStr">
        <is>
          <t>LASLUC CALCADOS, BOLSAS E ACESSORIOS LTDA</t>
        </is>
      </c>
    </row>
    <row r="290">
      <c r="B290" s="55" t="inlineStr">
        <is>
          <t>04.569.913/0001-84</t>
        </is>
      </c>
      <c r="C290" t="inlineStr">
        <is>
          <t>FIGUEREDO &amp; FILHOS LTDA</t>
        </is>
      </c>
    </row>
    <row r="291">
      <c r="B291" s="55" t="inlineStr">
        <is>
          <t>04.569.913/0001-84</t>
        </is>
      </c>
      <c r="C291" t="inlineStr">
        <is>
          <t>FIGUEREDO &amp; FILHOS LTDA</t>
        </is>
      </c>
    </row>
    <row r="292">
      <c r="B292" s="55" t="inlineStr">
        <is>
          <t>04.577.500/0001-41</t>
        </is>
      </c>
      <c r="C292" t="inlineStr">
        <is>
          <t>ARECIO COMERCIAL LTDA.</t>
        </is>
      </c>
    </row>
    <row r="293">
      <c r="B293" s="55" t="inlineStr">
        <is>
          <t>04.577.500/0002-22</t>
        </is>
      </c>
      <c r="C293" t="inlineStr">
        <is>
          <t>ARECIO COMERCIAL LTDA.</t>
        </is>
      </c>
    </row>
    <row r="294">
      <c r="B294" s="55" t="inlineStr">
        <is>
          <t>04.591.034/0001-59</t>
        </is>
      </c>
      <c r="C294" t="inlineStr">
        <is>
          <t>PRO TESTE ASSOCIACAO BRASILEIRA DE DEFESA DO CONSUMIDOR</t>
        </is>
      </c>
    </row>
    <row r="295">
      <c r="B295" s="55" t="inlineStr">
        <is>
          <t>04.591.034/0001-59</t>
        </is>
      </c>
      <c r="C295" t="inlineStr">
        <is>
          <t>PRO TESTE ASSOCIACAO BRASILEIRA DE DEFESA DO CONSUMIDOR</t>
        </is>
      </c>
    </row>
    <row r="296">
      <c r="B296" s="55" t="inlineStr">
        <is>
          <t>04.600.555/0001-25</t>
        </is>
      </c>
      <c r="C296" t="inlineStr">
        <is>
          <t>SOCIEDADE REGIONAL DE ENSINO E SAUDE LTDA</t>
        </is>
      </c>
    </row>
    <row r="297">
      <c r="B297" s="55" t="inlineStr">
        <is>
          <t>04.600.555/0001-25</t>
        </is>
      </c>
      <c r="C297" t="inlineStr">
        <is>
          <t>SOCIEDADE REGIONAL DE ENSINO E SAUDE LTDA</t>
        </is>
      </c>
    </row>
    <row r="298">
      <c r="B298" s="55" t="inlineStr">
        <is>
          <t>04.600.555/0001-25</t>
        </is>
      </c>
      <c r="C298" t="inlineStr">
        <is>
          <t>SOCIEDADE REGIONAL DE ENSINO E SAUDE LTDA</t>
        </is>
      </c>
    </row>
    <row r="299">
      <c r="B299" s="55" t="inlineStr">
        <is>
          <t>04.600.555/0001-25</t>
        </is>
      </c>
      <c r="C299" t="inlineStr">
        <is>
          <t>SOCIEDADE REGIONAL DE ENSINO E SAUDE LTDA</t>
        </is>
      </c>
    </row>
    <row r="300">
      <c r="B300" s="55" t="inlineStr">
        <is>
          <t>04.641.062/0001-33</t>
        </is>
      </c>
      <c r="C300" t="inlineStr">
        <is>
          <t>PEREIRA E SILVA ATACADISTA DE BELO HORIZONTE LTDA</t>
        </is>
      </c>
    </row>
    <row r="301">
      <c r="B301" s="55" t="inlineStr">
        <is>
          <t>04.641.062/0001-33</t>
        </is>
      </c>
      <c r="C301" t="inlineStr">
        <is>
          <t>PEREIRA E SILVA ATACADISTA DE BELO HORIZONTE LTDA</t>
        </is>
      </c>
    </row>
    <row r="302">
      <c r="B302" s="55" t="inlineStr">
        <is>
          <t>04.641.062/0001-33</t>
        </is>
      </c>
      <c r="C302" t="inlineStr">
        <is>
          <t>PEREIRA E SILVA ATACADISTA DE BELO HORIZONTE LTDA</t>
        </is>
      </c>
    </row>
    <row r="303">
      <c r="B303" s="55" t="inlineStr">
        <is>
          <t>04.689.850/0001-08</t>
        </is>
      </c>
      <c r="C303" t="inlineStr">
        <is>
          <t>INTERATIVA PHARMA LTDA</t>
        </is>
      </c>
    </row>
    <row r="304">
      <c r="B304" s="55" t="inlineStr">
        <is>
          <t>04.689.850/0001-08</t>
        </is>
      </c>
      <c r="C304" t="inlineStr">
        <is>
          <t>INTERATIVA PHARMA LTDA</t>
        </is>
      </c>
    </row>
    <row r="305">
      <c r="B305" s="55" t="inlineStr">
        <is>
          <t>04.689.850/0001-08</t>
        </is>
      </c>
      <c r="C305" t="inlineStr">
        <is>
          <t>INTERATIVA PHARMA LTDA</t>
        </is>
      </c>
    </row>
    <row r="306">
      <c r="B306" s="55" t="inlineStr">
        <is>
          <t>04.703.383/0001-15</t>
        </is>
      </c>
      <c r="C306" t="inlineStr">
        <is>
          <t>H. G. HERRERA LTDA</t>
        </is>
      </c>
    </row>
    <row r="307">
      <c r="B307" s="55" t="inlineStr">
        <is>
          <t>04.742.228/0001-08</t>
        </is>
      </c>
      <c r="C307" t="inlineStr">
        <is>
          <t>ASCENDENCIA COMERCIO DE CALCADOS LTDA</t>
        </is>
      </c>
    </row>
    <row r="308">
      <c r="B308" s="55" t="inlineStr">
        <is>
          <t>04.779.194/0001-26</t>
        </is>
      </c>
      <c r="C308" t="inlineStr">
        <is>
          <t>DTR MOTORSPORT COMERCIO DE EQUIPAMENTOS PARA AUTOMOBILISMO LTDA</t>
        </is>
      </c>
    </row>
    <row r="309">
      <c r="B309" s="55" t="inlineStr">
        <is>
          <t>04.779.194/0001-26</t>
        </is>
      </c>
      <c r="C309" t="inlineStr">
        <is>
          <t>DTR MOTORSPORT COMERCIO DE EQUIPAMENTOS PARA AUTOMOBILISMO LTDA</t>
        </is>
      </c>
    </row>
    <row r="310">
      <c r="B310" s="55" t="inlineStr">
        <is>
          <t>04.803.904/0001-06</t>
        </is>
      </c>
      <c r="C310" t="inlineStr">
        <is>
          <t>CENTRO DE ENSINO SUPERIOR NILTON LINS</t>
        </is>
      </c>
    </row>
    <row r="311">
      <c r="B311" s="55" t="inlineStr">
        <is>
          <t>04.803.904/0001-06</t>
        </is>
      </c>
      <c r="C311" t="inlineStr">
        <is>
          <t>CENTRO DE ENSINO SUPERIOR NILTON LINS</t>
        </is>
      </c>
    </row>
    <row r="312">
      <c r="B312" s="55" t="inlineStr">
        <is>
          <t>04.803.904/0001-06</t>
        </is>
      </c>
      <c r="C312" t="inlineStr">
        <is>
          <t>CENTRO DE ENSINO SUPERIOR NILTON LINS</t>
        </is>
      </c>
    </row>
    <row r="313">
      <c r="B313" s="55" t="inlineStr">
        <is>
          <t>04.865.993/0001-15</t>
        </is>
      </c>
      <c r="C313" t="inlineStr">
        <is>
          <t>LOPES DROGARIA LTDA</t>
        </is>
      </c>
    </row>
    <row r="314">
      <c r="B314" s="55" t="inlineStr">
        <is>
          <t>04.865.993/0001-15</t>
        </is>
      </c>
      <c r="C314" t="inlineStr">
        <is>
          <t>LOPES DROGARIA LTDA</t>
        </is>
      </c>
    </row>
    <row r="315">
      <c r="B315" s="55" t="inlineStr">
        <is>
          <t>04.878.620/0001-89</t>
        </is>
      </c>
      <c r="C315" t="inlineStr">
        <is>
          <t>ZK FERREIRA DROGARIAS LTDA.</t>
        </is>
      </c>
    </row>
    <row r="316">
      <c r="B316" s="55" t="inlineStr">
        <is>
          <t>04.878.620/0001-89</t>
        </is>
      </c>
      <c r="C316" t="inlineStr">
        <is>
          <t>ZK FERREIRA DROGARIAS LTDA.</t>
        </is>
      </c>
    </row>
    <row r="317">
      <c r="B317" s="55" t="inlineStr">
        <is>
          <t>04.878.620/0001-89</t>
        </is>
      </c>
      <c r="C317" t="inlineStr">
        <is>
          <t>ZK FERREIRA DROGARIAS LTDA.</t>
        </is>
      </c>
    </row>
    <row r="318">
      <c r="B318" s="55" t="inlineStr">
        <is>
          <t>04.893.323/0006-17</t>
        </is>
      </c>
      <c r="C318" t="inlineStr">
        <is>
          <t>CAVEDANO COMERCIO DIGITAL LTDA</t>
        </is>
      </c>
    </row>
    <row r="319">
      <c r="B319" s="55" t="inlineStr">
        <is>
          <t>04.893.323/0006-17</t>
        </is>
      </c>
      <c r="C319" t="inlineStr">
        <is>
          <t>CAVEDANO COMERCIO DIGITAL LTDA</t>
        </is>
      </c>
    </row>
    <row r="320">
      <c r="B320" s="55" t="inlineStr">
        <is>
          <t>04.917.296/0005-94</t>
        </is>
      </c>
      <c r="C320" t="inlineStr">
        <is>
          <t>AVIL TEXTIL LTDA</t>
        </is>
      </c>
    </row>
    <row r="321">
      <c r="B321" s="55" t="inlineStr">
        <is>
          <t>04.917.296/0005-94</t>
        </is>
      </c>
      <c r="C321" t="inlineStr">
        <is>
          <t>AVIL TEXTIL LTDA</t>
        </is>
      </c>
    </row>
    <row r="322">
      <c r="B322" s="55" t="inlineStr">
        <is>
          <t>04.917.296/0005-94</t>
        </is>
      </c>
      <c r="C322" t="inlineStr">
        <is>
          <t>AVIL TEXTIL LTDA</t>
        </is>
      </c>
    </row>
    <row r="323">
      <c r="B323" s="55" t="inlineStr">
        <is>
          <t>04.946.306/0001-96</t>
        </is>
      </c>
      <c r="C323" t="inlineStr">
        <is>
          <t>DROGARIA MIX I LTDA</t>
        </is>
      </c>
    </row>
    <row r="324">
      <c r="B324" s="55" t="inlineStr">
        <is>
          <t>04.975.859/0003-39</t>
        </is>
      </c>
      <c r="C324" t="inlineStr">
        <is>
          <t>NDI IMPORTACAO, EXPORTACAO, COMERCIO E REPRESENTACOES LTDA</t>
        </is>
      </c>
    </row>
    <row r="325">
      <c r="B325" s="55" t="inlineStr">
        <is>
          <t>04.975.859/0003-39</t>
        </is>
      </c>
      <c r="C325" t="inlineStr">
        <is>
          <t>NDI IMPORTACAO, EXPORTACAO, COMERCIO E REPRESENTACOES LTDA</t>
        </is>
      </c>
    </row>
    <row r="326">
      <c r="B326" s="55" t="inlineStr">
        <is>
          <t>05.013.910/0001-22</t>
        </is>
      </c>
      <c r="C326" t="inlineStr">
        <is>
          <t>SUN SPECIAL COMERCIO E REPRESENTACAO LTDA</t>
        </is>
      </c>
    </row>
    <row r="327">
      <c r="B327" s="55" t="inlineStr">
        <is>
          <t>05.013.910/0001-22</t>
        </is>
      </c>
      <c r="C327" t="inlineStr">
        <is>
          <t>SUN SPECIAL COMERCIO E REPRESENTACAO LTDA</t>
        </is>
      </c>
    </row>
    <row r="328">
      <c r="B328" s="55" t="inlineStr">
        <is>
          <t>05.013.910/0001-22</t>
        </is>
      </c>
      <c r="C328" t="inlineStr">
        <is>
          <t>SUN SPECIAL COMERCIO E REPRESENTACAO LTDA</t>
        </is>
      </c>
    </row>
    <row r="329">
      <c r="B329" s="55" t="inlineStr">
        <is>
          <t>05.027.327/0003-32</t>
        </is>
      </c>
      <c r="C329" t="inlineStr">
        <is>
          <t>INTER JAPAN VEICULOS LTDA</t>
        </is>
      </c>
    </row>
    <row r="330">
      <c r="B330" s="55" t="inlineStr">
        <is>
          <t>05.027.327/0003-32</t>
        </is>
      </c>
      <c r="C330" t="inlineStr">
        <is>
          <t>INTER JAPAN VEICULOS LTDA</t>
        </is>
      </c>
    </row>
    <row r="331">
      <c r="B331" s="55" t="inlineStr">
        <is>
          <t>05.027.327/0003-32</t>
        </is>
      </c>
      <c r="C331" t="inlineStr">
        <is>
          <t>INTER JAPAN VEICULOS LTDA</t>
        </is>
      </c>
    </row>
    <row r="332">
      <c r="B332" s="55" t="inlineStr">
        <is>
          <t>05.027.327/0004-13</t>
        </is>
      </c>
      <c r="C332" t="inlineStr">
        <is>
          <t>INTER JAPAN VEICULOS LTDA</t>
        </is>
      </c>
    </row>
    <row r="333">
      <c r="B333" s="55" t="inlineStr">
        <is>
          <t>05.027.327/0004-13</t>
        </is>
      </c>
      <c r="C333" t="inlineStr">
        <is>
          <t>INTER JAPAN VEICULOS LTDA</t>
        </is>
      </c>
    </row>
    <row r="334">
      <c r="B334" s="55" t="inlineStr">
        <is>
          <t>05.027.327/0009-28</t>
        </is>
      </c>
      <c r="C334" t="inlineStr">
        <is>
          <t>INTER JAPAN VEICULOS LTDA</t>
        </is>
      </c>
    </row>
    <row r="335">
      <c r="B335" s="55" t="inlineStr">
        <is>
          <t>05.027.327/0009-28</t>
        </is>
      </c>
      <c r="C335" t="inlineStr">
        <is>
          <t>INTER JAPAN VEICULOS LTDA</t>
        </is>
      </c>
    </row>
    <row r="336">
      <c r="B336" s="55" t="inlineStr">
        <is>
          <t>05.035.532/0001-88</t>
        </is>
      </c>
      <c r="C336" t="inlineStr">
        <is>
          <t>METRONORTE COMERCIAL DE VEICULOS LTDA</t>
        </is>
      </c>
    </row>
    <row r="337">
      <c r="B337" s="55" t="inlineStr">
        <is>
          <t>05.054.671/0043-08</t>
        </is>
      </c>
      <c r="C337" t="inlineStr">
        <is>
          <t>LIDER COMERCIO E INDUSTRIA LTDA.</t>
        </is>
      </c>
    </row>
    <row r="338">
      <c r="B338" s="55" t="inlineStr">
        <is>
          <t>05.054.671/0043-08</t>
        </is>
      </c>
      <c r="C338" t="inlineStr">
        <is>
          <t>LIDER COMERCIO E INDUSTRIA LTDA.</t>
        </is>
      </c>
    </row>
    <row r="339">
      <c r="B339" s="55" t="inlineStr">
        <is>
          <t>05.063.653/0013-77</t>
        </is>
      </c>
      <c r="C339" t="inlineStr">
        <is>
          <t>ENGEPECAS EQUIPAMENTOS LTDA.</t>
        </is>
      </c>
    </row>
    <row r="340">
      <c r="B340" s="55" t="inlineStr">
        <is>
          <t>05.063.653/0013-77</t>
        </is>
      </c>
      <c r="C340" t="inlineStr">
        <is>
          <t>ENGEPECAS EQUIPAMENTOS LTDA.</t>
        </is>
      </c>
    </row>
    <row r="341">
      <c r="B341" s="55" t="inlineStr">
        <is>
          <t>05.099.769/0001-22</t>
        </is>
      </c>
      <c r="C341" t="inlineStr">
        <is>
          <t>ALCAR CLINICA DE SERVICOS MEDICOS LTDA</t>
        </is>
      </c>
    </row>
    <row r="342">
      <c r="B342" s="55" t="inlineStr">
        <is>
          <t>05.108.918/0008-49</t>
        </is>
      </c>
      <c r="C342" t="inlineStr">
        <is>
          <t>AMIGOS DO BEM INSTITUICAO NACIONAL CONTRA A FOME E A MISERIA</t>
        </is>
      </c>
    </row>
    <row r="343">
      <c r="B343" s="55" t="inlineStr">
        <is>
          <t>05.108.918/0008-49</t>
        </is>
      </c>
      <c r="C343" t="inlineStr">
        <is>
          <t>AMIGOS DO BEM INSTITUICAO NACIONAL CONTRA A FOME E A MISERIA</t>
        </is>
      </c>
    </row>
    <row r="344">
      <c r="B344" s="55" t="inlineStr">
        <is>
          <t>05.151.518/0001-40</t>
        </is>
      </c>
      <c r="C344" t="inlineStr">
        <is>
          <t>BELENUS LTDA</t>
        </is>
      </c>
    </row>
    <row r="345">
      <c r="B345" s="55" t="inlineStr">
        <is>
          <t>05.151.518/0001-40</t>
        </is>
      </c>
      <c r="C345" t="inlineStr">
        <is>
          <t>BELENUS LTDA</t>
        </is>
      </c>
    </row>
    <row r="346">
      <c r="B346" s="55" t="inlineStr">
        <is>
          <t>05.151.518/0001-40</t>
        </is>
      </c>
      <c r="C346" t="inlineStr">
        <is>
          <t>BELENUS LTDA</t>
        </is>
      </c>
    </row>
    <row r="347">
      <c r="B347" s="55" t="inlineStr">
        <is>
          <t>05.151.518/0001-40</t>
        </is>
      </c>
      <c r="C347" t="inlineStr">
        <is>
          <t>BELENUS LTDA</t>
        </is>
      </c>
    </row>
    <row r="348">
      <c r="B348" s="55" t="inlineStr">
        <is>
          <t>05.151.518/0001-40</t>
        </is>
      </c>
      <c r="C348" t="inlineStr">
        <is>
          <t>BELENUS LTDA</t>
        </is>
      </c>
    </row>
    <row r="349">
      <c r="B349" s="55" t="inlineStr">
        <is>
          <t>05.151.518/0001-40</t>
        </is>
      </c>
      <c r="C349" t="inlineStr">
        <is>
          <t>BELENUS LTDA</t>
        </is>
      </c>
    </row>
    <row r="350">
      <c r="B350" s="55" t="inlineStr">
        <is>
          <t>05.154.607/0001-40</t>
        </is>
      </c>
      <c r="C350" t="inlineStr">
        <is>
          <t>DROGARIA SOUSA LTDA</t>
        </is>
      </c>
    </row>
    <row r="351">
      <c r="B351" s="55" t="inlineStr">
        <is>
          <t>05.154.607/0001-40</t>
        </is>
      </c>
      <c r="C351" t="inlineStr">
        <is>
          <t>DROGARIA SOUSA LTDA</t>
        </is>
      </c>
    </row>
    <row r="352">
      <c r="B352" s="55" t="inlineStr">
        <is>
          <t>05.159.973/0049-36</t>
        </is>
      </c>
      <c r="C352" t="inlineStr">
        <is>
          <t>HIPER CARIJOS LTDA.</t>
        </is>
      </c>
    </row>
    <row r="353">
      <c r="B353" s="55" t="inlineStr">
        <is>
          <t>05.164.667/0007-39</t>
        </is>
      </c>
      <c r="C353" t="inlineStr">
        <is>
          <t>CENTER MEGA COMERCIO DE MATERIAIS PARA CONSTRUCAO LTDA</t>
        </is>
      </c>
    </row>
    <row r="354">
      <c r="B354" s="55" t="inlineStr">
        <is>
          <t>05.164.667/0007-39</t>
        </is>
      </c>
      <c r="C354" t="inlineStr">
        <is>
          <t>CENTER MEGA COMERCIO DE MATERIAIS PARA CONSTRUCAO LTDA</t>
        </is>
      </c>
    </row>
    <row r="355">
      <c r="B355" s="55" t="inlineStr">
        <is>
          <t>05.164.667/0007-39</t>
        </is>
      </c>
      <c r="C355" t="inlineStr">
        <is>
          <t>CENTER MEGA COMERCIO DE MATERIAIS PARA CONSTRUCAO LTDA</t>
        </is>
      </c>
    </row>
    <row r="356">
      <c r="B356" s="55" t="inlineStr">
        <is>
          <t>05.198.251/0001-46</t>
        </is>
      </c>
      <c r="C356" t="inlineStr">
        <is>
          <t>MCGT - FARMACIA DE MANIPULACAO LTDA</t>
        </is>
      </c>
    </row>
    <row r="357">
      <c r="B357" s="55" t="inlineStr">
        <is>
          <t>05.198.251/0001-46</t>
        </is>
      </c>
      <c r="C357" t="inlineStr">
        <is>
          <t>MCGT - FARMACIA DE MANIPULACAO LTDA</t>
        </is>
      </c>
    </row>
    <row r="358">
      <c r="B358" s="55" t="inlineStr">
        <is>
          <t>05.198.251/0001-46</t>
        </is>
      </c>
      <c r="C358" t="inlineStr">
        <is>
          <t>MCGT - FARMACIA DE MANIPULACAO LTDA</t>
        </is>
      </c>
    </row>
    <row r="359">
      <c r="B359" s="55" t="inlineStr">
        <is>
          <t>05.217.384/0014-37</t>
        </is>
      </c>
      <c r="C359" t="inlineStr">
        <is>
          <t>H PLUS ADMINISTRACAO E HOTELARIA LTDA</t>
        </is>
      </c>
    </row>
    <row r="360">
      <c r="B360" s="55" t="inlineStr">
        <is>
          <t>05.217.384/0014-37</t>
        </is>
      </c>
      <c r="C360" t="inlineStr">
        <is>
          <t>H PLUS ADMINISTRACAO E HOTELARIA LTDA</t>
        </is>
      </c>
    </row>
    <row r="361">
      <c r="B361" s="55" t="inlineStr">
        <is>
          <t>05.217.384/0014-37</t>
        </is>
      </c>
      <c r="C361" t="inlineStr">
        <is>
          <t>H PLUS ADMINISTRACAO E HOTELARIA LTDA</t>
        </is>
      </c>
    </row>
    <row r="362">
      <c r="B362" s="55" t="inlineStr">
        <is>
          <t>05.217.384/0020-85</t>
        </is>
      </c>
      <c r="C362" t="inlineStr">
        <is>
          <t>H PLUS ADMINISTRACAO E HOTELARIA LTDA</t>
        </is>
      </c>
    </row>
    <row r="363">
      <c r="B363" s="55" t="inlineStr">
        <is>
          <t>05.217.384/0020-85</t>
        </is>
      </c>
      <c r="C363" t="inlineStr">
        <is>
          <t>H PLUS ADMINISTRACAO E HOTELARIA LTDA</t>
        </is>
      </c>
    </row>
    <row r="364">
      <c r="B364" s="55" t="inlineStr">
        <is>
          <t>05.217.384/0020-85</t>
        </is>
      </c>
      <c r="C364" t="inlineStr">
        <is>
          <t>H PLUS ADMINISTRACAO E HOTELARIA LTDA</t>
        </is>
      </c>
    </row>
    <row r="365">
      <c r="B365" s="55" t="inlineStr">
        <is>
          <t>05.262.215/0001-02</t>
        </is>
      </c>
      <c r="C365" t="inlineStr">
        <is>
          <t>CENTRAL DE RACOES LTDA</t>
        </is>
      </c>
    </row>
    <row r="366">
      <c r="B366" s="55" t="inlineStr">
        <is>
          <t>05.262.215/0001-02</t>
        </is>
      </c>
      <c r="C366" t="inlineStr">
        <is>
          <t>CENTRAL DE RACOES LTDA</t>
        </is>
      </c>
    </row>
    <row r="367">
      <c r="B367" s="55" t="inlineStr">
        <is>
          <t>05.266.530/0001-08</t>
        </is>
      </c>
      <c r="C367" t="inlineStr">
        <is>
          <t>CHIARELI MOREIRA - FARMACIA DE MANIPULACAO LTDA</t>
        </is>
      </c>
    </row>
    <row r="368">
      <c r="B368" s="55" t="inlineStr">
        <is>
          <t>05.341.062/0001-80</t>
        </is>
      </c>
      <c r="C368" t="inlineStr">
        <is>
          <t>FEBRAFAR - FEDERACAO BRASILEIRA DAS REDES ASSOCIATIVISTAS E INDEPENDENTES DE FARMACIAS</t>
        </is>
      </c>
    </row>
    <row r="369">
      <c r="B369" s="55" t="inlineStr">
        <is>
          <t>05.345.804/0001-46</t>
        </is>
      </c>
      <c r="C369" t="inlineStr">
        <is>
          <t>CAFE DO MERCADO - COMERCIO DE CAFES LTDA</t>
        </is>
      </c>
    </row>
    <row r="370">
      <c r="B370" s="55" t="inlineStr">
        <is>
          <t>05.345.804/0001-46</t>
        </is>
      </c>
      <c r="C370" t="inlineStr">
        <is>
          <t>CAFE DO MERCADO - COMERCIO DE CAFES LTDA</t>
        </is>
      </c>
    </row>
    <row r="371">
      <c r="B371" s="55" t="inlineStr">
        <is>
          <t>05.357.722/0001-11</t>
        </is>
      </c>
      <c r="C371" t="inlineStr">
        <is>
          <t>VIA VERDE CALCADOS LTDA</t>
        </is>
      </c>
    </row>
    <row r="372">
      <c r="B372" s="55" t="inlineStr">
        <is>
          <t>05.357.722/0001-11</t>
        </is>
      </c>
      <c r="C372" t="inlineStr">
        <is>
          <t>VIA VERDE CALCADOS LTDA</t>
        </is>
      </c>
    </row>
    <row r="373">
      <c r="B373" s="55" t="inlineStr">
        <is>
          <t>05.357.722/0001-11</t>
        </is>
      </c>
      <c r="C373" t="inlineStr">
        <is>
          <t>VIA VERDE CALCADOS LTDA</t>
        </is>
      </c>
    </row>
    <row r="374">
      <c r="B374" s="55" t="inlineStr">
        <is>
          <t>05.394.177/0003-03</t>
        </is>
      </c>
      <c r="C374" t="inlineStr">
        <is>
          <t>GILVANA STOCK COMERCIO DIGITAL LTDA</t>
        </is>
      </c>
    </row>
    <row r="375">
      <c r="B375" s="55" t="inlineStr">
        <is>
          <t>05.394.177/0003-03</t>
        </is>
      </c>
      <c r="C375" t="inlineStr">
        <is>
          <t>GILVANA STOCK COMERCIO DIGITAL LTDA</t>
        </is>
      </c>
    </row>
    <row r="376">
      <c r="B376" s="55" t="inlineStr">
        <is>
          <t>05.419.994/0001-07</t>
        </is>
      </c>
      <c r="C376" t="inlineStr">
        <is>
          <t>UNIPHARMACY PHARMACIA DE MANIPULACAO LTDA</t>
        </is>
      </c>
    </row>
    <row r="377">
      <c r="B377" s="55" t="inlineStr">
        <is>
          <t>05.462.543/0001-44</t>
        </is>
      </c>
      <c r="C377" t="inlineStr">
        <is>
          <t>EASYTECH TECNOLOGIA COMERCIO E SERVICOS LTDA</t>
        </is>
      </c>
    </row>
    <row r="378">
      <c r="B378" s="55" t="inlineStr">
        <is>
          <t>05.471.879/0001-73</t>
        </is>
      </c>
      <c r="C378" t="inlineStr">
        <is>
          <t>KASA MOTORS LTDA</t>
        </is>
      </c>
    </row>
    <row r="379">
      <c r="B379" s="55" t="inlineStr">
        <is>
          <t>05.471.879/0001-73</t>
        </is>
      </c>
      <c r="C379" t="inlineStr">
        <is>
          <t>KASA MOTORS LTDA</t>
        </is>
      </c>
    </row>
    <row r="380">
      <c r="B380" s="55" t="inlineStr">
        <is>
          <t>05.471.879/0001-73</t>
        </is>
      </c>
      <c r="C380" t="inlineStr">
        <is>
          <t>KASA MOTORS LTDA</t>
        </is>
      </c>
    </row>
    <row r="381">
      <c r="B381" s="55" t="inlineStr">
        <is>
          <t>05.471.879/0004-16</t>
        </is>
      </c>
      <c r="C381" t="inlineStr">
        <is>
          <t>KASA MOTORS LTDA</t>
        </is>
      </c>
    </row>
    <row r="382">
      <c r="B382" s="55" t="inlineStr">
        <is>
          <t>05.471.879/0004-16</t>
        </is>
      </c>
      <c r="C382" t="inlineStr">
        <is>
          <t>KASA MOTORS LTDA</t>
        </is>
      </c>
    </row>
    <row r="383">
      <c r="B383" s="55" t="inlineStr">
        <is>
          <t>05.471.879/0004-16</t>
        </is>
      </c>
      <c r="C383" t="inlineStr">
        <is>
          <t>KASA MOTORS LTDA</t>
        </is>
      </c>
    </row>
    <row r="384">
      <c r="B384" s="55" t="inlineStr">
        <is>
          <t>05.481.897/0001-36</t>
        </is>
      </c>
      <c r="C384" t="inlineStr">
        <is>
          <t>HAI AUTOMOVEIS LTDA</t>
        </is>
      </c>
    </row>
    <row r="385">
      <c r="B385" s="55" t="inlineStr">
        <is>
          <t>05.481.897/0001-36</t>
        </is>
      </c>
      <c r="C385" t="inlineStr">
        <is>
          <t>HAI AUTOMOVEIS LTDA</t>
        </is>
      </c>
    </row>
    <row r="386">
      <c r="B386" s="55" t="inlineStr">
        <is>
          <t>05.481.897/0001-36</t>
        </is>
      </c>
      <c r="C386" t="inlineStr">
        <is>
          <t>HAI AUTOMOVEIS LTDA</t>
        </is>
      </c>
    </row>
    <row r="387">
      <c r="B387" s="55" t="inlineStr">
        <is>
          <t>05.570.154/0003-02</t>
        </is>
      </c>
      <c r="C387" t="inlineStr">
        <is>
          <t>FASHION SHOES COMERCIO DE CALCADOS E CONFECCOES LTDA</t>
        </is>
      </c>
    </row>
    <row r="388">
      <c r="B388" s="55" t="inlineStr">
        <is>
          <t>05.597.887/0001-60</t>
        </is>
      </c>
      <c r="C388" t="inlineStr">
        <is>
          <t>CONDOMINIO DO EDIFICIO SHERATON BARRA</t>
        </is>
      </c>
    </row>
    <row r="389">
      <c r="B389" s="55" t="inlineStr">
        <is>
          <t>05.597.887/0001-60</t>
        </is>
      </c>
      <c r="C389" t="inlineStr">
        <is>
          <t>CONDOMINIO DO EDIFICIO SHERATON BARRA</t>
        </is>
      </c>
    </row>
    <row r="390">
      <c r="B390" s="55" t="inlineStr">
        <is>
          <t>05.597.887/0001-60</t>
        </is>
      </c>
      <c r="C390" t="inlineStr">
        <is>
          <t>CONDOMINIO DO EDIFICIO SHERATON BARRA</t>
        </is>
      </c>
    </row>
    <row r="391">
      <c r="B391" s="55" t="inlineStr">
        <is>
          <t>05.597.887/0001-60</t>
        </is>
      </c>
      <c r="C391" t="inlineStr">
        <is>
          <t>CONDOMINIO DO EDIFICIO SHERATON BARRA</t>
        </is>
      </c>
    </row>
    <row r="392">
      <c r="B392" s="55" t="inlineStr">
        <is>
          <t>05.607.657/0001-35</t>
        </is>
      </c>
      <c r="C392" t="inlineStr">
        <is>
          <t>SCANSOURCE BRASIL DISTRIBUIDORA DE TECNOLOGIAS LTDA</t>
        </is>
      </c>
    </row>
    <row r="393">
      <c r="B393" s="55" t="inlineStr">
        <is>
          <t>05.620.609/0001-87</t>
        </is>
      </c>
      <c r="C393" t="inlineStr">
        <is>
          <t>LAGOA THERMAS CLUBE, TURISMO, LAZER E ECOLOGIA</t>
        </is>
      </c>
    </row>
    <row r="394">
      <c r="B394" s="55" t="inlineStr">
        <is>
          <t>05.728.281/0007-02</t>
        </is>
      </c>
      <c r="C394" t="inlineStr">
        <is>
          <t>BARREIROS E ALMEIDA IMPORTACAO E EXPORTACAO LTDA</t>
        </is>
      </c>
    </row>
    <row r="395">
      <c r="B395" s="55" t="inlineStr">
        <is>
          <t>05.728.281/0007-02</t>
        </is>
      </c>
      <c r="C395" t="inlineStr">
        <is>
          <t>BARREIROS E ALMEIDA IMPORTACAO E EXPORTACAO LTDA</t>
        </is>
      </c>
    </row>
    <row r="396">
      <c r="B396" s="55" t="inlineStr">
        <is>
          <t>05.799.871/0001-30</t>
        </is>
      </c>
      <c r="C396" t="inlineStr">
        <is>
          <t>FARMACIA DE MANIPULACAO SALVIA LTDA (baixada)</t>
        </is>
      </c>
    </row>
    <row r="397">
      <c r="B397" s="55" t="inlineStr">
        <is>
          <t>05.799.871/0001-30</t>
        </is>
      </c>
      <c r="C397" t="inlineStr">
        <is>
          <t>FARMACIA DE MANIPULACAO SALVIA LTDA (baixada)</t>
        </is>
      </c>
    </row>
    <row r="398">
      <c r="B398" s="55" t="inlineStr">
        <is>
          <t>05.799.871/0001-30</t>
        </is>
      </c>
      <c r="C398" t="inlineStr">
        <is>
          <t>FARMACIA DE MANIPULACAO SALVIA LTDA (baixada)</t>
        </is>
      </c>
    </row>
    <row r="399">
      <c r="B399" s="55" t="inlineStr">
        <is>
          <t>05.799.871/0001-30</t>
        </is>
      </c>
      <c r="C399" t="inlineStr">
        <is>
          <t>FARMACIA DE MANIPULACAO SALVIA LTDA (baixada)</t>
        </is>
      </c>
    </row>
    <row r="400">
      <c r="B400" s="55" t="inlineStr">
        <is>
          <t>05.826.134/0001-80</t>
        </is>
      </c>
      <c r="C400" t="inlineStr">
        <is>
          <t>DROPEM - DROGARIA E PERFUMARIA MOREIRA LTDA</t>
        </is>
      </c>
    </row>
    <row r="401">
      <c r="B401" s="55" t="inlineStr">
        <is>
          <t>05.826.134/0001-80</t>
        </is>
      </c>
      <c r="C401" t="inlineStr">
        <is>
          <t>DROPEM - DROGARIA E PERFUMARIA MOREIRA LTDA</t>
        </is>
      </c>
    </row>
    <row r="402">
      <c r="B402" s="55" t="inlineStr">
        <is>
          <t>05.826.134/0001-80</t>
        </is>
      </c>
      <c r="C402" t="inlineStr">
        <is>
          <t>DROPEM - DROGARIA E PERFUMARIA MOREIRA LTDA</t>
        </is>
      </c>
    </row>
    <row r="403">
      <c r="B403" s="55" t="inlineStr">
        <is>
          <t>05.844.447/0001-60</t>
        </is>
      </c>
      <c r="C403" t="inlineStr">
        <is>
          <t>EDITORA JORNALISTICA ALBERTO LTDA</t>
        </is>
      </c>
    </row>
    <row r="404">
      <c r="B404" s="55" t="inlineStr">
        <is>
          <t>05.844.447/0001-60</t>
        </is>
      </c>
      <c r="C404" t="inlineStr">
        <is>
          <t>EDITORA JORNALISTICA ALBERTO LTDA</t>
        </is>
      </c>
    </row>
    <row r="405">
      <c r="B405" s="55" t="inlineStr">
        <is>
          <t>05.844.447/0001-60</t>
        </is>
      </c>
      <c r="C405" t="inlineStr">
        <is>
          <t>EDITORA JORNALISTICA ALBERTO LTDA</t>
        </is>
      </c>
    </row>
    <row r="406">
      <c r="B406" s="55" t="inlineStr">
        <is>
          <t>05.851.801/0001-84</t>
        </is>
      </c>
      <c r="C406" t="inlineStr">
        <is>
          <t>TERRA PARQUE ECO RESORT LTDA</t>
        </is>
      </c>
    </row>
    <row r="407">
      <c r="B407" s="55" t="inlineStr">
        <is>
          <t>05.851.801/0001-84</t>
        </is>
      </c>
      <c r="C407" t="inlineStr">
        <is>
          <t>TERRA PARQUE ECO RESORT LTDA</t>
        </is>
      </c>
    </row>
    <row r="408">
      <c r="B408" s="55" t="inlineStr">
        <is>
          <t>05.873.416/0001-38</t>
        </is>
      </c>
      <c r="C408" t="inlineStr">
        <is>
          <t>C2 RIO VIAGENS E TURISMO S.A.</t>
        </is>
      </c>
    </row>
    <row r="409">
      <c r="B409" s="55" t="inlineStr">
        <is>
          <t>05.873.416/0001-38</t>
        </is>
      </c>
      <c r="C409" t="inlineStr">
        <is>
          <t>C2 RIO VIAGENS E TURISMO S.A.</t>
        </is>
      </c>
    </row>
    <row r="410">
      <c r="B410" s="55" t="inlineStr">
        <is>
          <t>05.873.416/0001-38</t>
        </is>
      </c>
      <c r="C410" t="inlineStr">
        <is>
          <t>C2 RIO VIAGENS E TURISMO S.A.</t>
        </is>
      </c>
    </row>
    <row r="411">
      <c r="B411" s="55" t="inlineStr">
        <is>
          <t>05.882.351/0001-97</t>
        </is>
      </c>
      <c r="C411" t="inlineStr">
        <is>
          <t>R MILET COMERCIO DE CALCADOS LTDA</t>
        </is>
      </c>
    </row>
    <row r="412">
      <c r="B412" s="55" t="inlineStr">
        <is>
          <t>05.882.351/0001-97</t>
        </is>
      </c>
      <c r="C412" t="inlineStr">
        <is>
          <t>R MILET COMERCIO DE CALCADOS LTDA</t>
        </is>
      </c>
    </row>
    <row r="413">
      <c r="B413" s="55" t="inlineStr">
        <is>
          <t>05.882.351/0001-97</t>
        </is>
      </c>
      <c r="C413" t="inlineStr">
        <is>
          <t>R MILET COMERCIO DE CALCADOS LTDA</t>
        </is>
      </c>
    </row>
    <row r="414">
      <c r="B414" s="55" t="inlineStr">
        <is>
          <t>05.882.351/0001-97</t>
        </is>
      </c>
      <c r="C414" t="inlineStr">
        <is>
          <t>R MILET COMERCIO DE CALCADOS LTDA</t>
        </is>
      </c>
    </row>
    <row r="415">
      <c r="B415" s="55" t="inlineStr">
        <is>
          <t>05.886.844/0003-67</t>
        </is>
      </c>
      <c r="C415" t="inlineStr">
        <is>
          <t>MORIKAWA COMERCIO DE RACOES E IMPORTACAO LTDA</t>
        </is>
      </c>
    </row>
    <row r="416">
      <c r="B416" s="55" t="inlineStr">
        <is>
          <t>05.886.844/0003-67</t>
        </is>
      </c>
      <c r="C416" t="inlineStr">
        <is>
          <t>MORIKAWA COMERCIO DE RACOES E IMPORTACAO LTDA</t>
        </is>
      </c>
    </row>
    <row r="417">
      <c r="B417" s="55" t="inlineStr">
        <is>
          <t>05.905.651/0001-44</t>
        </is>
      </c>
      <c r="C417" t="inlineStr">
        <is>
          <t>VANDERCLEISSON DE SOUZA CARDOSO</t>
        </is>
      </c>
    </row>
    <row r="418">
      <c r="B418" s="55" t="inlineStr">
        <is>
          <t>05.947.352/0001-72</t>
        </is>
      </c>
      <c r="C418" t="inlineStr">
        <is>
          <t>LOBATO E RIBEIRO LTDA</t>
        </is>
      </c>
    </row>
    <row r="419">
      <c r="B419" s="55" t="inlineStr">
        <is>
          <t>05.947.352/0001-72</t>
        </is>
      </c>
      <c r="C419" t="inlineStr">
        <is>
          <t>LOBATO E RIBEIRO LTDA</t>
        </is>
      </c>
    </row>
    <row r="420">
      <c r="B420" s="55" t="inlineStr">
        <is>
          <t>05.951.362/0022-06</t>
        </is>
      </c>
      <c r="C420" t="inlineStr">
        <is>
          <t>CENTERLAR COMERCIO DE UTILIDADES LTDA</t>
        </is>
      </c>
    </row>
    <row r="421">
      <c r="B421" s="55" t="inlineStr">
        <is>
          <t>05.970.599/0001-00</t>
        </is>
      </c>
      <c r="C421" t="inlineStr">
        <is>
          <t>M AYELLO COMERCIO DE CALCADOS LTDA.</t>
        </is>
      </c>
    </row>
    <row r="422">
      <c r="B422" s="55" t="inlineStr">
        <is>
          <t>06.006.677/0001-13</t>
        </is>
      </c>
      <c r="C422" t="inlineStr">
        <is>
          <t>DROGARIA VILA RE LTDA</t>
        </is>
      </c>
    </row>
    <row r="423">
      <c r="B423" s="55" t="inlineStr">
        <is>
          <t>06.006.677/0001-13</t>
        </is>
      </c>
      <c r="C423" t="inlineStr">
        <is>
          <t>DROGARIA VILA RE LTDA</t>
        </is>
      </c>
    </row>
    <row r="424">
      <c r="B424" s="55" t="inlineStr">
        <is>
          <t>06.058.877/0001-10</t>
        </is>
      </c>
      <c r="C424" t="inlineStr">
        <is>
          <t>A. V. UCHOA DA SILVA LTDA</t>
        </is>
      </c>
    </row>
    <row r="425">
      <c r="B425" s="55" t="inlineStr">
        <is>
          <t>06.058.877/0001-10</t>
        </is>
      </c>
      <c r="C425" t="inlineStr">
        <is>
          <t>A. V. UCHOA DA SILVA LTDA</t>
        </is>
      </c>
    </row>
    <row r="426">
      <c r="B426" s="55" t="inlineStr">
        <is>
          <t>06.098.020/0001-23</t>
        </is>
      </c>
      <c r="C426" t="inlineStr">
        <is>
          <t>EMPORIO MAGISTRAL DA FORMULA FARMACIA DE MANIPULACAO LTDA</t>
        </is>
      </c>
    </row>
    <row r="427">
      <c r="B427" s="55" t="inlineStr">
        <is>
          <t>06.098.020/0001-23</t>
        </is>
      </c>
      <c r="C427" t="inlineStr">
        <is>
          <t>EMPORIO MAGISTRAL DA FORMULA FARMACIA DE MANIPULACAO LTDA</t>
        </is>
      </c>
    </row>
    <row r="428">
      <c r="B428" s="55" t="inlineStr">
        <is>
          <t>06.140.475/0001-60</t>
        </is>
      </c>
      <c r="C428" t="inlineStr">
        <is>
          <t>INSTITUTO DO PREMATURO - VIVER E SORRIR</t>
        </is>
      </c>
    </row>
    <row r="429">
      <c r="B429" s="55" t="inlineStr">
        <is>
          <t>06.140.475/0001-60</t>
        </is>
      </c>
      <c r="C429" t="inlineStr">
        <is>
          <t>INSTITUTO DO PREMATURO - VIVER E SORRIR</t>
        </is>
      </c>
    </row>
    <row r="430">
      <c r="B430" s="55" t="inlineStr">
        <is>
          <t>06.159.920/0001-33</t>
        </is>
      </c>
      <c r="C430" t="inlineStr">
        <is>
          <t>VISTACOR INDUSTRIA E COMERCIO DO VESTUARIO LTDA</t>
        </is>
      </c>
    </row>
    <row r="431">
      <c r="B431" s="55" t="inlineStr">
        <is>
          <t>06.159.920/0001-33</t>
        </is>
      </c>
      <c r="C431" t="inlineStr">
        <is>
          <t>VISTACOR INDUSTRIA E COMERCIO DO VESTUARIO LTDA</t>
        </is>
      </c>
    </row>
    <row r="432">
      <c r="B432" s="55" t="inlineStr">
        <is>
          <t>06.159.920/0001-33</t>
        </is>
      </c>
      <c r="C432" t="inlineStr">
        <is>
          <t>VISTACOR INDUSTRIA E COMERCIO DO VESTUARIO LTDA</t>
        </is>
      </c>
    </row>
    <row r="433">
      <c r="B433" s="55" t="inlineStr">
        <is>
          <t>06.159.920/0001-33</t>
        </is>
      </c>
      <c r="C433" t="inlineStr">
        <is>
          <t>VISTACOR INDUSTRIA E COMERCIO DO VESTUARIO LTDA</t>
        </is>
      </c>
    </row>
    <row r="434">
      <c r="B434" s="55" t="inlineStr">
        <is>
          <t>06.159.920/0001-33</t>
        </is>
      </c>
      <c r="C434" t="inlineStr">
        <is>
          <t>VISTACOR INDUSTRIA E COMERCIO DO VESTUARIO LTDA</t>
        </is>
      </c>
    </row>
    <row r="435">
      <c r="B435" s="55" t="inlineStr">
        <is>
          <t>06.251.204/0001-81</t>
        </is>
      </c>
      <c r="C435" t="inlineStr">
        <is>
          <t>PIXEL HOUSE SOLUCOES EM IMAGEM LTDA</t>
        </is>
      </c>
    </row>
    <row r="436">
      <c r="B436" s="55" t="inlineStr">
        <is>
          <t>06.312.298/0001-51</t>
        </is>
      </c>
      <c r="C436" t="inlineStr">
        <is>
          <t>ZTL SERVICOS ADMINISTRATIVOS LTDA</t>
        </is>
      </c>
    </row>
    <row r="437">
      <c r="B437" s="55" t="inlineStr">
        <is>
          <t>06.312.298/0001-51</t>
        </is>
      </c>
      <c r="C437" t="inlineStr">
        <is>
          <t>ZTL SERVICOS ADMINISTRATIVOS LTDA</t>
        </is>
      </c>
    </row>
    <row r="438">
      <c r="B438" s="55" t="inlineStr">
        <is>
          <t>06.336.797/0001-89</t>
        </is>
      </c>
      <c r="C438" t="inlineStr">
        <is>
          <t>A. F. COMERCIO DE LIVROS E CURSOS ESPECIALIZADOS LTDA</t>
        </is>
      </c>
    </row>
    <row r="439">
      <c r="B439" s="55" t="inlineStr">
        <is>
          <t>06.336.797/0001-89</t>
        </is>
      </c>
      <c r="C439" t="inlineStr">
        <is>
          <t>A. F. COMERCIO DE LIVROS E CURSOS ESPECIALIZADOS LTDA</t>
        </is>
      </c>
    </row>
    <row r="440">
      <c r="B440" s="55" t="inlineStr">
        <is>
          <t>06.336.797/0001-89</t>
        </is>
      </c>
      <c r="C440" t="inlineStr">
        <is>
          <t>A. F. COMERCIO DE LIVROS E CURSOS ESPECIALIZADOS LTDA</t>
        </is>
      </c>
    </row>
    <row r="441">
      <c r="B441" s="55" t="inlineStr">
        <is>
          <t>06.340.404/0001-00</t>
        </is>
      </c>
      <c r="C441" t="inlineStr">
        <is>
          <t>JU MANZINI COMERCIO DE ROUPAS, BIJUTERIAS E ACESSORIOS LTDA</t>
        </is>
      </c>
    </row>
    <row r="442">
      <c r="B442" s="55" t="inlineStr">
        <is>
          <t>06.340.404/0001-00</t>
        </is>
      </c>
      <c r="C442" t="inlineStr">
        <is>
          <t>JU MANZINI COMERCIO DE ROUPAS, BIJUTERIAS E ACESSORIOS LTDA</t>
        </is>
      </c>
    </row>
    <row r="443">
      <c r="B443" s="55" t="inlineStr">
        <is>
          <t>06.340.404/0001-00</t>
        </is>
      </c>
      <c r="C443" t="inlineStr">
        <is>
          <t>JU MANZINI COMERCIO DE ROUPAS, BIJUTERIAS E ACESSORIOS LTDA</t>
        </is>
      </c>
    </row>
    <row r="444">
      <c r="B444" s="55" t="inlineStr">
        <is>
          <t>06.343.763/0001-11</t>
        </is>
      </c>
      <c r="C444" t="inlineStr">
        <is>
          <t>FUNDACAO DE APOIO CIENTIFICO E TECNOLOGICO DO TOCANTINS</t>
        </is>
      </c>
    </row>
    <row r="445">
      <c r="B445" s="55" t="inlineStr">
        <is>
          <t>06.347.409/0001-65</t>
        </is>
      </c>
      <c r="C445" t="inlineStr">
        <is>
          <t>SBF COMERCIO DE PRODUTOS ESPORTIVOS S.A.</t>
        </is>
      </c>
    </row>
    <row r="446">
      <c r="B446" s="55" t="inlineStr">
        <is>
          <t>06.347.409/0001-65</t>
        </is>
      </c>
      <c r="C446" t="inlineStr">
        <is>
          <t>SBF COMERCIO DE PRODUTOS ESPORTIVOS S.A.</t>
        </is>
      </c>
    </row>
    <row r="447">
      <c r="B447" s="55" t="inlineStr">
        <is>
          <t>06.347.409/0001-65</t>
        </is>
      </c>
      <c r="C447" t="inlineStr">
        <is>
          <t>SBF COMERCIO DE PRODUTOS ESPORTIVOS S.A.</t>
        </is>
      </c>
    </row>
    <row r="448">
      <c r="B448" s="55" t="inlineStr">
        <is>
          <t>06.778.591/0003-70</t>
        </is>
      </c>
      <c r="C448" t="inlineStr">
        <is>
          <t>POTIGUAR MATERIAIS DE CONSTRUCAO S.A.</t>
        </is>
      </c>
    </row>
    <row r="449">
      <c r="B449" s="55" t="inlineStr">
        <is>
          <t>06.778.591/0003-70</t>
        </is>
      </c>
      <c r="C449" t="inlineStr">
        <is>
          <t>POTIGUAR MATERIAIS DE CONSTRUCAO S.A.</t>
        </is>
      </c>
    </row>
    <row r="450">
      <c r="B450" s="55" t="inlineStr">
        <is>
          <t>06.828.545/0001-77</t>
        </is>
      </c>
      <c r="C450" t="inlineStr">
        <is>
          <t>LCR LOAN INDUSTRIA E COMERCIO LTDA</t>
        </is>
      </c>
    </row>
    <row r="451">
      <c r="B451" s="55" t="inlineStr">
        <is>
          <t>06.862.627/0001-38</t>
        </is>
      </c>
      <c r="C451" t="inlineStr">
        <is>
          <t>CLAUDINO S A LOJAS DE DEPARTAMENTOS</t>
        </is>
      </c>
    </row>
    <row r="452">
      <c r="B452" s="55" t="inlineStr">
        <is>
          <t>06.862.627/0001-38</t>
        </is>
      </c>
      <c r="C452" t="inlineStr">
        <is>
          <t>CLAUDINO S A LOJAS DE DEPARTAMENTOS</t>
        </is>
      </c>
    </row>
    <row r="453">
      <c r="B453" s="55" t="inlineStr">
        <is>
          <t>06.862.627/0001-38</t>
        </is>
      </c>
      <c r="C453" t="inlineStr">
        <is>
          <t>CLAUDINO S A LOJAS DE DEPARTAMENTOS</t>
        </is>
      </c>
    </row>
    <row r="454">
      <c r="B454" s="55" t="inlineStr">
        <is>
          <t>06.862.627/0001-38</t>
        </is>
      </c>
      <c r="C454" t="inlineStr">
        <is>
          <t>CLAUDINO S A LOJAS DE DEPARTAMENTOS</t>
        </is>
      </c>
    </row>
    <row r="455">
      <c r="B455" s="55" t="inlineStr">
        <is>
          <t>06.862.627/0001-38</t>
        </is>
      </c>
      <c r="C455" t="inlineStr">
        <is>
          <t>CLAUDINO S A LOJAS DE DEPARTAMENTOS</t>
        </is>
      </c>
    </row>
    <row r="456">
      <c r="B456" s="55" t="inlineStr">
        <is>
          <t>06.942.640/0001-05</t>
        </is>
      </c>
      <c r="C456" t="inlineStr">
        <is>
          <t>BIO LEV FARMACIA DE MANIPULACAO LTDA</t>
        </is>
      </c>
    </row>
    <row r="457">
      <c r="B457" s="55" t="inlineStr">
        <is>
          <t>06.943.073/0001-01</t>
        </is>
      </c>
      <c r="C457" t="inlineStr">
        <is>
          <t>BOOK PLAY COMERCIO DE LIVROS LTDA</t>
        </is>
      </c>
    </row>
    <row r="458">
      <c r="B458" s="55" t="inlineStr">
        <is>
          <t>06.960.968/0001-46</t>
        </is>
      </c>
      <c r="C458" t="inlineStr">
        <is>
          <t>PIT BULL JEANS INDUSTRIA E COMERCIO DE CONFECCOES LTDA</t>
        </is>
      </c>
    </row>
    <row r="459">
      <c r="B459" s="55" t="inlineStr">
        <is>
          <t>06.967.098/0001-37</t>
        </is>
      </c>
      <c r="C459" t="inlineStr">
        <is>
          <t>CESCONETTO ATACADO DE PAPEIS LTDA</t>
        </is>
      </c>
    </row>
    <row r="460">
      <c r="B460" s="55" t="inlineStr">
        <is>
          <t>06.967.098/0001-37</t>
        </is>
      </c>
      <c r="C460" t="inlineStr">
        <is>
          <t>CESCONETTO ATACADO DE PAPEIS LTDA</t>
        </is>
      </c>
    </row>
    <row r="461">
      <c r="B461" s="55" t="inlineStr">
        <is>
          <t>06.967.098/0001-37</t>
        </is>
      </c>
      <c r="C461" t="inlineStr">
        <is>
          <t>CESCONETTO ATACADO DE PAPEIS LTDA</t>
        </is>
      </c>
    </row>
    <row r="462">
      <c r="B462" s="55" t="inlineStr">
        <is>
          <t>06.967.098/0001-37</t>
        </is>
      </c>
      <c r="C462" t="inlineStr">
        <is>
          <t>CESCONETTO ATACADO DE PAPEIS LTDA</t>
        </is>
      </c>
    </row>
    <row r="463">
      <c r="B463" s="55" t="inlineStr">
        <is>
          <t>06.987.504/0001-23</t>
        </is>
      </c>
      <c r="C463" t="inlineStr">
        <is>
          <t>F. F. KUHL CALCADOS LTDA</t>
        </is>
      </c>
    </row>
    <row r="464">
      <c r="B464" s="55" t="inlineStr">
        <is>
          <t>07.005.092/0001-41</t>
        </is>
      </c>
      <c r="C464" t="inlineStr">
        <is>
          <t>MAM COMERCIO E FABRICACAO DE PLASTICOS IMPORTADORA E EXPORTADORA LTDA</t>
        </is>
      </c>
    </row>
    <row r="465">
      <c r="B465" s="55" t="inlineStr">
        <is>
          <t>07.049.336/0001-98</t>
        </is>
      </c>
      <c r="C465" t="inlineStr">
        <is>
          <t>RENAN SIMOES</t>
        </is>
      </c>
    </row>
    <row r="466">
      <c r="B466" s="55" t="inlineStr">
        <is>
          <t>07.063.181/0001-44</t>
        </is>
      </c>
      <c r="C466" t="inlineStr">
        <is>
          <t>COMERCIO DE PRESENTES PARI LTDA</t>
        </is>
      </c>
    </row>
    <row r="467">
      <c r="B467" s="55" t="inlineStr">
        <is>
          <t>07.083.987/0003-66</t>
        </is>
      </c>
      <c r="C467" t="inlineStr">
        <is>
          <t>AYLO INDUSTRIA E COMERCIO DO VESTUARIO S.A.</t>
        </is>
      </c>
    </row>
    <row r="468">
      <c r="B468" s="55" t="inlineStr">
        <is>
          <t>07.083.987/0003-66</t>
        </is>
      </c>
      <c r="C468" t="inlineStr">
        <is>
          <t>AYLO INDUSTRIA E COMERCIO DO VESTUARIO S.A.</t>
        </is>
      </c>
    </row>
    <row r="469">
      <c r="B469" s="55" t="inlineStr">
        <is>
          <t>07.124.577/0002-35</t>
        </is>
      </c>
      <c r="C469" t="inlineStr">
        <is>
          <t>AB COMERCIO DE VEICULOS LTDA</t>
        </is>
      </c>
    </row>
    <row r="470">
      <c r="B470" s="55" t="inlineStr">
        <is>
          <t>07.124.577/0002-35</t>
        </is>
      </c>
      <c r="C470" t="inlineStr">
        <is>
          <t>AB COMERCIO DE VEICULOS LTDA</t>
        </is>
      </c>
    </row>
    <row r="471">
      <c r="B471" s="55" t="inlineStr">
        <is>
          <t>07.124.577/0002-35</t>
        </is>
      </c>
      <c r="C471" t="inlineStr">
        <is>
          <t>AB COMERCIO DE VEICULOS LTDA</t>
        </is>
      </c>
    </row>
    <row r="472">
      <c r="B472" s="55" t="inlineStr">
        <is>
          <t>07.140.538/0001-40</t>
        </is>
      </c>
      <c r="C472" t="inlineStr">
        <is>
          <t>AUTOPASS S.A.</t>
        </is>
      </c>
    </row>
    <row r="473">
      <c r="B473" s="55" t="inlineStr">
        <is>
          <t>07.140.538/0001-40</t>
        </is>
      </c>
      <c r="C473" t="inlineStr">
        <is>
          <t>AUTOPASS S.A.</t>
        </is>
      </c>
    </row>
    <row r="474">
      <c r="B474" s="55" t="inlineStr">
        <is>
          <t>07.141.168/0001-66</t>
        </is>
      </c>
      <c r="C474" t="inlineStr">
        <is>
          <t>ALFA  AGENCIA DE VIAGENS LTDA</t>
        </is>
      </c>
    </row>
    <row r="475">
      <c r="B475" s="55" t="inlineStr">
        <is>
          <t>07.141.168/0001-66</t>
        </is>
      </c>
      <c r="C475" t="inlineStr">
        <is>
          <t>ALFA  AGENCIA DE VIAGENS LTDA</t>
        </is>
      </c>
    </row>
    <row r="476">
      <c r="B476" s="55" t="inlineStr">
        <is>
          <t>07.141.168/0001-66</t>
        </is>
      </c>
      <c r="C476" t="inlineStr">
        <is>
          <t>ALFA  AGENCIA DE VIAGENS LTDA</t>
        </is>
      </c>
    </row>
    <row r="477">
      <c r="B477" s="55" t="inlineStr">
        <is>
          <t>07.141.168/0001-66</t>
        </is>
      </c>
      <c r="C477" t="inlineStr">
        <is>
          <t>ALFA  AGENCIA DE VIAGENS LTDA</t>
        </is>
      </c>
    </row>
    <row r="478">
      <c r="B478" s="55" t="inlineStr">
        <is>
          <t>07.141.168/0001-66</t>
        </is>
      </c>
      <c r="C478" t="inlineStr">
        <is>
          <t>ALFA  AGENCIA DE VIAGENS LTDA</t>
        </is>
      </c>
    </row>
    <row r="479">
      <c r="B479" s="55" t="inlineStr">
        <is>
          <t>07.141.168/0001-66</t>
        </is>
      </c>
      <c r="C479" t="inlineStr">
        <is>
          <t>ALFA  AGENCIA DE VIAGENS LTDA</t>
        </is>
      </c>
    </row>
    <row r="480">
      <c r="B480" s="55" t="inlineStr">
        <is>
          <t>07.141.168/0001-66</t>
        </is>
      </c>
      <c r="C480" t="inlineStr">
        <is>
          <t>ALFA  AGENCIA DE VIAGENS LTDA</t>
        </is>
      </c>
    </row>
    <row r="481">
      <c r="B481" s="55" t="inlineStr">
        <is>
          <t>07.173.309/0001-22</t>
        </is>
      </c>
      <c r="C481" t="inlineStr">
        <is>
          <t>BRAMEX COMERCIO E SERVICOS LTDA</t>
        </is>
      </c>
    </row>
    <row r="482">
      <c r="B482" s="55" t="inlineStr">
        <is>
          <t>07.173.309/0001-22</t>
        </is>
      </c>
      <c r="C482" t="inlineStr">
        <is>
          <t>BRAMEX COMERCIO E SERVICOS LTDA</t>
        </is>
      </c>
    </row>
    <row r="483">
      <c r="B483" s="55" t="inlineStr">
        <is>
          <t>07.192.233/0001-82</t>
        </is>
      </c>
      <c r="C483" t="inlineStr">
        <is>
          <t>JOICE R. LEAO LTDA</t>
        </is>
      </c>
    </row>
    <row r="484">
      <c r="B484" s="55" t="inlineStr">
        <is>
          <t>07.192.233/0001-82</t>
        </is>
      </c>
      <c r="C484" t="inlineStr">
        <is>
          <t>JOICE R. LEAO LTDA</t>
        </is>
      </c>
    </row>
    <row r="485">
      <c r="B485" s="55" t="inlineStr">
        <is>
          <t>07.192.233/0001-82</t>
        </is>
      </c>
      <c r="C485" t="inlineStr">
        <is>
          <t>JOICE R. LEAO LTDA</t>
        </is>
      </c>
    </row>
    <row r="486">
      <c r="B486" s="55" t="inlineStr">
        <is>
          <t>07.218.236/0001-48</t>
        </is>
      </c>
      <c r="C486" t="inlineStr">
        <is>
          <t>DISTRIBUIDORA DE VEICULOS FREIRE LTDA</t>
        </is>
      </c>
    </row>
    <row r="487">
      <c r="B487" s="55" t="inlineStr">
        <is>
          <t>07.218.236/0001-48</t>
        </is>
      </c>
      <c r="C487" t="inlineStr">
        <is>
          <t>DISTRIBUIDORA DE VEICULOS FREIRE LTDA</t>
        </is>
      </c>
    </row>
    <row r="488">
      <c r="B488" s="55" t="inlineStr">
        <is>
          <t>07.218.236/0001-48</t>
        </is>
      </c>
      <c r="C488" t="inlineStr">
        <is>
          <t>DISTRIBUIDORA DE VEICULOS FREIRE LTDA</t>
        </is>
      </c>
    </row>
    <row r="489">
      <c r="B489" s="55" t="inlineStr">
        <is>
          <t>07.226.369/0001-66</t>
        </is>
      </c>
      <c r="C489" t="inlineStr">
        <is>
          <t>DEMARI COMERCIO DE CALCADOS LTDA</t>
        </is>
      </c>
    </row>
    <row r="490">
      <c r="B490" s="55" t="inlineStr">
        <is>
          <t>07.235.232/0001-78</t>
        </is>
      </c>
      <c r="C490" t="inlineStr">
        <is>
          <t>JAMPAC ALIMENTOS LTDA</t>
        </is>
      </c>
    </row>
    <row r="491">
      <c r="B491" s="55" t="inlineStr">
        <is>
          <t>07.235.232/0001-78</t>
        </is>
      </c>
      <c r="C491" t="inlineStr">
        <is>
          <t>JAMPAC ALIMENTOS LTDA</t>
        </is>
      </c>
    </row>
    <row r="492">
      <c r="B492" s="55" t="inlineStr">
        <is>
          <t>07.235.232/0001-78</t>
        </is>
      </c>
      <c r="C492" t="inlineStr">
        <is>
          <t>JAMPAC ALIMENTOS LTDA</t>
        </is>
      </c>
    </row>
    <row r="493">
      <c r="B493" s="55" t="inlineStr">
        <is>
          <t>07.240.450/0001-09</t>
        </is>
      </c>
      <c r="C493" t="inlineStr">
        <is>
          <t>APIGUANA MAQUINAS E FERRAMENTAS LTDA</t>
        </is>
      </c>
    </row>
    <row r="494">
      <c r="B494" s="55" t="inlineStr">
        <is>
          <t>07.251.220/0001-37</t>
        </is>
      </c>
      <c r="C494" t="inlineStr">
        <is>
          <t>BARRICHELLO COMERCIO DE CALCADOS LTDA</t>
        </is>
      </c>
    </row>
    <row r="495">
      <c r="B495" s="55" t="inlineStr">
        <is>
          <t>07.324.378/0001-90</t>
        </is>
      </c>
      <c r="C495" t="inlineStr">
        <is>
          <t>DUTRA COMERCIO FARMACEUTICO LTDA</t>
        </is>
      </c>
    </row>
    <row r="496">
      <c r="B496" s="55" t="inlineStr">
        <is>
          <t>07.324.378/0001-90</t>
        </is>
      </c>
      <c r="C496" t="inlineStr">
        <is>
          <t>DUTRA COMERCIO FARMACEUTICO LTDA</t>
        </is>
      </c>
    </row>
    <row r="497">
      <c r="B497" s="55" t="inlineStr">
        <is>
          <t>07.324.378/0001-90</t>
        </is>
      </c>
      <c r="C497" t="inlineStr">
        <is>
          <t>DUTRA COMERCIO FARMACEUTICO LTDA</t>
        </is>
      </c>
    </row>
    <row r="498">
      <c r="B498" s="55" t="inlineStr">
        <is>
          <t>07.325.273/0001-55</t>
        </is>
      </c>
      <c r="C498" t="inlineStr">
        <is>
          <t>FORMULA &amp; BASE FARMACIA DE MANIPULACAO LTDA</t>
        </is>
      </c>
    </row>
    <row r="499">
      <c r="B499" s="55" t="inlineStr">
        <is>
          <t>07.325.273/0001-55</t>
        </is>
      </c>
      <c r="C499" t="inlineStr">
        <is>
          <t>FORMULA &amp; BASE FARMACIA DE MANIPULACAO LTDA</t>
        </is>
      </c>
    </row>
    <row r="500">
      <c r="B500" s="55" t="inlineStr">
        <is>
          <t>07.325.273/0001-55</t>
        </is>
      </c>
      <c r="C500" t="inlineStr">
        <is>
          <t>FORMULA &amp; BASE FARMACIA DE MANIPULACAO LTDA</t>
        </is>
      </c>
    </row>
    <row r="501">
      <c r="B501" s="55" t="inlineStr">
        <is>
          <t>07.325.273/0001-55</t>
        </is>
      </c>
      <c r="C501" t="inlineStr">
        <is>
          <t>FORMULA &amp; BASE FARMACIA DE MANIPULACAO LTDA</t>
        </is>
      </c>
    </row>
    <row r="502">
      <c r="B502" s="55" t="inlineStr">
        <is>
          <t>07.325.273/0001-55</t>
        </is>
      </c>
      <c r="C502" t="inlineStr">
        <is>
          <t>FORMULA &amp; BASE FARMACIA DE MANIPULACAO LTDA</t>
        </is>
      </c>
    </row>
    <row r="503">
      <c r="B503" s="55" t="inlineStr">
        <is>
          <t>07.382.118/0001-70</t>
        </is>
      </c>
      <c r="C503" t="inlineStr">
        <is>
          <t>A. P. A. COMERCIO DE MOVEIS LTDA</t>
        </is>
      </c>
    </row>
    <row r="504">
      <c r="B504" s="55" t="inlineStr">
        <is>
          <t>07.396.947/0001-02</t>
        </is>
      </c>
      <c r="C504" t="inlineStr">
        <is>
          <t>ENXOVAIS ARTE &amp; CAMA LTDA</t>
        </is>
      </c>
    </row>
    <row r="505">
      <c r="B505" s="55" t="inlineStr">
        <is>
          <t>07.442.852/0001-88</t>
        </is>
      </c>
      <c r="C505" t="inlineStr">
        <is>
          <t>BEYOUNG COSMETICOS LTDA</t>
        </is>
      </c>
    </row>
    <row r="506">
      <c r="B506" s="55" t="inlineStr">
        <is>
          <t>07.442.852/0001-88</t>
        </is>
      </c>
      <c r="C506" t="inlineStr">
        <is>
          <t>BEYOUNG COSMETICOS LTDA</t>
        </is>
      </c>
    </row>
    <row r="507">
      <c r="B507" s="55" t="inlineStr">
        <is>
          <t>07.524.476/0001-70</t>
        </is>
      </c>
      <c r="C507" t="inlineStr">
        <is>
          <t>JOMASA COMERCIO DE PRODUTOS FARMACEUTICOS LTDA</t>
        </is>
      </c>
    </row>
    <row r="508">
      <c r="B508" s="55" t="inlineStr">
        <is>
          <t>07.524.476/0001-70</t>
        </is>
      </c>
      <c r="C508" t="inlineStr">
        <is>
          <t>JOMASA COMERCIO DE PRODUTOS FARMACEUTICOS LTDA</t>
        </is>
      </c>
    </row>
    <row r="509">
      <c r="B509" s="55" t="inlineStr">
        <is>
          <t>07.524.476/0001-70</t>
        </is>
      </c>
      <c r="C509" t="inlineStr">
        <is>
          <t>JOMASA COMERCIO DE PRODUTOS FARMACEUTICOS LTDA</t>
        </is>
      </c>
    </row>
    <row r="510">
      <c r="B510" s="55" t="inlineStr">
        <is>
          <t>07.555.950/0001-21</t>
        </is>
      </c>
      <c r="C510" t="inlineStr">
        <is>
          <t>RIO GRANDE COMERCIO DE CARNES LTDA</t>
        </is>
      </c>
    </row>
    <row r="511">
      <c r="B511" s="55" t="inlineStr">
        <is>
          <t>07.581.925/0001-12</t>
        </is>
      </c>
      <c r="C511" t="inlineStr">
        <is>
          <t>JOSE LUIZ P. ARRUDA E CIA. LTDA</t>
        </is>
      </c>
    </row>
    <row r="512">
      <c r="B512" s="55" t="inlineStr">
        <is>
          <t>07.587.872/0001-47</t>
        </is>
      </c>
      <c r="C512" t="inlineStr">
        <is>
          <t>POUSADA ENCONTRO DAS AGUAS LTDA</t>
        </is>
      </c>
    </row>
    <row r="513">
      <c r="B513" s="55" t="inlineStr">
        <is>
          <t>07.611.092/0001-95</t>
        </is>
      </c>
      <c r="C513" t="inlineStr">
        <is>
          <t>MORDOMO ENTREGA EXPRESS LTDA (baixada)</t>
        </is>
      </c>
    </row>
    <row r="514">
      <c r="B514" s="55" t="inlineStr">
        <is>
          <t>07.611.685/0001-51</t>
        </is>
      </c>
      <c r="C514" t="inlineStr">
        <is>
          <t>BERLOCA BOLSAS E ACESSORIOS LTDA</t>
        </is>
      </c>
    </row>
    <row r="515">
      <c r="B515" s="55" t="inlineStr">
        <is>
          <t>07.625.852/0001-13</t>
        </is>
      </c>
      <c r="C515" t="inlineStr">
        <is>
          <t>TELEXPERTS TELECOMUNICACOES S.A</t>
        </is>
      </c>
    </row>
    <row r="516">
      <c r="B516" s="55" t="inlineStr">
        <is>
          <t>07.625.852/0001-13</t>
        </is>
      </c>
      <c r="C516" t="inlineStr">
        <is>
          <t>TELEXPERTS TELECOMUNICACOES S.A</t>
        </is>
      </c>
    </row>
    <row r="517">
      <c r="B517" s="55" t="inlineStr">
        <is>
          <t>07.639.530/0021-77</t>
        </is>
      </c>
      <c r="C517" t="inlineStr">
        <is>
          <t>SHOEBIZ COMERCIO LTDA</t>
        </is>
      </c>
    </row>
    <row r="518">
      <c r="B518" s="55" t="inlineStr">
        <is>
          <t>07.646.236/0001-49</t>
        </is>
      </c>
      <c r="C518" t="inlineStr">
        <is>
          <t>A. L. RIBEIRO PEREIRA</t>
        </is>
      </c>
    </row>
    <row r="519">
      <c r="B519" s="55" t="inlineStr">
        <is>
          <t>07.657.213/0001-30</t>
        </is>
      </c>
      <c r="C519" t="inlineStr">
        <is>
          <t>FARMACIA DUDA &amp; GABI LTDA</t>
        </is>
      </c>
    </row>
    <row r="520">
      <c r="B520" s="55" t="inlineStr">
        <is>
          <t>07.657.213/0001-30</t>
        </is>
      </c>
      <c r="C520" t="inlineStr">
        <is>
          <t>FARMACIA DUDA &amp; GABI LTDA</t>
        </is>
      </c>
    </row>
    <row r="521">
      <c r="B521" s="55" t="inlineStr">
        <is>
          <t>07.657.213/0001-30</t>
        </is>
      </c>
      <c r="C521" t="inlineStr">
        <is>
          <t>FARMACIA DUDA &amp; GABI LTDA</t>
        </is>
      </c>
    </row>
    <row r="522">
      <c r="B522" s="55" t="inlineStr">
        <is>
          <t>07.677.166/0001-96</t>
        </is>
      </c>
      <c r="C522" t="inlineStr">
        <is>
          <t>FAR VIAGENS E TURISMO LTDA</t>
        </is>
      </c>
    </row>
    <row r="523">
      <c r="B523" s="55" t="inlineStr">
        <is>
          <t>07.677.166/0001-96</t>
        </is>
      </c>
      <c r="C523" t="inlineStr">
        <is>
          <t>FAR VIAGENS E TURISMO LTDA</t>
        </is>
      </c>
    </row>
    <row r="524">
      <c r="B524" s="55" t="inlineStr">
        <is>
          <t>07.677.166/0001-96</t>
        </is>
      </c>
      <c r="C524" t="inlineStr">
        <is>
          <t>FAR VIAGENS E TURISMO LTDA</t>
        </is>
      </c>
    </row>
    <row r="525">
      <c r="B525" s="55" t="inlineStr">
        <is>
          <t>07.677.166/0001-96</t>
        </is>
      </c>
      <c r="C525" t="inlineStr">
        <is>
          <t>FAR VIAGENS E TURISMO LTDA</t>
        </is>
      </c>
    </row>
    <row r="526">
      <c r="B526" s="55" t="inlineStr">
        <is>
          <t>07.687.928/0003-05</t>
        </is>
      </c>
      <c r="C526" t="inlineStr">
        <is>
          <t>WISH S.A.</t>
        </is>
      </c>
    </row>
    <row r="527">
      <c r="B527" s="55" t="inlineStr">
        <is>
          <t>07.687.928/0006-40</t>
        </is>
      </c>
      <c r="C527" t="inlineStr">
        <is>
          <t>WISH S.A.</t>
        </is>
      </c>
    </row>
    <row r="528">
      <c r="B528" s="55" t="inlineStr">
        <is>
          <t>07.687.928/0008-01</t>
        </is>
      </c>
      <c r="C528" t="inlineStr">
        <is>
          <t>WISH S.A.</t>
        </is>
      </c>
    </row>
    <row r="529">
      <c r="B529" s="55" t="inlineStr">
        <is>
          <t>07.687.928/0011-07</t>
        </is>
      </c>
      <c r="C529" t="inlineStr">
        <is>
          <t>WISH S.A.</t>
        </is>
      </c>
    </row>
    <row r="530">
      <c r="B530" s="55" t="inlineStr">
        <is>
          <t>07.687.928/0014-50</t>
        </is>
      </c>
      <c r="C530" t="inlineStr">
        <is>
          <t>WISH S.A.</t>
        </is>
      </c>
    </row>
    <row r="531">
      <c r="B531" s="55" t="inlineStr">
        <is>
          <t>07.687.928/0020-06</t>
        </is>
      </c>
      <c r="C531" t="inlineStr">
        <is>
          <t>WISH S.A.</t>
        </is>
      </c>
    </row>
    <row r="532">
      <c r="B532" s="55" t="inlineStr">
        <is>
          <t>07.687.928/0021-89</t>
        </is>
      </c>
      <c r="C532" t="inlineStr">
        <is>
          <t>WISH S.A.</t>
        </is>
      </c>
    </row>
    <row r="533">
      <c r="B533" s="55" t="inlineStr">
        <is>
          <t>07.687.928/0029-36</t>
        </is>
      </c>
      <c r="C533" t="inlineStr">
        <is>
          <t>WISH S.A.</t>
        </is>
      </c>
    </row>
    <row r="534">
      <c r="B534" s="55" t="inlineStr">
        <is>
          <t>07.705.530/0001-84</t>
        </is>
      </c>
      <c r="C534" t="inlineStr">
        <is>
          <t>MIXTER ATACADO E VAREJO DE GENEROS ALIMENTICIOS LTDA</t>
        </is>
      </c>
    </row>
    <row r="535">
      <c r="B535" s="55" t="inlineStr">
        <is>
          <t>07.708.500/0001-21</t>
        </is>
      </c>
      <c r="C535" t="inlineStr">
        <is>
          <t>A. F. FELIPE CONFECCOES LTDA</t>
        </is>
      </c>
    </row>
    <row r="536">
      <c r="B536" s="55" t="inlineStr">
        <is>
          <t>07.708.500/0001-21</t>
        </is>
      </c>
      <c r="C536" t="inlineStr">
        <is>
          <t>A. F. FELIPE CONFECCOES LTDA</t>
        </is>
      </c>
    </row>
    <row r="537">
      <c r="B537" s="55" t="inlineStr">
        <is>
          <t>07.708.500/0001-21</t>
        </is>
      </c>
      <c r="C537" t="inlineStr">
        <is>
          <t>A. F. FELIPE CONFECCOES LTDA</t>
        </is>
      </c>
    </row>
    <row r="538">
      <c r="B538" s="55" t="inlineStr">
        <is>
          <t>07.739.439/0001-80</t>
        </is>
      </c>
      <c r="C538" t="inlineStr">
        <is>
          <t>BUENO EMPREENDIMENTOS FARMACEUTICOS LTDA</t>
        </is>
      </c>
    </row>
    <row r="539">
      <c r="B539" s="55" t="inlineStr">
        <is>
          <t>07.739.439/0001-80</t>
        </is>
      </c>
      <c r="C539" t="inlineStr">
        <is>
          <t>BUENO EMPREENDIMENTOS FARMACEUTICOS LTDA</t>
        </is>
      </c>
    </row>
    <row r="540">
      <c r="B540" s="55" t="inlineStr">
        <is>
          <t>07.739.439/0001-80</t>
        </is>
      </c>
      <c r="C540" t="inlineStr">
        <is>
          <t>BUENO EMPREENDIMENTOS FARMACEUTICOS LTDA</t>
        </is>
      </c>
    </row>
    <row r="541">
      <c r="B541" s="55" t="inlineStr">
        <is>
          <t>07.750.733/0001-92</t>
        </is>
      </c>
      <c r="C541" t="inlineStr">
        <is>
          <t>VIDA FARMACIAS COLINA SORRISO COMERCIO DE MEDICAMENTOS LTDA</t>
        </is>
      </c>
    </row>
    <row r="542">
      <c r="B542" s="55" t="inlineStr">
        <is>
          <t>07.750.733/0001-92</t>
        </is>
      </c>
      <c r="C542" t="inlineStr">
        <is>
          <t>VIDA FARMACIAS COLINA SORRISO COMERCIO DE MEDICAMENTOS LTDA</t>
        </is>
      </c>
    </row>
    <row r="543">
      <c r="B543" s="55" t="inlineStr">
        <is>
          <t>07.750.733/0001-92</t>
        </is>
      </c>
      <c r="C543" t="inlineStr">
        <is>
          <t>VIDA FARMACIAS COLINA SORRISO COMERCIO DE MEDICAMENTOS LTDA</t>
        </is>
      </c>
    </row>
    <row r="544">
      <c r="B544" s="55" t="inlineStr">
        <is>
          <t>07.760.885/0007-61</t>
        </is>
      </c>
      <c r="C544" t="inlineStr">
        <is>
          <t>Nova SKULAXO S.A.</t>
        </is>
      </c>
    </row>
    <row r="545">
      <c r="B545" s="55" t="inlineStr">
        <is>
          <t>07.760.885/0007-61</t>
        </is>
      </c>
      <c r="C545" t="inlineStr">
        <is>
          <t>Nova SKULAXO S.A.</t>
        </is>
      </c>
    </row>
    <row r="546">
      <c r="B546" s="55" t="inlineStr">
        <is>
          <t>07.775.987/0001-65</t>
        </is>
      </c>
      <c r="C546" t="inlineStr">
        <is>
          <t>ASSOCIACAO MMI BRASIL</t>
        </is>
      </c>
    </row>
    <row r="547">
      <c r="B547" s="55" t="inlineStr">
        <is>
          <t>07.775.987/0001-65</t>
        </is>
      </c>
      <c r="C547" t="inlineStr">
        <is>
          <t>ASSOCIACAO MMI BRASIL</t>
        </is>
      </c>
    </row>
    <row r="548">
      <c r="B548" s="55" t="inlineStr">
        <is>
          <t>07.790.184/0001-80</t>
        </is>
      </c>
      <c r="C548" t="inlineStr">
        <is>
          <t>DROGARIA BLL LTDA</t>
        </is>
      </c>
    </row>
    <row r="549">
      <c r="B549" s="55" t="inlineStr">
        <is>
          <t>07.790.184/0001-80</t>
        </is>
      </c>
      <c r="C549" t="inlineStr">
        <is>
          <t>DROGARIA BLL LTDA</t>
        </is>
      </c>
    </row>
    <row r="550">
      <c r="B550" s="55" t="inlineStr">
        <is>
          <t>07.790.184/0001-80</t>
        </is>
      </c>
      <c r="C550" t="inlineStr">
        <is>
          <t>DROGARIA BLL LTDA</t>
        </is>
      </c>
    </row>
    <row r="551">
      <c r="B551" s="55" t="inlineStr">
        <is>
          <t>07.804.877/0001-84</t>
        </is>
      </c>
      <c r="C551" t="inlineStr">
        <is>
          <t>LOJAS UNILAR LTDA</t>
        </is>
      </c>
    </row>
    <row r="552">
      <c r="B552" s="55" t="inlineStr">
        <is>
          <t>07.849.690/0001-05</t>
        </is>
      </c>
      <c r="C552" t="inlineStr">
        <is>
          <t>LUA DE ALGODAO COMERCIO DE PRODUTOS INFANTIS LTDA</t>
        </is>
      </c>
    </row>
    <row r="553">
      <c r="B553" s="55" t="inlineStr">
        <is>
          <t>07.851.862/0001-77</t>
        </is>
      </c>
      <c r="C553" t="inlineStr">
        <is>
          <t>REGIA COMERCIO DE INFORMATICA LTDA EM RECUPERACAO JUDICIAL</t>
        </is>
      </c>
    </row>
    <row r="554">
      <c r="B554" s="55" t="inlineStr">
        <is>
          <t>07.851.862/0001-77</t>
        </is>
      </c>
      <c r="C554" t="inlineStr">
        <is>
          <t>REGIA COMERCIO DE INFORMATICA LTDA EM RECUPERACAO JUDICIAL</t>
        </is>
      </c>
    </row>
    <row r="555">
      <c r="B555" s="55" t="inlineStr">
        <is>
          <t>07.911.318/0001-73</t>
        </is>
      </c>
      <c r="C555" t="inlineStr">
        <is>
          <t>GALAXY PARTICIPACOES,IMPORTACAO E EXPORTACAO LTDA</t>
        </is>
      </c>
    </row>
    <row r="556">
      <c r="B556" s="55" t="inlineStr">
        <is>
          <t>07.911.318/0001-73</t>
        </is>
      </c>
      <c r="C556" t="inlineStr">
        <is>
          <t>GALAXY PARTICIPACOES,IMPORTACAO E EXPORTACAO LTDA</t>
        </is>
      </c>
    </row>
    <row r="557">
      <c r="B557" s="55" t="inlineStr">
        <is>
          <t>07.932.933/0001-66</t>
        </is>
      </c>
      <c r="C557" t="inlineStr">
        <is>
          <t>LHM CALCADOS LTDA</t>
        </is>
      </c>
    </row>
    <row r="558">
      <c r="B558" s="55" t="inlineStr">
        <is>
          <t>08.010.033/0001-24</t>
        </is>
      </c>
      <c r="C558" t="inlineStr">
        <is>
          <t>SAO BENTO GOLFE IMPORTACAO E EXPORTACAO LTDA.</t>
        </is>
      </c>
    </row>
    <row r="559">
      <c r="B559" s="55" t="inlineStr">
        <is>
          <t>08.010.033/0001-24</t>
        </is>
      </c>
      <c r="C559" t="inlineStr">
        <is>
          <t>SAO BENTO GOLFE IMPORTACAO E EXPORTACAO LTDA.</t>
        </is>
      </c>
    </row>
    <row r="560">
      <c r="B560" s="55" t="inlineStr">
        <is>
          <t>08.010.033/0001-24</t>
        </is>
      </c>
      <c r="C560" t="inlineStr">
        <is>
          <t>SAO BENTO GOLFE IMPORTACAO E EXPORTACAO LTDA.</t>
        </is>
      </c>
    </row>
    <row r="561">
      <c r="B561" s="55" t="inlineStr">
        <is>
          <t>08.040.276/0001-05</t>
        </is>
      </c>
      <c r="C561" t="inlineStr">
        <is>
          <t>INDIGO RED INDUSTRIA E COMERCIO DE CONFECCOES LTDA</t>
        </is>
      </c>
    </row>
    <row r="562">
      <c r="B562" s="55" t="inlineStr">
        <is>
          <t>08.040.276/0001-05</t>
        </is>
      </c>
      <c r="C562" t="inlineStr">
        <is>
          <t>INDIGO RED INDUSTRIA E COMERCIO DE CONFECCOES LTDA</t>
        </is>
      </c>
    </row>
    <row r="563">
      <c r="B563" s="55" t="inlineStr">
        <is>
          <t>08.040.276/0001-05</t>
        </is>
      </c>
      <c r="C563" t="inlineStr">
        <is>
          <t>INDIGO RED INDUSTRIA E COMERCIO DE CONFECCOES LTDA</t>
        </is>
      </c>
    </row>
    <row r="564">
      <c r="B564" s="55" t="inlineStr">
        <is>
          <t>08.044.835/0001-55</t>
        </is>
      </c>
      <c r="C564" t="inlineStr">
        <is>
          <t>POUSADA AGUAS-DOURADAS LTDA</t>
        </is>
      </c>
    </row>
    <row r="565">
      <c r="B565" s="55" t="inlineStr">
        <is>
          <t>08.071.439/0001-17</t>
        </is>
      </c>
      <c r="C565" t="inlineStr">
        <is>
          <t>POUSADA PORTO MARE LTDA</t>
        </is>
      </c>
    </row>
    <row r="566">
      <c r="B566" s="55" t="inlineStr">
        <is>
          <t>08.071.439/0001-17</t>
        </is>
      </c>
      <c r="C566" t="inlineStr">
        <is>
          <t>POUSADA PORTO MARE LTDA</t>
        </is>
      </c>
    </row>
    <row r="567">
      <c r="B567" s="55" t="inlineStr">
        <is>
          <t>08.071.439/0001-17</t>
        </is>
      </c>
      <c r="C567" t="inlineStr">
        <is>
          <t>POUSADA PORTO MARE LTDA</t>
        </is>
      </c>
    </row>
    <row r="568">
      <c r="B568" s="55" t="inlineStr">
        <is>
          <t>08.071.439/0001-17</t>
        </is>
      </c>
      <c r="C568" t="inlineStr">
        <is>
          <t>POUSADA PORTO MARE LTDA</t>
        </is>
      </c>
    </row>
    <row r="569">
      <c r="B569" s="55" t="inlineStr">
        <is>
          <t>08.071.439/0001-17</t>
        </is>
      </c>
      <c r="C569" t="inlineStr">
        <is>
          <t>POUSADA PORTO MARE LTDA</t>
        </is>
      </c>
    </row>
    <row r="570">
      <c r="B570" s="55" t="inlineStr">
        <is>
          <t>08.101.083/0001-17</t>
        </is>
      </c>
      <c r="C570" t="inlineStr">
        <is>
          <t>FARMACIA LAUTERT LTDA</t>
        </is>
      </c>
    </row>
    <row r="571">
      <c r="B571" s="55" t="inlineStr">
        <is>
          <t>08.101.083/0001-17</t>
        </is>
      </c>
      <c r="C571" t="inlineStr">
        <is>
          <t>FARMACIA LAUTERT LTDA</t>
        </is>
      </c>
    </row>
    <row r="572">
      <c r="B572" s="55" t="inlineStr">
        <is>
          <t>08.101.083/0001-17</t>
        </is>
      </c>
      <c r="C572" t="inlineStr">
        <is>
          <t>FARMACIA LAUTERT LTDA</t>
        </is>
      </c>
    </row>
    <row r="573">
      <c r="B573" s="55" t="inlineStr">
        <is>
          <t>08.185.056/0001-70</t>
        </is>
      </c>
      <c r="C573" t="inlineStr">
        <is>
          <t>BELLA SEDA INDUSTRIA E COMERCIO DE CONFECCOES LTDA</t>
        </is>
      </c>
    </row>
    <row r="574">
      <c r="B574" s="55" t="inlineStr">
        <is>
          <t>08.277.021/0001-60</t>
        </is>
      </c>
      <c r="C574" t="inlineStr">
        <is>
          <t>LU T.D. CALCADOS LTDA</t>
        </is>
      </c>
    </row>
    <row r="575">
      <c r="B575" s="55" t="inlineStr">
        <is>
          <t>08.282.815/0001-12</t>
        </is>
      </c>
      <c r="C575" t="inlineStr">
        <is>
          <t>APOLLO TECNOLOGIA LTDA</t>
        </is>
      </c>
    </row>
    <row r="576">
      <c r="B576" s="55" t="inlineStr">
        <is>
          <t>08.290.164/0001-02</t>
        </is>
      </c>
      <c r="C576" t="inlineStr">
        <is>
          <t>ESTABLISHMENT LABS BRASIL PRODUTOS PARA SAUDE LTDA.</t>
        </is>
      </c>
    </row>
    <row r="577">
      <c r="B577" s="55" t="inlineStr">
        <is>
          <t>08.290.164/0001-02</t>
        </is>
      </c>
      <c r="C577" t="inlineStr">
        <is>
          <t>ESTABLISHMENT LABS BRASIL PRODUTOS PARA SAUDE LTDA.</t>
        </is>
      </c>
    </row>
    <row r="578">
      <c r="B578" s="55" t="inlineStr">
        <is>
          <t>08.298.672/0001-37</t>
        </is>
      </c>
      <c r="C578" t="inlineStr">
        <is>
          <t>MERCOSUL VEICULOS LTDA</t>
        </is>
      </c>
    </row>
    <row r="579">
      <c r="B579" s="55" t="inlineStr">
        <is>
          <t>08.298.672/0001-37</t>
        </is>
      </c>
      <c r="C579" t="inlineStr">
        <is>
          <t>MERCOSUL VEICULOS LTDA</t>
        </is>
      </c>
    </row>
    <row r="580">
      <c r="B580" s="55" t="inlineStr">
        <is>
          <t>08.298.672/0001-37</t>
        </is>
      </c>
      <c r="C580" t="inlineStr">
        <is>
          <t>MERCOSUL VEICULOS LTDA</t>
        </is>
      </c>
    </row>
    <row r="581">
      <c r="B581" s="55" t="inlineStr">
        <is>
          <t>08.319.175/0001-78</t>
        </is>
      </c>
      <c r="C581" t="inlineStr">
        <is>
          <t>ARAUJO CALCADOS MARANHAO LTDA</t>
        </is>
      </c>
    </row>
    <row r="582">
      <c r="B582" s="55" t="inlineStr">
        <is>
          <t>08.319.175/0001-78</t>
        </is>
      </c>
      <c r="C582" t="inlineStr">
        <is>
          <t>ARAUJO CALCADOS MARANHAO LTDA</t>
        </is>
      </c>
    </row>
    <row r="583">
      <c r="B583" s="55" t="inlineStr">
        <is>
          <t>08.332.122/0001-97</t>
        </is>
      </c>
      <c r="C583" t="inlineStr">
        <is>
          <t>DENTAL RUBI COMERCIO DE PRODUTOS ODONTOLOGICOS LTDA</t>
        </is>
      </c>
    </row>
    <row r="584">
      <c r="B584" s="55" t="inlineStr">
        <is>
          <t>08.375.459/0001-81</t>
        </is>
      </c>
      <c r="C584" t="inlineStr">
        <is>
          <t>DROGARIA KRUSEMARK BRANDAO LTDA</t>
        </is>
      </c>
    </row>
    <row r="585">
      <c r="B585" s="55" t="inlineStr">
        <is>
          <t>08.375.459/0001-81</t>
        </is>
      </c>
      <c r="C585" t="inlineStr">
        <is>
          <t>DROGARIA KRUSEMARK BRANDAO LTDA</t>
        </is>
      </c>
    </row>
    <row r="586">
      <c r="B586" s="55" t="inlineStr">
        <is>
          <t>08.375.459/0001-81</t>
        </is>
      </c>
      <c r="C586" t="inlineStr">
        <is>
          <t>DROGARIA KRUSEMARK BRANDAO LTDA</t>
        </is>
      </c>
    </row>
    <row r="587">
      <c r="B587" s="55" t="inlineStr">
        <is>
          <t>08.390.881/0001-06</t>
        </is>
      </c>
      <c r="C587" t="inlineStr">
        <is>
          <t>PERIMETRAL COMERCIO DE ACESSORIOS PARA MOTOCICLETAS LTDA.</t>
        </is>
      </c>
    </row>
    <row r="588">
      <c r="B588" s="55" t="inlineStr">
        <is>
          <t>08.390.881/0001-06</t>
        </is>
      </c>
      <c r="C588" t="inlineStr">
        <is>
          <t>PERIMETRAL COMERCIO DE ACESSORIOS PARA MOTOCICLETAS LTDA.</t>
        </is>
      </c>
    </row>
    <row r="589">
      <c r="B589" s="55" t="inlineStr">
        <is>
          <t>08.390.881/0001-06</t>
        </is>
      </c>
      <c r="C589" t="inlineStr">
        <is>
          <t>PERIMETRAL COMERCIO DE ACESSORIOS PARA MOTOCICLETAS LTDA.</t>
        </is>
      </c>
    </row>
    <row r="590">
      <c r="B590" s="55" t="inlineStr">
        <is>
          <t>08.390.881/0001-06</t>
        </is>
      </c>
      <c r="C590" t="inlineStr">
        <is>
          <t>PERIMETRAL COMERCIO DE ACESSORIOS PARA MOTOCICLETAS LTDA.</t>
        </is>
      </c>
    </row>
    <row r="591">
      <c r="B591" s="55" t="inlineStr">
        <is>
          <t>08.403.157/0001-70</t>
        </is>
      </c>
      <c r="C591" t="inlineStr">
        <is>
          <t>LABORATORIO E FARMACIA DE MANIPULACAO NERY ESTEVES LTDA</t>
        </is>
      </c>
    </row>
    <row r="592">
      <c r="B592" s="55" t="inlineStr">
        <is>
          <t>08.412.136/0001-10</t>
        </is>
      </c>
      <c r="C592" t="inlineStr">
        <is>
          <t>RIO DE PEDRAS HOTEL LTDA</t>
        </is>
      </c>
    </row>
    <row r="593">
      <c r="B593" s="55" t="inlineStr">
        <is>
          <t>08.412.136/0001-10</t>
        </is>
      </c>
      <c r="C593" t="inlineStr">
        <is>
          <t>RIO DE PEDRAS HOTEL LTDA</t>
        </is>
      </c>
    </row>
    <row r="594">
      <c r="B594" s="55" t="inlineStr">
        <is>
          <t>08.414.596/0001-88</t>
        </is>
      </c>
      <c r="C594" t="inlineStr">
        <is>
          <t>SAFETYBOX LOCACAO DE ARMARIOS LTDA</t>
        </is>
      </c>
    </row>
    <row r="595">
      <c r="B595" s="55" t="inlineStr">
        <is>
          <t>08.574.906/0004-74</t>
        </is>
      </c>
      <c r="C595" t="inlineStr">
        <is>
          <t>EMOTION COMERCIO DE ROUPAS LTDA</t>
        </is>
      </c>
    </row>
    <row r="596">
      <c r="B596" s="55" t="inlineStr">
        <is>
          <t>08.582.640/0001-69</t>
        </is>
      </c>
      <c r="C596" t="inlineStr">
        <is>
          <t>SJM COMERCIO DE MEDICAMENTOS E PERFUMARIA LTDA</t>
        </is>
      </c>
    </row>
    <row r="597">
      <c r="B597" s="55" t="inlineStr">
        <is>
          <t>08.582.640/0001-69</t>
        </is>
      </c>
      <c r="C597" t="inlineStr">
        <is>
          <t>SJM COMERCIO DE MEDICAMENTOS E PERFUMARIA LTDA</t>
        </is>
      </c>
    </row>
    <row r="598">
      <c r="B598" s="55" t="inlineStr">
        <is>
          <t>08.582.640/0001-69</t>
        </is>
      </c>
      <c r="C598" t="inlineStr">
        <is>
          <t>SJM COMERCIO DE MEDICAMENTOS E PERFUMARIA LTDA</t>
        </is>
      </c>
    </row>
    <row r="599">
      <c r="B599" s="55" t="inlineStr">
        <is>
          <t>08.584.116/0001-27</t>
        </is>
      </c>
      <c r="C599" t="inlineStr">
        <is>
          <t>WEBCONTINENTAL LTDA</t>
        </is>
      </c>
    </row>
    <row r="600">
      <c r="B600" s="55" t="inlineStr">
        <is>
          <t>08.593.038/0001-27</t>
        </is>
      </c>
      <c r="C600" t="inlineStr">
        <is>
          <t>LIQUIDWORKS SOLUCOES EM TECNOLOGIA DA INFORMACAO LTDA</t>
        </is>
      </c>
    </row>
    <row r="601">
      <c r="B601" s="55" t="inlineStr">
        <is>
          <t>08.624.088/0001-24</t>
        </is>
      </c>
      <c r="C601" t="inlineStr">
        <is>
          <t>HIPERTINTAS CAPOEIRAS COMERCIO DE TINTAS LTDA</t>
        </is>
      </c>
    </row>
    <row r="602">
      <c r="B602" s="55" t="inlineStr">
        <is>
          <t>08.663.039/0010-91</t>
        </is>
      </c>
      <c r="C602" t="inlineStr">
        <is>
          <t>CRESCERFARMA LTDA</t>
        </is>
      </c>
    </row>
    <row r="603">
      <c r="B603" s="55" t="inlineStr">
        <is>
          <t>08.663.039/0010-91</t>
        </is>
      </c>
      <c r="C603" t="inlineStr">
        <is>
          <t>CRESCERFARMA LTDA</t>
        </is>
      </c>
    </row>
    <row r="604">
      <c r="B604" s="55" t="inlineStr">
        <is>
          <t>08.663.039/0010-91</t>
        </is>
      </c>
      <c r="C604" t="inlineStr">
        <is>
          <t>CRESCERFARMA LTDA</t>
        </is>
      </c>
    </row>
    <row r="605">
      <c r="B605" s="55" t="inlineStr">
        <is>
          <t>08.678.386/0001-05</t>
        </is>
      </c>
      <c r="C605" t="inlineStr">
        <is>
          <t>PNEUBRAS COMERCIO DE PNEUS LTDA</t>
        </is>
      </c>
    </row>
    <row r="606">
      <c r="B606" s="55" t="inlineStr">
        <is>
          <t>08.678.386/0001-05</t>
        </is>
      </c>
      <c r="C606" t="inlineStr">
        <is>
          <t>PNEUBRAS COMERCIO DE PNEUS LTDA</t>
        </is>
      </c>
    </row>
    <row r="607">
      <c r="B607" s="55" t="inlineStr">
        <is>
          <t>08.727.932/0001-42</t>
        </is>
      </c>
      <c r="C607" t="inlineStr">
        <is>
          <t>P R DOS SANTOS BRINDES</t>
        </is>
      </c>
    </row>
    <row r="608">
      <c r="B608" s="55" t="inlineStr">
        <is>
          <t>08.741.899/0001-05</t>
        </is>
      </c>
      <c r="C608" t="inlineStr">
        <is>
          <t>RR SHOES COMERCIO E FABRICACAO DE CALCADOS LTDA</t>
        </is>
      </c>
    </row>
    <row r="609">
      <c r="B609" s="55" t="inlineStr">
        <is>
          <t>08.741.899/0001-05</t>
        </is>
      </c>
      <c r="C609" t="inlineStr">
        <is>
          <t>RR SHOES COMERCIO E FABRICACAO DE CALCADOS LTDA</t>
        </is>
      </c>
    </row>
    <row r="610">
      <c r="B610" s="55" t="inlineStr">
        <is>
          <t>08.824.171/0001-47</t>
        </is>
      </c>
      <c r="C610" t="inlineStr">
        <is>
          <t>J. C. M. NITEROI REFRIGERACAO LTDA</t>
        </is>
      </c>
    </row>
    <row r="611">
      <c r="B611" s="55" t="inlineStr">
        <is>
          <t>08.824.171/0001-47</t>
        </is>
      </c>
      <c r="C611" t="inlineStr">
        <is>
          <t>J. C. M. NITEROI REFRIGERACAO LTDA</t>
        </is>
      </c>
    </row>
    <row r="612">
      <c r="B612" s="55" t="inlineStr">
        <is>
          <t>08.845.775/0001-70</t>
        </is>
      </c>
      <c r="C612" t="inlineStr">
        <is>
          <t>VERTEM SOLUCOES DE ENGAJAMENTO LTDA.</t>
        </is>
      </c>
    </row>
    <row r="613">
      <c r="B613" s="55" t="inlineStr">
        <is>
          <t>08.845.775/0001-70</t>
        </is>
      </c>
      <c r="C613" t="inlineStr">
        <is>
          <t>VERTEM SOLUCOES DE ENGAJAMENTO LTDA.</t>
        </is>
      </c>
    </row>
    <row r="614">
      <c r="B614" s="55" t="inlineStr">
        <is>
          <t>08.845.775/0001-70</t>
        </is>
      </c>
      <c r="C614" t="inlineStr">
        <is>
          <t>VERTEM SOLUCOES DE ENGAJAMENTO LTDA.</t>
        </is>
      </c>
    </row>
    <row r="615">
      <c r="B615" s="55" t="inlineStr">
        <is>
          <t>08.845.775/0001-70</t>
        </is>
      </c>
      <c r="C615" t="inlineStr">
        <is>
          <t>VERTEM SOLUCOES DE ENGAJAMENTO LTDA.</t>
        </is>
      </c>
    </row>
    <row r="616">
      <c r="B616" s="55" t="inlineStr">
        <is>
          <t>08.845.775/0001-70</t>
        </is>
      </c>
      <c r="C616" t="inlineStr">
        <is>
          <t>VERTEM SOLUCOES DE ENGAJAMENTO LTDA.</t>
        </is>
      </c>
    </row>
    <row r="617">
      <c r="B617" s="55" t="inlineStr">
        <is>
          <t>08.868.388/0001-59</t>
        </is>
      </c>
      <c r="C617" t="inlineStr">
        <is>
          <t>LOGICS TECNOLOGIA E SERVICOS LTDA</t>
        </is>
      </c>
    </row>
    <row r="618">
      <c r="B618" s="55" t="inlineStr">
        <is>
          <t>08.886.686/0001-71</t>
        </is>
      </c>
      <c r="C618" t="inlineStr">
        <is>
          <t>ANGULAR E-COMMERCE LTDA</t>
        </is>
      </c>
    </row>
    <row r="619">
      <c r="B619" s="55" t="inlineStr">
        <is>
          <t>08.887.752/0001-28</t>
        </is>
      </c>
      <c r="C619" t="inlineStr">
        <is>
          <t>T. S. PEREIRA MOREIRA</t>
        </is>
      </c>
    </row>
    <row r="620">
      <c r="B620" s="55" t="inlineStr">
        <is>
          <t>08.887.752/0001-28</t>
        </is>
      </c>
      <c r="C620" t="inlineStr">
        <is>
          <t>T. S. PEREIRA MOREIRA</t>
        </is>
      </c>
    </row>
    <row r="621">
      <c r="B621" s="55" t="inlineStr">
        <is>
          <t>08.890.804/0001-15</t>
        </is>
      </c>
      <c r="C621" t="inlineStr">
        <is>
          <t>CA COMERCIAL LTDA</t>
        </is>
      </c>
    </row>
    <row r="622">
      <c r="B622" s="55" t="inlineStr">
        <is>
          <t>08.928.058/0001-01</t>
        </is>
      </c>
      <c r="C622" t="inlineStr">
        <is>
          <t>FARMACIAS ULTRAMED POPULAR LTDA</t>
        </is>
      </c>
    </row>
    <row r="623">
      <c r="B623" s="55" t="inlineStr">
        <is>
          <t>08.929.216/0001-48</t>
        </is>
      </c>
      <c r="C623" t="inlineStr">
        <is>
          <t>RAVENNA COMERCIO DE ARTIGOS DE COURO LTDA</t>
        </is>
      </c>
    </row>
    <row r="624">
      <c r="B624" s="55" t="inlineStr">
        <is>
          <t>08.958.855/0001-31</t>
        </is>
      </c>
      <c r="C624" t="inlineStr">
        <is>
          <t>FARMAVIP PRINCESA DROGARIA LTDA.</t>
        </is>
      </c>
    </row>
    <row r="625">
      <c r="B625" s="55" t="inlineStr">
        <is>
          <t>08.958.855/0001-31</t>
        </is>
      </c>
      <c r="C625" t="inlineStr">
        <is>
          <t>FARMAVIP PRINCESA DROGARIA LTDA.</t>
        </is>
      </c>
    </row>
    <row r="626">
      <c r="B626" s="55" t="inlineStr">
        <is>
          <t>08.958.855/0001-31</t>
        </is>
      </c>
      <c r="C626" t="inlineStr">
        <is>
          <t>FARMAVIP PRINCESA DROGARIA LTDA.</t>
        </is>
      </c>
    </row>
    <row r="627">
      <c r="B627" s="55" t="inlineStr">
        <is>
          <t>08.976.595/0001-27</t>
        </is>
      </c>
      <c r="C627" t="inlineStr">
        <is>
          <t>IPGS CONSULTORIA EM PESQUISA, ENSINO E GESTAO EM SAUDE LTDA</t>
        </is>
      </c>
    </row>
    <row r="628">
      <c r="B628" s="55" t="inlineStr">
        <is>
          <t>08.991.346/0001-00</t>
        </is>
      </c>
      <c r="C628" t="inlineStr">
        <is>
          <t>SHOES MARILIA - COMERCIO DE CALCADOS LTDA (baixada)</t>
        </is>
      </c>
    </row>
    <row r="629">
      <c r="B629" s="55" t="inlineStr">
        <is>
          <t>08.997.979/0001-26</t>
        </is>
      </c>
      <c r="C629" t="inlineStr">
        <is>
          <t>3DOT DIGITAL LTDA</t>
        </is>
      </c>
    </row>
    <row r="630">
      <c r="B630" s="55" t="inlineStr">
        <is>
          <t>09.045.989/0001-24</t>
        </is>
      </c>
      <c r="C630" t="inlineStr">
        <is>
          <t>AZ 129 COMERCIO DE CALCADOS LTDA</t>
        </is>
      </c>
    </row>
    <row r="631">
      <c r="B631" s="55" t="inlineStr">
        <is>
          <t>09.045.989/0001-24</t>
        </is>
      </c>
      <c r="C631" t="inlineStr">
        <is>
          <t>AZ 129 COMERCIO DE CALCADOS LTDA</t>
        </is>
      </c>
    </row>
    <row r="632">
      <c r="B632" s="55" t="inlineStr">
        <is>
          <t>09.061.555/0001-18</t>
        </is>
      </c>
      <c r="C632" t="inlineStr">
        <is>
          <t>PISTA E CAMPO LTDA</t>
        </is>
      </c>
    </row>
    <row r="633">
      <c r="B633" s="55" t="inlineStr">
        <is>
          <t>09.119.809/0001-01</t>
        </is>
      </c>
      <c r="C633" t="inlineStr">
        <is>
          <t>ASSIS ALIMENTOS LTDA</t>
        </is>
      </c>
    </row>
    <row r="634">
      <c r="B634" s="55" t="inlineStr">
        <is>
          <t>09.148.568/0001-29</t>
        </is>
      </c>
      <c r="C634" t="inlineStr">
        <is>
          <t>DEA &amp; DEA COMERCIO DE CALCADOS E CONFECCOES LTDA</t>
        </is>
      </c>
    </row>
    <row r="635">
      <c r="B635" s="55" t="inlineStr">
        <is>
          <t>09.168.232/0001-28</t>
        </is>
      </c>
      <c r="C635" t="inlineStr">
        <is>
          <t>I-RETAIL SERVICOS DE CONSULTORIA DE MODA E PARTICIPACOES LTDA.</t>
        </is>
      </c>
    </row>
    <row r="636">
      <c r="B636" s="55" t="inlineStr">
        <is>
          <t>09.168.232/0001-28</t>
        </is>
      </c>
      <c r="C636" t="inlineStr">
        <is>
          <t>I-RETAIL SERVICOS DE CONSULTORIA DE MODA E PARTICIPACOES LTDA.</t>
        </is>
      </c>
    </row>
    <row r="637">
      <c r="B637" s="55" t="inlineStr">
        <is>
          <t>09.192.241/0003-16</t>
        </is>
      </c>
      <c r="C637" t="inlineStr">
        <is>
          <t>DLS COMERCIO E CONSULTORIA LTDA</t>
        </is>
      </c>
    </row>
    <row r="638">
      <c r="B638" s="55" t="inlineStr">
        <is>
          <t>09.193.927/0001-60</t>
        </is>
      </c>
      <c r="C638" t="inlineStr">
        <is>
          <t>ULTRAPOPULAR BARREIRAS LTDA</t>
        </is>
      </c>
    </row>
    <row r="639">
      <c r="B639" s="55" t="inlineStr">
        <is>
          <t>09.193.927/0001-60</t>
        </is>
      </c>
      <c r="C639" t="inlineStr">
        <is>
          <t>ULTRAPOPULAR BARREIRAS LTDA</t>
        </is>
      </c>
    </row>
    <row r="640">
      <c r="B640" s="55" t="inlineStr">
        <is>
          <t>09.228.091/0001-91</t>
        </is>
      </c>
      <c r="C640" t="inlineStr">
        <is>
          <t>DENTAL S. SEBASTIAO LTDA</t>
        </is>
      </c>
    </row>
    <row r="641">
      <c r="B641" s="55" t="inlineStr">
        <is>
          <t>09.228.091/0001-91</t>
        </is>
      </c>
      <c r="C641" t="inlineStr">
        <is>
          <t>DENTAL S. SEBASTIAO LTDA</t>
        </is>
      </c>
    </row>
    <row r="642">
      <c r="B642" s="55" t="inlineStr">
        <is>
          <t>09.228.091/0001-91</t>
        </is>
      </c>
      <c r="C642" t="inlineStr">
        <is>
          <t>DENTAL S. SEBASTIAO LTDA</t>
        </is>
      </c>
    </row>
    <row r="643">
      <c r="B643" s="55" t="inlineStr">
        <is>
          <t>09.228.091/0001-91</t>
        </is>
      </c>
      <c r="C643" t="inlineStr">
        <is>
          <t>DENTAL S. SEBASTIAO LTDA</t>
        </is>
      </c>
    </row>
    <row r="644">
      <c r="B644" s="55" t="inlineStr">
        <is>
          <t>09.235.285/0001-14</t>
        </is>
      </c>
      <c r="C644" t="inlineStr">
        <is>
          <t>BRITO GESTEIRA COMERCIO DE CALCADOS LTDA</t>
        </is>
      </c>
    </row>
    <row r="645">
      <c r="B645" s="55" t="inlineStr">
        <is>
          <t>09.254.774/0001-13</t>
        </is>
      </c>
      <c r="C645" t="inlineStr">
        <is>
          <t>CIRULLI COMERCIO DE MEDICAMENTOS LTDA</t>
        </is>
      </c>
    </row>
    <row r="646">
      <c r="B646" s="55" t="inlineStr">
        <is>
          <t>09.254.774/0001-13</t>
        </is>
      </c>
      <c r="C646" t="inlineStr">
        <is>
          <t>CIRULLI COMERCIO DE MEDICAMENTOS LTDA</t>
        </is>
      </c>
    </row>
    <row r="647">
      <c r="B647" s="55" t="inlineStr">
        <is>
          <t>09.254.774/0001-13</t>
        </is>
      </c>
      <c r="C647" t="inlineStr">
        <is>
          <t>CIRULLI COMERCIO DE MEDICAMENTOS LTDA</t>
        </is>
      </c>
    </row>
    <row r="648">
      <c r="B648" s="55" t="inlineStr">
        <is>
          <t>09.262.527/0001-69</t>
        </is>
      </c>
      <c r="C648" t="inlineStr">
        <is>
          <t>PLANTEC DISTRIBUIDORA DE PRODUTOS DE TELECOMUNICACOES E INFORMATICA LTDA.</t>
        </is>
      </c>
    </row>
    <row r="649">
      <c r="B649" s="55" t="inlineStr">
        <is>
          <t>09.262.527/0001-69</t>
        </is>
      </c>
      <c r="C649" t="inlineStr">
        <is>
          <t>PLANTEC DISTRIBUIDORA DE PRODUTOS DE TELECOMUNICACOES E INFORMATICA LTDA.</t>
        </is>
      </c>
    </row>
    <row r="650">
      <c r="B650" s="55" t="inlineStr">
        <is>
          <t>09.267.050/0001-04</t>
        </is>
      </c>
      <c r="C650" t="inlineStr">
        <is>
          <t>MB COMERCIO DE MATERIAIS DE CONSTRUCAO LTDA</t>
        </is>
      </c>
    </row>
    <row r="651">
      <c r="B651" s="55" t="inlineStr">
        <is>
          <t>09.267.050/0001-04</t>
        </is>
      </c>
      <c r="C651" t="inlineStr">
        <is>
          <t>MB COMERCIO DE MATERIAIS DE CONSTRUCAO LTDA</t>
        </is>
      </c>
    </row>
    <row r="652">
      <c r="B652" s="55" t="inlineStr">
        <is>
          <t>09.300.053/0001-00</t>
        </is>
      </c>
      <c r="C652" t="inlineStr">
        <is>
          <t>VCT BRASIL IMPORTACAO E EXPORTACAO LTDA.</t>
        </is>
      </c>
    </row>
    <row r="653">
      <c r="B653" s="55" t="inlineStr">
        <is>
          <t>09.300.053/0001-00</t>
        </is>
      </c>
      <c r="C653" t="inlineStr">
        <is>
          <t>VCT BRASIL IMPORTACAO E EXPORTACAO LTDA.</t>
        </is>
      </c>
    </row>
    <row r="654">
      <c r="B654" s="55" t="inlineStr">
        <is>
          <t>09.357.269/0001-02</t>
        </is>
      </c>
      <c r="C654" t="inlineStr">
        <is>
          <t>DROGARIA E FARMACIA PEREIRA LTDA</t>
        </is>
      </c>
    </row>
    <row r="655">
      <c r="B655" s="55" t="inlineStr">
        <is>
          <t>09.357.269/0001-02</t>
        </is>
      </c>
      <c r="C655" t="inlineStr">
        <is>
          <t>DROGARIA E FARMACIA PEREIRA LTDA</t>
        </is>
      </c>
    </row>
    <row r="656">
      <c r="B656" s="55" t="inlineStr">
        <is>
          <t>09.357.269/0001-02</t>
        </is>
      </c>
      <c r="C656" t="inlineStr">
        <is>
          <t>DROGARIA E FARMACIA PEREIRA LTDA</t>
        </is>
      </c>
    </row>
    <row r="657">
      <c r="B657" s="55" t="inlineStr">
        <is>
          <t>09.389.792/0001-02</t>
        </is>
      </c>
      <c r="C657" t="inlineStr">
        <is>
          <t>MADEIREIRA VALE DO PARA LTDA</t>
        </is>
      </c>
    </row>
    <row r="658">
      <c r="B658" s="55" t="inlineStr">
        <is>
          <t>09.389.792/0001-02</t>
        </is>
      </c>
      <c r="C658" t="inlineStr">
        <is>
          <t>MADEIREIRA VALE DO PARA LTDA</t>
        </is>
      </c>
    </row>
    <row r="659">
      <c r="B659" s="55" t="inlineStr">
        <is>
          <t>09.389.792/0001-02</t>
        </is>
      </c>
      <c r="C659" t="inlineStr">
        <is>
          <t>MADEIREIRA VALE DO PARA LTDA</t>
        </is>
      </c>
    </row>
    <row r="660">
      <c r="B660" s="55" t="inlineStr">
        <is>
          <t>09.389.792/0001-02</t>
        </is>
      </c>
      <c r="C660" t="inlineStr">
        <is>
          <t>MADEIREIRA VALE DO PARA LTDA</t>
        </is>
      </c>
    </row>
    <row r="661">
      <c r="B661" s="55" t="inlineStr">
        <is>
          <t>09.392.341/0005-58</t>
        </is>
      </c>
      <c r="C661" t="inlineStr">
        <is>
          <t>LAMPADINHA MATERIAIS ELETRICOS LTDA</t>
        </is>
      </c>
    </row>
    <row r="662">
      <c r="B662" s="55" t="inlineStr">
        <is>
          <t>09.392.341/0005-58</t>
        </is>
      </c>
      <c r="C662" t="inlineStr">
        <is>
          <t>LAMPADINHA MATERIAIS ELETRICOS LTDA</t>
        </is>
      </c>
    </row>
    <row r="663">
      <c r="B663" s="55" t="inlineStr">
        <is>
          <t>09.449.728/0001-70</t>
        </is>
      </c>
      <c r="C663" t="inlineStr">
        <is>
          <t>FABRICA DE VIAGEM OPERADORA DE TURISMO LTDA</t>
        </is>
      </c>
    </row>
    <row r="664">
      <c r="B664" s="55" t="inlineStr">
        <is>
          <t>09.449.728/0001-70</t>
        </is>
      </c>
      <c r="C664" t="inlineStr">
        <is>
          <t>FABRICA DE VIAGEM OPERADORA DE TURISMO LTDA</t>
        </is>
      </c>
    </row>
    <row r="665">
      <c r="B665" s="55" t="inlineStr">
        <is>
          <t>09.449.728/0001-70</t>
        </is>
      </c>
      <c r="C665" t="inlineStr">
        <is>
          <t>FABRICA DE VIAGEM OPERADORA DE TURISMO LTDA</t>
        </is>
      </c>
    </row>
    <row r="666">
      <c r="B666" s="55" t="inlineStr">
        <is>
          <t>09.458.796/0001-03</t>
        </is>
      </c>
      <c r="C666" t="inlineStr">
        <is>
          <t>INSPOTRADE IMPORTACAO, EXPORTACAO E COMERCIALIZACAO LTDA</t>
        </is>
      </c>
    </row>
    <row r="667">
      <c r="B667" s="55" t="inlineStr">
        <is>
          <t>09.477.652/0001-96</t>
        </is>
      </c>
      <c r="C667" t="inlineStr">
        <is>
          <t>SDB COMERCIO DE ALIMENTOS LTDA</t>
        </is>
      </c>
    </row>
    <row r="668">
      <c r="B668" s="55" t="inlineStr">
        <is>
          <t>09.477.652/0001-96</t>
        </is>
      </c>
      <c r="C668" t="inlineStr">
        <is>
          <t>SDB COMERCIO DE ALIMENTOS LTDA</t>
        </is>
      </c>
    </row>
    <row r="669">
      <c r="B669" s="55" t="inlineStr">
        <is>
          <t>09.477.652/0001-96</t>
        </is>
      </c>
      <c r="C669" t="inlineStr">
        <is>
          <t>SDB COMERCIO DE ALIMENTOS LTDA</t>
        </is>
      </c>
    </row>
    <row r="670">
      <c r="B670" s="55" t="inlineStr">
        <is>
          <t>09.477.652/0001-96</t>
        </is>
      </c>
      <c r="C670" t="inlineStr">
        <is>
          <t>SDB COMERCIO DE ALIMENTOS LTDA</t>
        </is>
      </c>
    </row>
    <row r="671">
      <c r="B671" s="55" t="inlineStr">
        <is>
          <t>09.497.806/0001-01</t>
        </is>
      </c>
      <c r="C671" t="inlineStr">
        <is>
          <t>VALTER RAMOS LTDA</t>
        </is>
      </c>
    </row>
    <row r="672">
      <c r="B672" s="55" t="inlineStr">
        <is>
          <t>09.556.355/0012-99</t>
        </is>
      </c>
      <c r="C672" t="inlineStr">
        <is>
          <t>MYPLACE INDUSTRIA E COMERCIO DO VESTUARIO LTDA</t>
        </is>
      </c>
    </row>
    <row r="673">
      <c r="B673" s="55" t="inlineStr">
        <is>
          <t>09.564.676/0001-82</t>
        </is>
      </c>
      <c r="C673" t="inlineStr">
        <is>
          <t>GNC COMERCIO DE VEICULOS LTDA</t>
        </is>
      </c>
    </row>
    <row r="674">
      <c r="B674" s="55" t="inlineStr">
        <is>
          <t>09.564.676/0001-82</t>
        </is>
      </c>
      <c r="C674" t="inlineStr">
        <is>
          <t>GNC COMERCIO DE VEICULOS LTDA</t>
        </is>
      </c>
    </row>
    <row r="675">
      <c r="B675" s="55" t="inlineStr">
        <is>
          <t>09.564.676/0001-82</t>
        </is>
      </c>
      <c r="C675" t="inlineStr">
        <is>
          <t>GNC COMERCIO DE VEICULOS LTDA</t>
        </is>
      </c>
    </row>
    <row r="676">
      <c r="B676" s="55" t="inlineStr">
        <is>
          <t>09.564.676/0009-30</t>
        </is>
      </c>
      <c r="C676" t="inlineStr">
        <is>
          <t>GNC COMERCIO DE VEICULOS LTDA</t>
        </is>
      </c>
    </row>
    <row r="677">
      <c r="B677" s="55" t="inlineStr">
        <is>
          <t>09.564.676/0009-30</t>
        </is>
      </c>
      <c r="C677" t="inlineStr">
        <is>
          <t>GNC COMERCIO DE VEICULOS LTDA</t>
        </is>
      </c>
    </row>
    <row r="678">
      <c r="B678" s="55" t="inlineStr">
        <is>
          <t>09.564.676/0009-30</t>
        </is>
      </c>
      <c r="C678" t="inlineStr">
        <is>
          <t>GNC COMERCIO DE VEICULOS LTDA</t>
        </is>
      </c>
    </row>
    <row r="679">
      <c r="B679" s="55" t="inlineStr">
        <is>
          <t>09.577.465/0001-84</t>
        </is>
      </c>
      <c r="C679" t="inlineStr">
        <is>
          <t>R. C. GIOVANI COMERCIO DE MATERIAIS DE CONSTRUCAO LTDA</t>
        </is>
      </c>
    </row>
    <row r="680">
      <c r="B680" s="55" t="inlineStr">
        <is>
          <t>09.577.465/0001-84</t>
        </is>
      </c>
      <c r="C680" t="inlineStr">
        <is>
          <t>R. C. GIOVANI COMERCIO DE MATERIAIS DE CONSTRUCAO LTDA</t>
        </is>
      </c>
    </row>
    <row r="681">
      <c r="B681" s="55" t="inlineStr">
        <is>
          <t>09.616.278/0001-62</t>
        </is>
      </c>
      <c r="C681" t="inlineStr">
        <is>
          <t>ROSSINI TEXTIL LTDA</t>
        </is>
      </c>
    </row>
    <row r="682">
      <c r="B682" s="55" t="inlineStr">
        <is>
          <t>09.616.278/0001-62</t>
        </is>
      </c>
      <c r="C682" t="inlineStr">
        <is>
          <t>ROSSINI TEXTIL LTDA</t>
        </is>
      </c>
    </row>
    <row r="683">
      <c r="B683" s="55" t="inlineStr">
        <is>
          <t>09.688.887/0001-27</t>
        </is>
      </c>
      <c r="C683" t="inlineStr">
        <is>
          <t>COMERCIO DE MEDICAMENTOS KOR LTDA</t>
        </is>
      </c>
    </row>
    <row r="684">
      <c r="B684" s="55" t="inlineStr">
        <is>
          <t>09.688.887/0001-27</t>
        </is>
      </c>
      <c r="C684" t="inlineStr">
        <is>
          <t>COMERCIO DE MEDICAMENTOS KOR LTDA</t>
        </is>
      </c>
    </row>
    <row r="685">
      <c r="B685" s="55" t="inlineStr">
        <is>
          <t>09.688.887/0001-27</t>
        </is>
      </c>
      <c r="C685" t="inlineStr">
        <is>
          <t>COMERCIO DE MEDICAMENTOS KOR LTDA</t>
        </is>
      </c>
    </row>
    <row r="686">
      <c r="B686" s="55" t="inlineStr">
        <is>
          <t>09.911.985/0001-81</t>
        </is>
      </c>
      <c r="C686" t="inlineStr">
        <is>
          <t>DROGARIA MOREIRA &amp; AMORIM LTDA</t>
        </is>
      </c>
    </row>
    <row r="687">
      <c r="B687" s="55" t="inlineStr">
        <is>
          <t>09.911.985/0001-81</t>
        </is>
      </c>
      <c r="C687" t="inlineStr">
        <is>
          <t>DROGARIA MOREIRA &amp; AMORIM LTDA</t>
        </is>
      </c>
    </row>
    <row r="688">
      <c r="B688" s="55" t="inlineStr">
        <is>
          <t>09.911.985/0001-81</t>
        </is>
      </c>
      <c r="C688" t="inlineStr">
        <is>
          <t>DROGARIA MOREIRA &amp; AMORIM LTDA</t>
        </is>
      </c>
    </row>
    <row r="689">
      <c r="B689" s="55" t="inlineStr">
        <is>
          <t>09.944.129/0001-22</t>
        </is>
      </c>
      <c r="C689" t="inlineStr">
        <is>
          <t>MONERI SOLUCOES E SERVICOS LTDA</t>
        </is>
      </c>
    </row>
    <row r="690">
      <c r="B690" s="55" t="inlineStr">
        <is>
          <t>10.216.260/0003-14</t>
        </is>
      </c>
      <c r="C690" t="inlineStr">
        <is>
          <t>OTS IMPORTADORA E EXPORTADORA LTDA</t>
        </is>
      </c>
    </row>
    <row r="691">
      <c r="B691" s="55" t="inlineStr">
        <is>
          <t>10.216.260/0003-14</t>
        </is>
      </c>
      <c r="C691" t="inlineStr">
        <is>
          <t>OTS IMPORTADORA E EXPORTADORA LTDA</t>
        </is>
      </c>
    </row>
    <row r="692">
      <c r="B692" s="55" t="inlineStr">
        <is>
          <t>10.250.540/0001-87</t>
        </is>
      </c>
      <c r="C692" t="inlineStr">
        <is>
          <t>REDIT COMERCIO E SERVICOS LTDA</t>
        </is>
      </c>
    </row>
    <row r="693">
      <c r="B693" s="55" t="inlineStr">
        <is>
          <t>10.291.366/0001-10</t>
        </is>
      </c>
      <c r="C693" t="inlineStr">
        <is>
          <t>COCCO MIAMI LTDA.</t>
        </is>
      </c>
    </row>
    <row r="694">
      <c r="B694" s="55" t="inlineStr">
        <is>
          <t>10.291.723/0001-40</t>
        </is>
      </c>
      <c r="C694" t="inlineStr">
        <is>
          <t>ROYAL CARIBBEAN CRUZEIROS (BRASIL) LTDA.</t>
        </is>
      </c>
    </row>
    <row r="695">
      <c r="B695" s="55" t="inlineStr">
        <is>
          <t>10.291.723/0001-40</t>
        </is>
      </c>
      <c r="C695" t="inlineStr">
        <is>
          <t>ROYAL CARIBBEAN CRUZEIROS (BRASIL) LTDA.</t>
        </is>
      </c>
    </row>
    <row r="696">
      <c r="B696" s="55" t="inlineStr">
        <is>
          <t>10.326.174/0011-74</t>
        </is>
      </c>
      <c r="C696" t="inlineStr">
        <is>
          <t>LFSP CALCADOS E ACESSORIOS LTDA</t>
        </is>
      </c>
    </row>
    <row r="697">
      <c r="B697" s="55" t="inlineStr">
        <is>
          <t>10.326.174/0011-74</t>
        </is>
      </c>
      <c r="C697" t="inlineStr">
        <is>
          <t>LFSP CALCADOS E ACESSORIOS LTDA</t>
        </is>
      </c>
    </row>
    <row r="698">
      <c r="B698" s="55" t="inlineStr">
        <is>
          <t>10.374.800/0001-26</t>
        </is>
      </c>
      <c r="C698" t="inlineStr">
        <is>
          <t>NEBULA SISTEMAS LTDA</t>
        </is>
      </c>
    </row>
    <row r="699">
      <c r="B699" s="55" t="inlineStr">
        <is>
          <t>10.383.997/0001-60</t>
        </is>
      </c>
      <c r="C699" t="inlineStr">
        <is>
          <t>ENGEMETAL COMERCIO E MANUTENCAO LTDA</t>
        </is>
      </c>
    </row>
    <row r="700">
      <c r="B700" s="55" t="inlineStr">
        <is>
          <t>10.383.997/0001-60</t>
        </is>
      </c>
      <c r="C700" t="inlineStr">
        <is>
          <t>ENGEMETAL COMERCIO E MANUTENCAO LTDA</t>
        </is>
      </c>
    </row>
    <row r="701">
      <c r="B701" s="55" t="inlineStr">
        <is>
          <t>10.383.997/0001-60</t>
        </is>
      </c>
      <c r="C701" t="inlineStr">
        <is>
          <t>ENGEMETAL COMERCIO E MANUTENCAO LTDA</t>
        </is>
      </c>
    </row>
    <row r="702">
      <c r="B702" s="55" t="inlineStr">
        <is>
          <t>10.397.488/0001-96</t>
        </is>
      </c>
      <c r="C702" t="inlineStr">
        <is>
          <t>FARMACIA VIDA ATIVA LTDA</t>
        </is>
      </c>
    </row>
    <row r="703">
      <c r="B703" s="55" t="inlineStr">
        <is>
          <t>10.419.496/0001-96</t>
        </is>
      </c>
      <c r="C703" t="inlineStr">
        <is>
          <t>WEB INFO SOLUCOES E INFORMACOES EM PORTAL INFORMATIVO LTDA</t>
        </is>
      </c>
    </row>
    <row r="704">
      <c r="B704" s="55" t="inlineStr">
        <is>
          <t>10.445.778/0001-68</t>
        </is>
      </c>
      <c r="C704" t="inlineStr">
        <is>
          <t>ARAPIRACA MATERIAL DE CONSTRUCAO LTDA</t>
        </is>
      </c>
    </row>
    <row r="705">
      <c r="B705" s="55" t="inlineStr">
        <is>
          <t>10.451.360/0001-63</t>
        </is>
      </c>
      <c r="C705" t="inlineStr">
        <is>
          <t>LMLR CONSULTORIA EMPRESARIAL LTDA</t>
        </is>
      </c>
    </row>
    <row r="706">
      <c r="B706" s="55" t="inlineStr">
        <is>
          <t>10.451.360/0001-63</t>
        </is>
      </c>
      <c r="C706" t="inlineStr">
        <is>
          <t>LMLR CONSULTORIA EMPRESARIAL LTDA</t>
        </is>
      </c>
    </row>
    <row r="707">
      <c r="B707" s="55" t="inlineStr">
        <is>
          <t>10.482.611/0004-10</t>
        </is>
      </c>
      <c r="C707" t="inlineStr">
        <is>
          <t>MIX PNEUS LTDA</t>
        </is>
      </c>
    </row>
    <row r="708">
      <c r="B708" s="55" t="inlineStr">
        <is>
          <t>10.489.264/0005-38</t>
        </is>
      </c>
      <c r="C708" t="inlineStr">
        <is>
          <t>ADO ATELIER DE CRIACAO LTDA</t>
        </is>
      </c>
    </row>
    <row r="709">
      <c r="B709" s="55" t="inlineStr">
        <is>
          <t>10.489.264/0005-38</t>
        </is>
      </c>
      <c r="C709" t="inlineStr">
        <is>
          <t>ADO ATELIER DE CRIACAO LTDA</t>
        </is>
      </c>
    </row>
    <row r="710">
      <c r="B710" s="55" t="inlineStr">
        <is>
          <t>10.495.056/0057-72</t>
        </is>
      </c>
      <c r="C710" t="inlineStr">
        <is>
          <t>T F L COMERCIO DE VESTUARIO LTDA.</t>
        </is>
      </c>
    </row>
    <row r="711">
      <c r="B711" s="55" t="inlineStr">
        <is>
          <t>10.561.165/0026-44</t>
        </is>
      </c>
      <c r="C711" t="inlineStr">
        <is>
          <t>CAVALCANTI GONCALVES E CIA LTDA</t>
        </is>
      </c>
    </row>
    <row r="712">
      <c r="B712" s="55" t="inlineStr">
        <is>
          <t>10.561.165/0026-44</t>
        </is>
      </c>
      <c r="C712" t="inlineStr">
        <is>
          <t>CAVALCANTI GONCALVES E CIA LTDA</t>
        </is>
      </c>
    </row>
    <row r="713">
      <c r="B713" s="55" t="inlineStr">
        <is>
          <t>10.561.165/0026-44</t>
        </is>
      </c>
      <c r="C713" t="inlineStr">
        <is>
          <t>CAVALCANTI GONCALVES E CIA LTDA</t>
        </is>
      </c>
    </row>
    <row r="714">
      <c r="B714" s="55" t="inlineStr">
        <is>
          <t>10.614.426/0001-99</t>
        </is>
      </c>
      <c r="C714" t="inlineStr">
        <is>
          <t>LUZ FRANQUIAS LTDA</t>
        </is>
      </c>
    </row>
    <row r="715">
      <c r="B715" s="55" t="inlineStr">
        <is>
          <t>10.614.426/0001-99</t>
        </is>
      </c>
      <c r="C715" t="inlineStr">
        <is>
          <t>LUZ FRANQUIAS LTDA</t>
        </is>
      </c>
    </row>
    <row r="716">
      <c r="B716" s="55" t="inlineStr">
        <is>
          <t>10.614.426/0001-99</t>
        </is>
      </c>
      <c r="C716" t="inlineStr">
        <is>
          <t>LUZ FRANQUIAS LTDA</t>
        </is>
      </c>
    </row>
    <row r="717">
      <c r="B717" s="55" t="inlineStr">
        <is>
          <t>10.636.142/0001-01</t>
        </is>
      </c>
      <c r="C717" t="inlineStr">
        <is>
          <t>REDEMOB CONSORCIO</t>
        </is>
      </c>
    </row>
    <row r="718">
      <c r="B718" s="55" t="inlineStr">
        <is>
          <t>10.649.482/0001-69</t>
        </is>
      </c>
      <c r="C718" t="inlineStr">
        <is>
          <t>MARCOS TIAGO PEREIRA TORRES BIJUTERIAS</t>
        </is>
      </c>
    </row>
    <row r="719">
      <c r="B719" s="55" t="inlineStr">
        <is>
          <t>10.707.506/0001-99</t>
        </is>
      </c>
      <c r="C719" t="inlineStr">
        <is>
          <t>COELHO E CORREA COMERCIO DE MEDICAMENTOS LTDA</t>
        </is>
      </c>
    </row>
    <row r="720">
      <c r="B720" s="55" t="inlineStr">
        <is>
          <t>10.707.506/0001-99</t>
        </is>
      </c>
      <c r="C720" t="inlineStr">
        <is>
          <t>COELHO E CORREA COMERCIO DE MEDICAMENTOS LTDA</t>
        </is>
      </c>
    </row>
    <row r="721">
      <c r="B721" s="55" t="inlineStr">
        <is>
          <t>10.707.506/0001-99</t>
        </is>
      </c>
      <c r="C721" t="inlineStr">
        <is>
          <t>COELHO E CORREA COMERCIO DE MEDICAMENTOS LTDA</t>
        </is>
      </c>
    </row>
    <row r="722">
      <c r="B722" s="55" t="inlineStr">
        <is>
          <t>10.755.792/0001-68</t>
        </is>
      </c>
      <c r="C722" t="inlineStr">
        <is>
          <t>RHEEM DO BRASIL COMERCIO E DISTRIBUICAO DE AR CONDICIONADO E AQUECIMENTO LTDA</t>
        </is>
      </c>
    </row>
    <row r="723">
      <c r="B723" s="55" t="inlineStr">
        <is>
          <t>10.762.438/0001-60</t>
        </is>
      </c>
      <c r="C723" t="inlineStr">
        <is>
          <t>GEINFFO TECNOLOGIA DE INFORMACAO LTDA</t>
        </is>
      </c>
    </row>
    <row r="724">
      <c r="B724" s="55" t="inlineStr">
        <is>
          <t>10.842.304/0001-50</t>
        </is>
      </c>
      <c r="C724" t="inlineStr">
        <is>
          <t>TAGME SISTEMAS PARA RESTAURANTES LTDA.</t>
        </is>
      </c>
    </row>
    <row r="725">
      <c r="B725" s="55" t="inlineStr">
        <is>
          <t>10.842.304/0001-50</t>
        </is>
      </c>
      <c r="C725" t="inlineStr">
        <is>
          <t>TAGME SISTEMAS PARA RESTAURANTES LTDA.</t>
        </is>
      </c>
    </row>
    <row r="726">
      <c r="B726" s="55" t="inlineStr">
        <is>
          <t>10.851.899/0001-00</t>
        </is>
      </c>
      <c r="C726" t="inlineStr">
        <is>
          <t>CPAPS IMPORTACAO E COMERCIO DE EQUIPAMENTOS MEDICOS LTDA</t>
        </is>
      </c>
    </row>
    <row r="727">
      <c r="B727" s="55" t="inlineStr">
        <is>
          <t>10.851.899/0001-00</t>
        </is>
      </c>
      <c r="C727" t="inlineStr">
        <is>
          <t>CPAPS IMPORTACAO E COMERCIO DE EQUIPAMENTOS MEDICOS LTDA</t>
        </is>
      </c>
    </row>
    <row r="728">
      <c r="B728" s="55" t="inlineStr">
        <is>
          <t>10.851.899/0001-00</t>
        </is>
      </c>
      <c r="C728" t="inlineStr">
        <is>
          <t>CPAPS IMPORTACAO E COMERCIO DE EQUIPAMENTOS MEDICOS LTDA</t>
        </is>
      </c>
    </row>
    <row r="729">
      <c r="B729" s="55" t="inlineStr">
        <is>
          <t>10.860.588/0001-07</t>
        </is>
      </c>
      <c r="C729" t="inlineStr">
        <is>
          <t>ESTACAO BALAO LTDA</t>
        </is>
      </c>
    </row>
    <row r="730">
      <c r="B730" s="55" t="inlineStr">
        <is>
          <t>10.860.588/0001-07</t>
        </is>
      </c>
      <c r="C730" t="inlineStr">
        <is>
          <t>ESTACAO BALAO LTDA</t>
        </is>
      </c>
    </row>
    <row r="731">
      <c r="B731" s="55" t="inlineStr">
        <is>
          <t>10.912.363/0001-57</t>
        </is>
      </c>
      <c r="C731" t="inlineStr">
        <is>
          <t>CGN COMERCIAL E GESTAO DE NEGOCIOS E MARCAS LTDA</t>
        </is>
      </c>
    </row>
    <row r="732">
      <c r="B732" s="55" t="inlineStr">
        <is>
          <t>10.912.363/0001-57</t>
        </is>
      </c>
      <c r="C732" t="inlineStr">
        <is>
          <t>CGN COMERCIAL E GESTAO DE NEGOCIOS E MARCAS LTDA</t>
        </is>
      </c>
    </row>
    <row r="733">
      <c r="B733" s="55" t="inlineStr">
        <is>
          <t>10.912.363/0001-57</t>
        </is>
      </c>
      <c r="C733" t="inlineStr">
        <is>
          <t>CGN COMERCIAL E GESTAO DE NEGOCIOS E MARCAS LTDA</t>
        </is>
      </c>
    </row>
    <row r="734">
      <c r="B734" s="55" t="inlineStr">
        <is>
          <t>10.925.214/0001-22</t>
        </is>
      </c>
      <c r="C734" t="inlineStr">
        <is>
          <t>APOIO DENTAL COMERCIO DE PRODUTOS E EQUIPAMENTOS ODONTOLOGICOS LTDA</t>
        </is>
      </c>
    </row>
    <row r="735">
      <c r="B735" s="55" t="inlineStr">
        <is>
          <t>10.925.214/0001-22</t>
        </is>
      </c>
      <c r="C735" t="inlineStr">
        <is>
          <t>APOIO DENTAL COMERCIO DE PRODUTOS E EQUIPAMENTOS ODONTOLOGICOS LTDA</t>
        </is>
      </c>
    </row>
    <row r="736">
      <c r="B736" s="55" t="inlineStr">
        <is>
          <t>10.947.389/0010-21</t>
        </is>
      </c>
      <c r="C736" t="inlineStr">
        <is>
          <t>BAN BAN COMERCIAL DE CALCADOS LTDA</t>
        </is>
      </c>
    </row>
    <row r="737">
      <c r="B737" s="55" t="inlineStr">
        <is>
          <t>10.964.693/0001-96</t>
        </is>
      </c>
      <c r="C737" t="inlineStr">
        <is>
          <t>BRASIL AUTO SERVICO DE PRODUTOS ALIMENTICIOS S.A.</t>
        </is>
      </c>
    </row>
    <row r="738">
      <c r="B738" s="55" t="inlineStr">
        <is>
          <t>10.964.693/0001-96</t>
        </is>
      </c>
      <c r="C738" t="inlineStr">
        <is>
          <t>BRASIL AUTO SERVICO DE PRODUTOS ALIMENTICIOS S.A.</t>
        </is>
      </c>
    </row>
    <row r="739">
      <c r="B739" s="55" t="inlineStr">
        <is>
          <t>10.964.693/0001-96</t>
        </is>
      </c>
      <c r="C739" t="inlineStr">
        <is>
          <t>BRASIL AUTO SERVICO DE PRODUTOS ALIMENTICIOS S.A.</t>
        </is>
      </c>
    </row>
    <row r="740">
      <c r="B740" s="55" t="inlineStr">
        <is>
          <t>10.992.730/0001-70</t>
        </is>
      </c>
      <c r="C740" t="inlineStr">
        <is>
          <t>FUTURE CONCEPTS COMERCIO LTDA</t>
        </is>
      </c>
    </row>
    <row r="741">
      <c r="B741" s="55" t="inlineStr">
        <is>
          <t>11.014.557/0038-90</t>
        </is>
      </c>
      <c r="C741" t="inlineStr">
        <is>
          <t>BROOKSDONNA COMERCIO DE ROUPAS LTDA. (baixada)</t>
        </is>
      </c>
    </row>
    <row r="742">
      <c r="B742" s="55" t="inlineStr">
        <is>
          <t>11.014.557/0038-90</t>
        </is>
      </c>
      <c r="C742" t="inlineStr">
        <is>
          <t>BROOKSDONNA COMERCIO DE ROUPAS LTDA. (baixada)</t>
        </is>
      </c>
    </row>
    <row r="743">
      <c r="B743" s="55" t="inlineStr">
        <is>
          <t>11.014.557/0038-90</t>
        </is>
      </c>
      <c r="C743" t="inlineStr">
        <is>
          <t>BROOKSDONNA COMERCIO DE ROUPAS LTDA. (baixada)</t>
        </is>
      </c>
    </row>
    <row r="744">
      <c r="B744" s="55" t="inlineStr">
        <is>
          <t>11.100.982/0002-90</t>
        </is>
      </c>
      <c r="C744" t="inlineStr">
        <is>
          <t>SESSION BRASIL IMPORTACAO E EXPORTACAO LTDA.</t>
        </is>
      </c>
    </row>
    <row r="745">
      <c r="B745" s="55" t="inlineStr">
        <is>
          <t>11.112.928/0001-84</t>
        </is>
      </c>
      <c r="C745" t="inlineStr">
        <is>
          <t>CYCLOTRONICS TECNOLOGIA E DESENVOLVIMENTO DE ARTIGOS ESPORTIVOS LTDA.</t>
        </is>
      </c>
    </row>
    <row r="746">
      <c r="B746" s="55" t="inlineStr">
        <is>
          <t>11.112.928/0001-84</t>
        </is>
      </c>
      <c r="C746" t="inlineStr">
        <is>
          <t>CYCLOTRONICS TECNOLOGIA E DESENVOLVIMENTO DE ARTIGOS ESPORTIVOS LTDA.</t>
        </is>
      </c>
    </row>
    <row r="747">
      <c r="B747" s="55" t="inlineStr">
        <is>
          <t>11.175.226/0001-40</t>
        </is>
      </c>
      <c r="C747" t="inlineStr">
        <is>
          <t>FZ FARMA LTDA</t>
        </is>
      </c>
    </row>
    <row r="748">
      <c r="B748" s="55" t="inlineStr">
        <is>
          <t>11.175.226/0001-40</t>
        </is>
      </c>
      <c r="C748" t="inlineStr">
        <is>
          <t>FZ FARMA LTDA</t>
        </is>
      </c>
    </row>
    <row r="749">
      <c r="B749" s="55" t="inlineStr">
        <is>
          <t>11.175.226/0002-20</t>
        </is>
      </c>
      <c r="C749" t="inlineStr">
        <is>
          <t>FZ FARMA LTDA</t>
        </is>
      </c>
    </row>
    <row r="750">
      <c r="B750" s="55" t="inlineStr">
        <is>
          <t>11.175.226/0002-20</t>
        </is>
      </c>
      <c r="C750" t="inlineStr">
        <is>
          <t>FZ FARMA LTDA</t>
        </is>
      </c>
    </row>
    <row r="751">
      <c r="B751" s="55" t="inlineStr">
        <is>
          <t>11.175.226/0003-01</t>
        </is>
      </c>
      <c r="C751" t="inlineStr">
        <is>
          <t>FZ FARMA LTDA</t>
        </is>
      </c>
    </row>
    <row r="752">
      <c r="B752" s="55" t="inlineStr">
        <is>
          <t>11.175.226/0003-01</t>
        </is>
      </c>
      <c r="C752" t="inlineStr">
        <is>
          <t>FZ FARMA LTDA</t>
        </is>
      </c>
    </row>
    <row r="753">
      <c r="B753" s="55" t="inlineStr">
        <is>
          <t>11.175.226/0004-92</t>
        </is>
      </c>
      <c r="C753" t="inlineStr">
        <is>
          <t>FZ FARMA LTDA</t>
        </is>
      </c>
    </row>
    <row r="754">
      <c r="B754" s="55" t="inlineStr">
        <is>
          <t>11.175.226/0004-92</t>
        </is>
      </c>
      <c r="C754" t="inlineStr">
        <is>
          <t>FZ FARMA LTDA</t>
        </is>
      </c>
    </row>
    <row r="755">
      <c r="B755" s="55" t="inlineStr">
        <is>
          <t>11.175.226/0005-73</t>
        </is>
      </c>
      <c r="C755" t="inlineStr">
        <is>
          <t>FZ FARMA LTDA</t>
        </is>
      </c>
    </row>
    <row r="756">
      <c r="B756" s="55" t="inlineStr">
        <is>
          <t>11.175.226/0005-73</t>
        </is>
      </c>
      <c r="C756" t="inlineStr">
        <is>
          <t>FZ FARMA LTDA</t>
        </is>
      </c>
    </row>
    <row r="757">
      <c r="B757" s="55" t="inlineStr">
        <is>
          <t>11.175.226/0006-54</t>
        </is>
      </c>
      <c r="C757" t="inlineStr">
        <is>
          <t>FZ FARMA LTDA</t>
        </is>
      </c>
    </row>
    <row r="758">
      <c r="B758" s="55" t="inlineStr">
        <is>
          <t>11.175.226/0006-54</t>
        </is>
      </c>
      <c r="C758" t="inlineStr">
        <is>
          <t>FZ FARMA LTDA</t>
        </is>
      </c>
    </row>
    <row r="759">
      <c r="B759" s="55" t="inlineStr">
        <is>
          <t>11.175.226/0007-35</t>
        </is>
      </c>
      <c r="C759" t="inlineStr">
        <is>
          <t>FZ FARMA LTDA</t>
        </is>
      </c>
    </row>
    <row r="760">
      <c r="B760" s="55" t="inlineStr">
        <is>
          <t>11.175.226/0007-35</t>
        </is>
      </c>
      <c r="C760" t="inlineStr">
        <is>
          <t>FZ FARMA LTDA</t>
        </is>
      </c>
    </row>
    <row r="761">
      <c r="B761" s="55" t="inlineStr">
        <is>
          <t>11.175.226/0009-05</t>
        </is>
      </c>
      <c r="C761" t="inlineStr">
        <is>
          <t>FZ FARMA LTDA</t>
        </is>
      </c>
    </row>
    <row r="762">
      <c r="B762" s="55" t="inlineStr">
        <is>
          <t>11.175.226/0009-05</t>
        </is>
      </c>
      <c r="C762" t="inlineStr">
        <is>
          <t>FZ FARMA LTDA</t>
        </is>
      </c>
    </row>
    <row r="763">
      <c r="B763" s="55" t="inlineStr">
        <is>
          <t>11.369.356/0001-13</t>
        </is>
      </c>
      <c r="C763" t="inlineStr">
        <is>
          <t>LEME E LEME DROGARIA E PERFUMARIA LTDA</t>
        </is>
      </c>
    </row>
    <row r="764">
      <c r="B764" s="55" t="inlineStr">
        <is>
          <t>11.369.356/0001-13</t>
        </is>
      </c>
      <c r="C764" t="inlineStr">
        <is>
          <t>LEME E LEME DROGARIA E PERFUMARIA LTDA</t>
        </is>
      </c>
    </row>
    <row r="765">
      <c r="B765" s="55" t="inlineStr">
        <is>
          <t>11.369.356/0001-13</t>
        </is>
      </c>
      <c r="C765" t="inlineStr">
        <is>
          <t>LEME E LEME DROGARIA E PERFUMARIA LTDA</t>
        </is>
      </c>
    </row>
    <row r="766">
      <c r="B766" s="55" t="inlineStr">
        <is>
          <t>11.377.568/0001-42</t>
        </is>
      </c>
      <c r="C766" t="inlineStr">
        <is>
          <t>MAYUMI ENDO FARMACIA E PERFUMARIA</t>
        </is>
      </c>
    </row>
    <row r="767">
      <c r="B767" s="55" t="inlineStr">
        <is>
          <t>11.377.568/0001-42</t>
        </is>
      </c>
      <c r="C767" t="inlineStr">
        <is>
          <t>MAYUMI ENDO FARMACIA E PERFUMARIA</t>
        </is>
      </c>
    </row>
    <row r="768">
      <c r="B768" s="55" t="inlineStr">
        <is>
          <t>11.377.568/0001-42</t>
        </is>
      </c>
      <c r="C768" t="inlineStr">
        <is>
          <t>MAYUMI ENDO FARMACIA E PERFUMARIA</t>
        </is>
      </c>
    </row>
    <row r="769">
      <c r="B769" s="55" t="inlineStr">
        <is>
          <t>11.410.908/0001-90</t>
        </is>
      </c>
      <c r="C769" t="inlineStr">
        <is>
          <t>N1 SERVICOS ONLINE LTDA</t>
        </is>
      </c>
    </row>
    <row r="770">
      <c r="B770" s="55" t="inlineStr">
        <is>
          <t>11.433.818/0001-14</t>
        </is>
      </c>
      <c r="C770" t="inlineStr">
        <is>
          <t>NAITEON IT SOLUTIONS SOFTWARES AND WEBSITES LTDA.</t>
        </is>
      </c>
    </row>
    <row r="771">
      <c r="B771" s="55" t="inlineStr">
        <is>
          <t>11.504.448/0001-69</t>
        </is>
      </c>
      <c r="C771" t="inlineStr">
        <is>
          <t>LABORATORIO DE FLORAIS E COSMETICOS JOEL ALEIXO LTDA</t>
        </is>
      </c>
    </row>
    <row r="772">
      <c r="B772" s="55" t="inlineStr">
        <is>
          <t>11.504.448/0001-69</t>
        </is>
      </c>
      <c r="C772" t="inlineStr">
        <is>
          <t>LABORATORIO DE FLORAIS E COSMETICOS JOEL ALEIXO LTDA</t>
        </is>
      </c>
    </row>
    <row r="773">
      <c r="B773" s="55" t="inlineStr">
        <is>
          <t>11.512.486/0001-63</t>
        </is>
      </c>
      <c r="C773" t="inlineStr">
        <is>
          <t>M &amp; A FARMA LTDA</t>
        </is>
      </c>
    </row>
    <row r="774">
      <c r="B774" s="55" t="inlineStr">
        <is>
          <t>11.512.486/0001-63</t>
        </is>
      </c>
      <c r="C774" t="inlineStr">
        <is>
          <t>M &amp; A FARMA LTDA</t>
        </is>
      </c>
    </row>
    <row r="775">
      <c r="B775" s="55" t="inlineStr">
        <is>
          <t>11.512.486/0001-63</t>
        </is>
      </c>
      <c r="C775" t="inlineStr">
        <is>
          <t>M &amp; A FARMA LTDA</t>
        </is>
      </c>
    </row>
    <row r="776">
      <c r="B776" s="55" t="inlineStr">
        <is>
          <t>11.517.841/0001-97</t>
        </is>
      </c>
      <c r="C776" t="inlineStr">
        <is>
          <t>COMPANHIA SULAMERICANA DE DISTRIBUICAO</t>
        </is>
      </c>
    </row>
    <row r="777">
      <c r="B777" s="55" t="inlineStr">
        <is>
          <t>11.517.841/0001-97</t>
        </is>
      </c>
      <c r="C777" t="inlineStr">
        <is>
          <t>COMPANHIA SULAMERICANA DE DISTRIBUICAO</t>
        </is>
      </c>
    </row>
    <row r="778">
      <c r="B778" s="55" t="inlineStr">
        <is>
          <t>11.517.841/0001-97</t>
        </is>
      </c>
      <c r="C778" t="inlineStr">
        <is>
          <t>COMPANHIA SULAMERICANA DE DISTRIBUICAO</t>
        </is>
      </c>
    </row>
    <row r="779">
      <c r="B779" s="55" t="inlineStr">
        <is>
          <t>11.556.348/0001-86</t>
        </is>
      </c>
      <c r="C779" t="inlineStr">
        <is>
          <t>MARCIA RUIZ ZAMBAO</t>
        </is>
      </c>
    </row>
    <row r="780">
      <c r="B780" s="55" t="inlineStr">
        <is>
          <t>11.556.348/0001-86</t>
        </is>
      </c>
      <c r="C780" t="inlineStr">
        <is>
          <t>MARCIA RUIZ ZAMBAO</t>
        </is>
      </c>
    </row>
    <row r="781">
      <c r="B781" s="55" t="inlineStr">
        <is>
          <t>11.590.296/0001-64</t>
        </is>
      </c>
      <c r="C781" t="inlineStr">
        <is>
          <t>MAGAZINE LILIANI S/A</t>
        </is>
      </c>
    </row>
    <row r="782">
      <c r="B782" s="55" t="inlineStr">
        <is>
          <t>11.590.296/0001-64</t>
        </is>
      </c>
      <c r="C782" t="inlineStr">
        <is>
          <t>MAGAZINE LILIANI S/A</t>
        </is>
      </c>
    </row>
    <row r="783">
      <c r="B783" s="55" t="inlineStr">
        <is>
          <t>11.606.543/0002-54</t>
        </is>
      </c>
      <c r="C783" t="inlineStr">
        <is>
          <t>FORTALEZA DE SANTA TERESINHA AGRICULTURA E PECUARIA S.A.</t>
        </is>
      </c>
    </row>
    <row r="784">
      <c r="B784" s="55" t="inlineStr">
        <is>
          <t>11.615.383/0001-29</t>
        </is>
      </c>
      <c r="C784" t="inlineStr">
        <is>
          <t>ESCOLAWEB LTDA</t>
        </is>
      </c>
    </row>
    <row r="785">
      <c r="B785" s="55" t="inlineStr">
        <is>
          <t>11.660.106/0001-38</t>
        </is>
      </c>
      <c r="C785" t="inlineStr">
        <is>
          <t>VERISURE BRASIL MONITORAMENTO DE ALARMES S.A</t>
        </is>
      </c>
    </row>
    <row r="786">
      <c r="B786" s="55" t="inlineStr">
        <is>
          <t>11.660.106/0001-38</t>
        </is>
      </c>
      <c r="C786" t="inlineStr">
        <is>
          <t>VERISURE BRASIL MONITORAMENTO DE ALARMES S.A</t>
        </is>
      </c>
    </row>
    <row r="787">
      <c r="B787" s="55" t="inlineStr">
        <is>
          <t>11.697.918/0001-58</t>
        </is>
      </c>
      <c r="C787" t="inlineStr">
        <is>
          <t>CENTRO CULTURAL AFRORIO</t>
        </is>
      </c>
    </row>
    <row r="788">
      <c r="B788" s="55" t="inlineStr">
        <is>
          <t>11.716.147/0001-07</t>
        </is>
      </c>
      <c r="C788" t="inlineStr">
        <is>
          <t>INDA SUL COMERCIO DE MEDICAMENTOS E PERFUMARIA LTDA</t>
        </is>
      </c>
    </row>
    <row r="789">
      <c r="B789" s="55" t="inlineStr">
        <is>
          <t>11.716.147/0001-07</t>
        </is>
      </c>
      <c r="C789" t="inlineStr">
        <is>
          <t>INDA SUL COMERCIO DE MEDICAMENTOS E PERFUMARIA LTDA</t>
        </is>
      </c>
    </row>
    <row r="790">
      <c r="B790" s="55" t="inlineStr">
        <is>
          <t>11.716.147/0001-07</t>
        </is>
      </c>
      <c r="C790" t="inlineStr">
        <is>
          <t>INDA SUL COMERCIO DE MEDICAMENTOS E PERFUMARIA LTDA</t>
        </is>
      </c>
    </row>
    <row r="791">
      <c r="B791" s="55" t="inlineStr">
        <is>
          <t>11.747.657/0001-33</t>
        </is>
      </c>
      <c r="C791" t="inlineStr">
        <is>
          <t>FARMACIAS JRL LTDA</t>
        </is>
      </c>
    </row>
    <row r="792">
      <c r="B792" s="55" t="inlineStr">
        <is>
          <t>11.747.657/0001-33</t>
        </is>
      </c>
      <c r="C792" t="inlineStr">
        <is>
          <t>FARMACIAS JRL LTDA</t>
        </is>
      </c>
    </row>
    <row r="793">
      <c r="B793" s="55" t="inlineStr">
        <is>
          <t>11.747.657/0001-33</t>
        </is>
      </c>
      <c r="C793" t="inlineStr">
        <is>
          <t>FARMACIAS JRL LTDA</t>
        </is>
      </c>
    </row>
    <row r="794">
      <c r="B794" s="55" t="inlineStr">
        <is>
          <t>11.796.274/0001-55</t>
        </is>
      </c>
      <c r="C794" t="inlineStr">
        <is>
          <t>MOLDUSACI FABRICA DE PORTA RETRATOS LTDA</t>
        </is>
      </c>
    </row>
    <row r="795">
      <c r="B795" s="55" t="inlineStr">
        <is>
          <t>11.838.187/0002-02</t>
        </is>
      </c>
      <c r="C795" t="inlineStr">
        <is>
          <t>TEXLUSK &amp; FIXA LTDA</t>
        </is>
      </c>
    </row>
    <row r="796">
      <c r="B796" s="55" t="inlineStr">
        <is>
          <t>11.838.187/0002-02</t>
        </is>
      </c>
      <c r="C796" t="inlineStr">
        <is>
          <t>TEXLUSK &amp; FIXA LTDA</t>
        </is>
      </c>
    </row>
    <row r="797">
      <c r="B797" s="55" t="inlineStr">
        <is>
          <t>11.843.042/0001-00</t>
        </is>
      </c>
      <c r="C797" t="inlineStr">
        <is>
          <t>PONTESTUR AGENCIA DE VIAGENS E TURISMO LTDA</t>
        </is>
      </c>
    </row>
    <row r="798">
      <c r="B798" s="55" t="inlineStr">
        <is>
          <t>11.843.042/0001-00</t>
        </is>
      </c>
      <c r="C798" t="inlineStr">
        <is>
          <t>PONTESTUR AGENCIA DE VIAGENS E TURISMO LTDA</t>
        </is>
      </c>
    </row>
    <row r="799">
      <c r="B799" s="55" t="inlineStr">
        <is>
          <t>11.843.042/0001-00</t>
        </is>
      </c>
      <c r="C799" t="inlineStr">
        <is>
          <t>PONTESTUR AGENCIA DE VIAGENS E TURISMO LTDA</t>
        </is>
      </c>
    </row>
    <row r="800">
      <c r="B800" s="55" t="inlineStr">
        <is>
          <t>11.844.665/0001-06</t>
        </is>
      </c>
      <c r="C800" t="inlineStr">
        <is>
          <t>NERIA ENERGIA E SOLUCOES LTDA</t>
        </is>
      </c>
    </row>
    <row r="801">
      <c r="B801" s="55" t="inlineStr">
        <is>
          <t>11.844.665/0001-06</t>
        </is>
      </c>
      <c r="C801" t="inlineStr">
        <is>
          <t>NERIA ENERGIA E SOLUCOES LTDA</t>
        </is>
      </c>
    </row>
    <row r="802">
      <c r="B802" s="55" t="inlineStr">
        <is>
          <t>11.844.665/0001-06</t>
        </is>
      </c>
      <c r="C802" t="inlineStr">
        <is>
          <t>NERIA ENERGIA E SOLUCOES LTDA</t>
        </is>
      </c>
    </row>
    <row r="803">
      <c r="B803" s="55" t="inlineStr">
        <is>
          <t>11.856.283/0001-94</t>
        </is>
      </c>
      <c r="C803" t="inlineStr">
        <is>
          <t>ENGARRAFAMENTO PITU LTDA</t>
        </is>
      </c>
    </row>
    <row r="804">
      <c r="B804" s="55" t="inlineStr">
        <is>
          <t>11.977.624/0001-80</t>
        </is>
      </c>
      <c r="C804" t="inlineStr">
        <is>
          <t>MUNDOMIDIA LTDA</t>
        </is>
      </c>
    </row>
    <row r="805">
      <c r="B805" s="55" t="inlineStr">
        <is>
          <t>11.977.624/0001-80</t>
        </is>
      </c>
      <c r="C805" t="inlineStr">
        <is>
          <t>MUNDOMIDIA LTDA</t>
        </is>
      </c>
    </row>
    <row r="806">
      <c r="B806" s="55" t="inlineStr">
        <is>
          <t>12.044.700/0019-96</t>
        </is>
      </c>
      <c r="C806" t="inlineStr">
        <is>
          <t>G.B.STRAPASSON &amp; CIA LTDA</t>
        </is>
      </c>
    </row>
    <row r="807">
      <c r="B807" s="55" t="inlineStr">
        <is>
          <t>12.044.700/0019-96</t>
        </is>
      </c>
      <c r="C807" t="inlineStr">
        <is>
          <t>G.B.STRAPASSON &amp; CIA LTDA</t>
        </is>
      </c>
    </row>
    <row r="808">
      <c r="B808" s="55" t="inlineStr">
        <is>
          <t>12.135.178/0001-29</t>
        </is>
      </c>
      <c r="C808" t="inlineStr">
        <is>
          <t>EMPREENDIMENTOS &amp; TRANSPORTES META LTDA</t>
        </is>
      </c>
    </row>
    <row r="809">
      <c r="B809" s="55" t="inlineStr">
        <is>
          <t>12.135.178/0001-29</t>
        </is>
      </c>
      <c r="C809" t="inlineStr">
        <is>
          <t>EMPREENDIMENTOS &amp; TRANSPORTES META LTDA</t>
        </is>
      </c>
    </row>
    <row r="810">
      <c r="B810" s="55" t="inlineStr">
        <is>
          <t>12.157.924/0001-85</t>
        </is>
      </c>
      <c r="C810" t="inlineStr">
        <is>
          <t>V M CARDOSO LETTRARI E CIA LTDA</t>
        </is>
      </c>
    </row>
    <row r="811">
      <c r="B811" s="55" t="inlineStr">
        <is>
          <t>12.157.924/0001-85</t>
        </is>
      </c>
      <c r="C811" t="inlineStr">
        <is>
          <t>V M CARDOSO LETTRARI E CIA LTDA</t>
        </is>
      </c>
    </row>
    <row r="812">
      <c r="B812" s="55" t="inlineStr">
        <is>
          <t>12.400.169/0001-18</t>
        </is>
      </c>
      <c r="C812" t="inlineStr">
        <is>
          <t>MACROPORT DISTRIBUIDORA LTDA</t>
        </is>
      </c>
    </row>
    <row r="813">
      <c r="B813" s="55" t="inlineStr">
        <is>
          <t>12.400.169/0001-18</t>
        </is>
      </c>
      <c r="C813" t="inlineStr">
        <is>
          <t>MACROPORT DISTRIBUIDORA LTDA</t>
        </is>
      </c>
    </row>
    <row r="814">
      <c r="B814" s="55" t="inlineStr">
        <is>
          <t>12.400.169/0001-18</t>
        </is>
      </c>
      <c r="C814" t="inlineStr">
        <is>
          <t>MACROPORT DISTRIBUIDORA LTDA</t>
        </is>
      </c>
    </row>
    <row r="815">
      <c r="B815" s="55" t="inlineStr">
        <is>
          <t>12.431.970/0001-20</t>
        </is>
      </c>
      <c r="C815" t="inlineStr">
        <is>
          <t>ULTRAPOPULAR SAO DESIDERIO LTDA</t>
        </is>
      </c>
    </row>
    <row r="816">
      <c r="B816" s="55" t="inlineStr">
        <is>
          <t>12.431.970/0001-20</t>
        </is>
      </c>
      <c r="C816" t="inlineStr">
        <is>
          <t>ULTRAPOPULAR SAO DESIDERIO LTDA</t>
        </is>
      </c>
    </row>
    <row r="817">
      <c r="B817" s="55" t="inlineStr">
        <is>
          <t>12.471.470/0005-46</t>
        </is>
      </c>
      <c r="C817" t="inlineStr">
        <is>
          <t>DROGARIA VITORIA LTDA</t>
        </is>
      </c>
    </row>
    <row r="818">
      <c r="B818" s="55" t="inlineStr">
        <is>
          <t>12.471.470/0005-46</t>
        </is>
      </c>
      <c r="C818" t="inlineStr">
        <is>
          <t>DROGARIA VITORIA LTDA</t>
        </is>
      </c>
    </row>
    <row r="819">
      <c r="B819" s="55" t="inlineStr">
        <is>
          <t>12.471.470/0005-46</t>
        </is>
      </c>
      <c r="C819" t="inlineStr">
        <is>
          <t>DROGARIA VITORIA LTDA</t>
        </is>
      </c>
    </row>
    <row r="820">
      <c r="B820" s="55" t="inlineStr">
        <is>
          <t>12.499.494/0001-80</t>
        </is>
      </c>
      <c r="C820" t="inlineStr">
        <is>
          <t>HOSPINOVA DISTRIBUIDORA DE PRODUTOS HOSPITALARES LTDA.</t>
        </is>
      </c>
    </row>
    <row r="821">
      <c r="B821" s="55" t="inlineStr">
        <is>
          <t>12.499.494/0001-80</t>
        </is>
      </c>
      <c r="C821" t="inlineStr">
        <is>
          <t>HOSPINOVA DISTRIBUIDORA DE PRODUTOS HOSPITALARES LTDA.</t>
        </is>
      </c>
    </row>
    <row r="822">
      <c r="B822" s="55" t="inlineStr">
        <is>
          <t>12.500.847/0001-14</t>
        </is>
      </c>
      <c r="C822" t="inlineStr">
        <is>
          <t>KONNO INCORPORADORA E ADMINISTRADORA LTDA</t>
        </is>
      </c>
    </row>
    <row r="823">
      <c r="B823" s="55" t="inlineStr">
        <is>
          <t>12.500.847/0001-14</t>
        </is>
      </c>
      <c r="C823" t="inlineStr">
        <is>
          <t>KONNO INCORPORADORA E ADMINISTRADORA LTDA</t>
        </is>
      </c>
    </row>
    <row r="824">
      <c r="B824" s="55" t="inlineStr">
        <is>
          <t>12.550.675/0001-93</t>
        </is>
      </c>
      <c r="C824" t="inlineStr">
        <is>
          <t>MAXI POPULAR DOURADOS COMERCIO DE MEDICAMENTOS LTDA</t>
        </is>
      </c>
    </row>
    <row r="825">
      <c r="B825" s="55" t="inlineStr">
        <is>
          <t>12.550.675/0001-93</t>
        </is>
      </c>
      <c r="C825" t="inlineStr">
        <is>
          <t>MAXI POPULAR DOURADOS COMERCIO DE MEDICAMENTOS LTDA</t>
        </is>
      </c>
    </row>
    <row r="826">
      <c r="B826" s="55" t="inlineStr">
        <is>
          <t>12.550.675/0001-93</t>
        </is>
      </c>
      <c r="C826" t="inlineStr">
        <is>
          <t>MAXI POPULAR DOURADOS COMERCIO DE MEDICAMENTOS LTDA</t>
        </is>
      </c>
    </row>
    <row r="827">
      <c r="B827" s="55" t="inlineStr">
        <is>
          <t>12.600.200/0001-64</t>
        </is>
      </c>
      <c r="C827" t="inlineStr">
        <is>
          <t>JARDIM DO ALCHYMIST RESTAURANTE LTDA</t>
        </is>
      </c>
    </row>
    <row r="828">
      <c r="B828" s="55" t="inlineStr">
        <is>
          <t>12.600.200/0001-64</t>
        </is>
      </c>
      <c r="C828" t="inlineStr">
        <is>
          <t>JARDIM DO ALCHYMIST RESTAURANTE LTDA</t>
        </is>
      </c>
    </row>
    <row r="829">
      <c r="B829" s="55" t="inlineStr">
        <is>
          <t>12.600.200/0001-64</t>
        </is>
      </c>
      <c r="C829" t="inlineStr">
        <is>
          <t>JARDIM DO ALCHYMIST RESTAURANTE LTDA</t>
        </is>
      </c>
    </row>
    <row r="830">
      <c r="B830" s="55" t="inlineStr">
        <is>
          <t>12.600.200/0001-64</t>
        </is>
      </c>
      <c r="C830" t="inlineStr">
        <is>
          <t>JARDIM DO ALCHYMIST RESTAURANTE LTDA</t>
        </is>
      </c>
    </row>
    <row r="831">
      <c r="B831" s="55" t="inlineStr">
        <is>
          <t>12.600.200/0001-64</t>
        </is>
      </c>
      <c r="C831" t="inlineStr">
        <is>
          <t>JARDIM DO ALCHYMIST RESTAURANTE LTDA</t>
        </is>
      </c>
    </row>
    <row r="832">
      <c r="B832" s="55" t="inlineStr">
        <is>
          <t>12.683.843/0001-19</t>
        </is>
      </c>
      <c r="C832" t="inlineStr">
        <is>
          <t>FARMACIA BOA VISTA LTDA</t>
        </is>
      </c>
    </row>
    <row r="833">
      <c r="B833" s="55" t="inlineStr">
        <is>
          <t>12.683.843/0001-19</t>
        </is>
      </c>
      <c r="C833" t="inlineStr">
        <is>
          <t>FARMACIA BOA VISTA LTDA</t>
        </is>
      </c>
    </row>
    <row r="834">
      <c r="B834" s="55" t="inlineStr">
        <is>
          <t>12.792.928/0001-35</t>
        </is>
      </c>
      <c r="C834" t="inlineStr">
        <is>
          <t>DJ COMERCIO DE INSTRUMENTOS MUSICAIS LTDA</t>
        </is>
      </c>
    </row>
    <row r="835">
      <c r="B835" s="55" t="inlineStr">
        <is>
          <t>12.792.928/0001-35</t>
        </is>
      </c>
      <c r="C835" t="inlineStr">
        <is>
          <t>DJ COMERCIO DE INSTRUMENTOS MUSICAIS LTDA</t>
        </is>
      </c>
    </row>
    <row r="836">
      <c r="B836" s="55" t="inlineStr">
        <is>
          <t>12.821.655/0001-00</t>
        </is>
      </c>
      <c r="C836" t="inlineStr">
        <is>
          <t>SUL FORTALEZA COMERCIO FARMACEUTICO LTDA</t>
        </is>
      </c>
    </row>
    <row r="837">
      <c r="B837" s="55" t="inlineStr">
        <is>
          <t>12.821.655/0001-00</t>
        </is>
      </c>
      <c r="C837" t="inlineStr">
        <is>
          <t>SUL FORTALEZA COMERCIO FARMACEUTICO LTDA</t>
        </is>
      </c>
    </row>
    <row r="838">
      <c r="B838" s="55" t="inlineStr">
        <is>
          <t>12.844.566/0001-89</t>
        </is>
      </c>
      <c r="C838" t="inlineStr">
        <is>
          <t>FARMACIA A &amp; L MANIPULACAO E HOMEOPATIA LTDA</t>
        </is>
      </c>
    </row>
    <row r="839">
      <c r="B839" s="55" t="inlineStr">
        <is>
          <t>12.844.566/0001-89</t>
        </is>
      </c>
      <c r="C839" t="inlineStr">
        <is>
          <t>FARMACIA A &amp; L MANIPULACAO E HOMEOPATIA LTDA</t>
        </is>
      </c>
    </row>
    <row r="840">
      <c r="B840" s="55" t="inlineStr">
        <is>
          <t>12.844.566/0001-89</t>
        </is>
      </c>
      <c r="C840" t="inlineStr">
        <is>
          <t>FARMACIA A &amp; L MANIPULACAO E HOMEOPATIA LTDA</t>
        </is>
      </c>
    </row>
    <row r="841">
      <c r="B841" s="55" t="inlineStr">
        <is>
          <t>12.864.001/0001-63</t>
        </is>
      </c>
      <c r="C841" t="inlineStr">
        <is>
          <t>RIBEIRO &amp; AVIDAGO TURISMO LTDA</t>
        </is>
      </c>
    </row>
    <row r="842">
      <c r="B842" s="55" t="inlineStr">
        <is>
          <t>12.864.001/0001-63</t>
        </is>
      </c>
      <c r="C842" t="inlineStr">
        <is>
          <t>RIBEIRO &amp; AVIDAGO TURISMO LTDA</t>
        </is>
      </c>
    </row>
    <row r="843">
      <c r="B843" s="55" t="inlineStr">
        <is>
          <t>12.864.001/0001-63</t>
        </is>
      </c>
      <c r="C843" t="inlineStr">
        <is>
          <t>RIBEIRO &amp; AVIDAGO TURISMO LTDA</t>
        </is>
      </c>
    </row>
    <row r="844">
      <c r="B844" s="55" t="inlineStr">
        <is>
          <t>12.864.001/0001-63</t>
        </is>
      </c>
      <c r="C844" t="inlineStr">
        <is>
          <t>RIBEIRO &amp; AVIDAGO TURISMO LTDA</t>
        </is>
      </c>
    </row>
    <row r="845">
      <c r="B845" s="55" t="inlineStr">
        <is>
          <t>12.870.037/0001-50</t>
        </is>
      </c>
      <c r="C845" t="inlineStr">
        <is>
          <t>NAURIO JORGE IBANES</t>
        </is>
      </c>
    </row>
    <row r="846">
      <c r="B846" s="55" t="inlineStr">
        <is>
          <t>12.878.141/0001-90</t>
        </is>
      </c>
      <c r="C846" t="inlineStr">
        <is>
          <t>MESTRE MARCENEIRO LTDA</t>
        </is>
      </c>
    </row>
    <row r="847">
      <c r="B847" s="55" t="inlineStr">
        <is>
          <t>12.878.141/0001-90</t>
        </is>
      </c>
      <c r="C847" t="inlineStr">
        <is>
          <t>MESTRE MARCENEIRO LTDA</t>
        </is>
      </c>
    </row>
    <row r="848">
      <c r="B848" s="55" t="inlineStr">
        <is>
          <t>12.878.141/0001-90</t>
        </is>
      </c>
      <c r="C848" t="inlineStr">
        <is>
          <t>MESTRE MARCENEIRO LTDA</t>
        </is>
      </c>
    </row>
    <row r="849">
      <c r="B849" s="55" t="inlineStr">
        <is>
          <t>12.878.141/0001-90</t>
        </is>
      </c>
      <c r="C849" t="inlineStr">
        <is>
          <t>MESTRE MARCENEIRO LTDA</t>
        </is>
      </c>
    </row>
    <row r="850">
      <c r="B850" s="55" t="inlineStr">
        <is>
          <t>12.929.300/0001-39</t>
        </is>
      </c>
      <c r="C850" t="inlineStr">
        <is>
          <t>RITECH TECNOLOGIA SERVICOS EM INFORMATICA LTDA</t>
        </is>
      </c>
    </row>
    <row r="851">
      <c r="B851" s="55" t="inlineStr">
        <is>
          <t>12.979.552/0001-72</t>
        </is>
      </c>
      <c r="C851" t="inlineStr">
        <is>
          <t>SKINSTORE S.A.</t>
        </is>
      </c>
    </row>
    <row r="852">
      <c r="B852" s="55" t="inlineStr">
        <is>
          <t>12.979.552/0001-72</t>
        </is>
      </c>
      <c r="C852" t="inlineStr">
        <is>
          <t>SKINSTORE S.A.</t>
        </is>
      </c>
    </row>
    <row r="853">
      <c r="B853" s="55" t="inlineStr">
        <is>
          <t>12.979.552/0001-72</t>
        </is>
      </c>
      <c r="C853" t="inlineStr">
        <is>
          <t>SKINSTORE S.A.</t>
        </is>
      </c>
    </row>
    <row r="854">
      <c r="B854" s="55" t="inlineStr">
        <is>
          <t>13.032.018/0001-17</t>
        </is>
      </c>
      <c r="C854" t="inlineStr">
        <is>
          <t>DROGARIA SOUZA E ROSA LTDA</t>
        </is>
      </c>
    </row>
    <row r="855">
      <c r="B855" s="55" t="inlineStr">
        <is>
          <t>13.032.018/0001-17</t>
        </is>
      </c>
      <c r="C855" t="inlineStr">
        <is>
          <t>DROGARIA SOUZA E ROSA LTDA</t>
        </is>
      </c>
    </row>
    <row r="856">
      <c r="B856" s="55" t="inlineStr">
        <is>
          <t>13.032.018/0001-17</t>
        </is>
      </c>
      <c r="C856" t="inlineStr">
        <is>
          <t>DROGARIA SOUZA E ROSA LTDA</t>
        </is>
      </c>
    </row>
    <row r="857">
      <c r="B857" s="55" t="inlineStr">
        <is>
          <t>13.041.230/0001-40</t>
        </is>
      </c>
      <c r="C857" t="inlineStr">
        <is>
          <t>FARMACIA ABDS LTDA</t>
        </is>
      </c>
    </row>
    <row r="858">
      <c r="B858" s="55" t="inlineStr">
        <is>
          <t>13.041.230/0001-40</t>
        </is>
      </c>
      <c r="C858" t="inlineStr">
        <is>
          <t>FARMACIA ABDS LTDA</t>
        </is>
      </c>
    </row>
    <row r="859">
      <c r="B859" s="55" t="inlineStr">
        <is>
          <t>13.041.230/0001-40</t>
        </is>
      </c>
      <c r="C859" t="inlineStr">
        <is>
          <t>FARMACIA ABDS LTDA</t>
        </is>
      </c>
    </row>
    <row r="860">
      <c r="B860" s="55" t="inlineStr">
        <is>
          <t>13.062.626/0001-74</t>
        </is>
      </c>
      <c r="C860" t="inlineStr">
        <is>
          <t>JUSCELINO VENTURA CHAVES</t>
        </is>
      </c>
    </row>
    <row r="861">
      <c r="B861" s="55" t="inlineStr">
        <is>
          <t>13.077.546/0001-92</t>
        </is>
      </c>
      <c r="C861" t="inlineStr">
        <is>
          <t>MEMED S.A.</t>
        </is>
      </c>
    </row>
    <row r="862">
      <c r="B862" s="55" t="inlineStr">
        <is>
          <t>13.185.330/0001-40</t>
        </is>
      </c>
      <c r="C862" t="inlineStr">
        <is>
          <t>UNIAO TAQUA FORMACAO PROFISSIONAL LTDA</t>
        </is>
      </c>
    </row>
    <row r="863">
      <c r="B863" s="55" t="inlineStr">
        <is>
          <t>13.329.758/0001-10</t>
        </is>
      </c>
      <c r="C863" t="inlineStr">
        <is>
          <t>ECORI ENERGIA SOLAR LTDA</t>
        </is>
      </c>
    </row>
    <row r="864">
      <c r="B864" s="55" t="inlineStr">
        <is>
          <t>13.329.758/0001-10</t>
        </is>
      </c>
      <c r="C864" t="inlineStr">
        <is>
          <t>ECORI ENERGIA SOLAR LTDA</t>
        </is>
      </c>
    </row>
    <row r="865">
      <c r="B865" s="55" t="inlineStr">
        <is>
          <t>13.357.925/0001-36</t>
        </is>
      </c>
      <c r="C865" t="inlineStr">
        <is>
          <t>DROGARIA MANTOVANI DE TOCANTINS LTDA</t>
        </is>
      </c>
    </row>
    <row r="866">
      <c r="B866" s="55" t="inlineStr">
        <is>
          <t>13.357.925/0001-36</t>
        </is>
      </c>
      <c r="C866" t="inlineStr">
        <is>
          <t>DROGARIA MANTOVANI DE TOCANTINS LTDA</t>
        </is>
      </c>
    </row>
    <row r="867">
      <c r="B867" s="55" t="inlineStr">
        <is>
          <t>13.357.925/0001-36</t>
        </is>
      </c>
      <c r="C867" t="inlineStr">
        <is>
          <t>DROGARIA MANTOVANI DE TOCANTINS LTDA</t>
        </is>
      </c>
    </row>
    <row r="868">
      <c r="B868" s="55" t="inlineStr">
        <is>
          <t>13.360.320/0001-02</t>
        </is>
      </c>
      <c r="C868" t="inlineStr">
        <is>
          <t>COFAX DISTRIBUIDORA DE UTENSILIOS DOMESTICOS LTDA</t>
        </is>
      </c>
    </row>
    <row r="869">
      <c r="B869" s="55" t="inlineStr">
        <is>
          <t>13.432.810/0001-69</t>
        </is>
      </c>
      <c r="C869" t="inlineStr">
        <is>
          <t>TRANSAMERICA DE HOTEIS NORDESTE LTDA</t>
        </is>
      </c>
    </row>
    <row r="870">
      <c r="B870" s="55" t="inlineStr">
        <is>
          <t>13.432.810/0001-69</t>
        </is>
      </c>
      <c r="C870" t="inlineStr">
        <is>
          <t>TRANSAMERICA DE HOTEIS NORDESTE LTDA</t>
        </is>
      </c>
    </row>
    <row r="871">
      <c r="B871" s="55" t="inlineStr">
        <is>
          <t>13.439.115/0001-29</t>
        </is>
      </c>
      <c r="C871" t="inlineStr">
        <is>
          <t>NATU FARMA FARMACIA E DROGARIA LTDA</t>
        </is>
      </c>
    </row>
    <row r="872">
      <c r="B872" s="55" t="inlineStr">
        <is>
          <t>13.439.115/0001-29</t>
        </is>
      </c>
      <c r="C872" t="inlineStr">
        <is>
          <t>NATU FARMA FARMACIA E DROGARIA LTDA</t>
        </is>
      </c>
    </row>
    <row r="873">
      <c r="B873" s="55" t="inlineStr">
        <is>
          <t>13.439.115/0001-29</t>
        </is>
      </c>
      <c r="C873" t="inlineStr">
        <is>
          <t>NATU FARMA FARMACIA E DROGARIA LTDA</t>
        </is>
      </c>
    </row>
    <row r="874">
      <c r="B874" s="55" t="inlineStr">
        <is>
          <t>13.513.325/0001-10</t>
        </is>
      </c>
      <c r="C874" t="inlineStr">
        <is>
          <t>LOUNGERIE S/A</t>
        </is>
      </c>
    </row>
    <row r="875">
      <c r="B875" s="55" t="inlineStr">
        <is>
          <t>13.513.325/0001-10</t>
        </is>
      </c>
      <c r="C875" t="inlineStr">
        <is>
          <t>LOUNGERIE S/A</t>
        </is>
      </c>
    </row>
    <row r="876">
      <c r="B876" s="55" t="inlineStr">
        <is>
          <t>13.513.325/0001-10</t>
        </is>
      </c>
      <c r="C876" t="inlineStr">
        <is>
          <t>LOUNGERIE S/A</t>
        </is>
      </c>
    </row>
    <row r="877">
      <c r="B877" s="55" t="inlineStr">
        <is>
          <t>13.594.751/0015-20</t>
        </is>
      </c>
      <c r="C877" t="inlineStr">
        <is>
          <t>NOVA GERACAO COMESTIVEIS S.A</t>
        </is>
      </c>
    </row>
    <row r="878">
      <c r="B878" s="55" t="inlineStr">
        <is>
          <t>13.594.751/0015-20</t>
        </is>
      </c>
      <c r="C878" t="inlineStr">
        <is>
          <t>NOVA GERACAO COMESTIVEIS S.A</t>
        </is>
      </c>
    </row>
    <row r="879">
      <c r="B879" s="55" t="inlineStr">
        <is>
          <t>13.594.751/0015-20</t>
        </is>
      </c>
      <c r="C879" t="inlineStr">
        <is>
          <t>NOVA GERACAO COMESTIVEIS S.A</t>
        </is>
      </c>
    </row>
    <row r="880">
      <c r="B880" s="55" t="inlineStr">
        <is>
          <t>13.594.751/0015-20</t>
        </is>
      </c>
      <c r="C880" t="inlineStr">
        <is>
          <t>NOVA GERACAO COMESTIVEIS S.A</t>
        </is>
      </c>
    </row>
    <row r="881">
      <c r="B881" s="55" t="inlineStr">
        <is>
          <t>13.671.874/0001-12</t>
        </is>
      </c>
      <c r="C881" t="inlineStr">
        <is>
          <t>FRANCHISING BRASIL FARMA LTDA</t>
        </is>
      </c>
    </row>
    <row r="882">
      <c r="B882" s="55" t="inlineStr">
        <is>
          <t>13.671.874/0001-12</t>
        </is>
      </c>
      <c r="C882" t="inlineStr">
        <is>
          <t>FRANCHISING BRASIL FARMA LTDA</t>
        </is>
      </c>
    </row>
    <row r="883">
      <c r="B883" s="55" t="inlineStr">
        <is>
          <t>13.696.490/0001-54</t>
        </is>
      </c>
      <c r="C883" t="inlineStr">
        <is>
          <t>KALINI BEACHWEAR CONFECCOES LTDA</t>
        </is>
      </c>
    </row>
    <row r="884">
      <c r="B884" s="55" t="inlineStr">
        <is>
          <t>13.710.737/0005-73</t>
        </is>
      </c>
      <c r="C884" t="inlineStr">
        <is>
          <t>LUDIQUE ET BADIN COMERCIO DE CALCADOS LTDA</t>
        </is>
      </c>
    </row>
    <row r="885">
      <c r="B885" s="55" t="inlineStr">
        <is>
          <t>13.710.737/0005-73</t>
        </is>
      </c>
      <c r="C885" t="inlineStr">
        <is>
          <t>LUDIQUE ET BADIN COMERCIO DE CALCADOS LTDA</t>
        </is>
      </c>
    </row>
    <row r="886">
      <c r="B886" s="55" t="inlineStr">
        <is>
          <t>13.740.028/0001-07</t>
        </is>
      </c>
      <c r="C886" t="inlineStr">
        <is>
          <t>RM3 DROGARIA LTDA</t>
        </is>
      </c>
    </row>
    <row r="887">
      <c r="B887" s="55" t="inlineStr">
        <is>
          <t>13.740.028/0001-07</t>
        </is>
      </c>
      <c r="C887" t="inlineStr">
        <is>
          <t>RM3 DROGARIA LTDA</t>
        </is>
      </c>
    </row>
    <row r="888">
      <c r="B888" s="55" t="inlineStr">
        <is>
          <t>13.756.472/0001-10</t>
        </is>
      </c>
      <c r="C888" t="inlineStr">
        <is>
          <t>ROSSTAMP CONFECCAO E ESTAMPARIA LTDA</t>
        </is>
      </c>
    </row>
    <row r="889">
      <c r="B889" s="55" t="inlineStr">
        <is>
          <t>13.756.472/0001-10</t>
        </is>
      </c>
      <c r="C889" t="inlineStr">
        <is>
          <t>ROSSTAMP CONFECCAO E ESTAMPARIA LTDA</t>
        </is>
      </c>
    </row>
    <row r="890">
      <c r="B890" s="55" t="inlineStr">
        <is>
          <t>13.756.472/0001-10</t>
        </is>
      </c>
      <c r="C890" t="inlineStr">
        <is>
          <t>ROSSTAMP CONFECCAO E ESTAMPARIA LTDA</t>
        </is>
      </c>
    </row>
    <row r="891">
      <c r="B891" s="55" t="inlineStr">
        <is>
          <t>13.756.472/0001-10</t>
        </is>
      </c>
      <c r="C891" t="inlineStr">
        <is>
          <t>ROSSTAMP CONFECCAO E ESTAMPARIA LTDA</t>
        </is>
      </c>
    </row>
    <row r="892">
      <c r="B892" s="55" t="inlineStr">
        <is>
          <t>13.756.472/0001-10</t>
        </is>
      </c>
      <c r="C892" t="inlineStr">
        <is>
          <t>ROSSTAMP CONFECCAO E ESTAMPARIA LTDA</t>
        </is>
      </c>
    </row>
    <row r="893">
      <c r="B893" s="55" t="inlineStr">
        <is>
          <t>13.759.045/0001-96</t>
        </is>
      </c>
      <c r="C893" t="inlineStr">
        <is>
          <t>VILA ZAIRA  HORTIFRUTI LTDA</t>
        </is>
      </c>
    </row>
    <row r="894">
      <c r="B894" s="55" t="inlineStr">
        <is>
          <t>13.812.932/0002-61</t>
        </is>
      </c>
      <c r="C894" t="inlineStr">
        <is>
          <t>PALACIO TANGARA DESENVOLVIMENTO IMOBILIARIO E EXPLORACAO HOTELEIRA S.A</t>
        </is>
      </c>
    </row>
    <row r="895">
      <c r="B895" s="55" t="inlineStr">
        <is>
          <t>13.852.483/0001-02</t>
        </is>
      </c>
      <c r="C895" t="inlineStr">
        <is>
          <t>PAGUE PLAY LTDA</t>
        </is>
      </c>
    </row>
    <row r="896">
      <c r="B896" s="55" t="inlineStr">
        <is>
          <t>13.852.483/0001-02</t>
        </is>
      </c>
      <c r="C896" t="inlineStr">
        <is>
          <t>PAGUE PLAY LTDA</t>
        </is>
      </c>
    </row>
    <row r="897">
      <c r="B897" s="55" t="inlineStr">
        <is>
          <t>13.852.483/0001-02</t>
        </is>
      </c>
      <c r="C897" t="inlineStr">
        <is>
          <t>PAGUE PLAY LTDA</t>
        </is>
      </c>
    </row>
    <row r="898">
      <c r="B898" s="55" t="inlineStr">
        <is>
          <t>13.852.483/0001-02</t>
        </is>
      </c>
      <c r="C898" t="inlineStr">
        <is>
          <t>PAGUE PLAY LTDA</t>
        </is>
      </c>
    </row>
    <row r="899">
      <c r="B899" s="55" t="inlineStr">
        <is>
          <t>13.877.842/0001-78</t>
        </is>
      </c>
      <c r="C899" t="inlineStr">
        <is>
          <t>ESTRATEGIA CONCURSOS S/A</t>
        </is>
      </c>
    </row>
    <row r="900">
      <c r="B900" s="55" t="inlineStr">
        <is>
          <t>13.877.842/0001-78</t>
        </is>
      </c>
      <c r="C900" t="inlineStr">
        <is>
          <t>ESTRATEGIA CONCURSOS S/A</t>
        </is>
      </c>
    </row>
    <row r="901">
      <c r="B901" s="55" t="inlineStr">
        <is>
          <t>13.877.842/0001-78</t>
        </is>
      </c>
      <c r="C901" t="inlineStr">
        <is>
          <t>ESTRATEGIA CONCURSOS S/A</t>
        </is>
      </c>
    </row>
    <row r="902">
      <c r="B902" s="55" t="inlineStr">
        <is>
          <t>13.877.842/0001-78</t>
        </is>
      </c>
      <c r="C902" t="inlineStr">
        <is>
          <t>ESTRATEGIA CONCURSOS S/A</t>
        </is>
      </c>
    </row>
    <row r="903">
      <c r="B903" s="55" t="inlineStr">
        <is>
          <t>14.005.431/0001-55</t>
        </is>
      </c>
      <c r="C903" t="inlineStr">
        <is>
          <t>E.H. CAMARGO LTDA</t>
        </is>
      </c>
    </row>
    <row r="904">
      <c r="B904" s="55" t="inlineStr">
        <is>
          <t>14.005.431/0001-55</t>
        </is>
      </c>
      <c r="C904" t="inlineStr">
        <is>
          <t>E.H. CAMARGO LTDA</t>
        </is>
      </c>
    </row>
    <row r="905">
      <c r="B905" s="55" t="inlineStr">
        <is>
          <t>14.005.443/0001-80</t>
        </is>
      </c>
      <c r="C905" t="inlineStr">
        <is>
          <t>D T M PEREA &amp; CIA LTDA</t>
        </is>
      </c>
    </row>
    <row r="906">
      <c r="B906" s="55" t="inlineStr">
        <is>
          <t>14.011.614/0001-83</t>
        </is>
      </c>
      <c r="C906" t="inlineStr">
        <is>
          <t>WS AUDIOLOGY SOLUCOES AUDITIVAS LTDA</t>
        </is>
      </c>
    </row>
    <row r="907">
      <c r="B907" s="55" t="inlineStr">
        <is>
          <t>14.022.631/0001-16</t>
        </is>
      </c>
      <c r="C907" t="inlineStr">
        <is>
          <t>SMACK BRASIL LTDA</t>
        </is>
      </c>
    </row>
    <row r="908">
      <c r="B908" s="55" t="inlineStr">
        <is>
          <t>14.022.631/0001-16</t>
        </is>
      </c>
      <c r="C908" t="inlineStr">
        <is>
          <t>SMACK BRASIL LTDA</t>
        </is>
      </c>
    </row>
    <row r="909">
      <c r="B909" s="55" t="inlineStr">
        <is>
          <t>14.037.664/0001-30</t>
        </is>
      </c>
      <c r="C909" t="inlineStr">
        <is>
          <t>UNINTER INFORMATICA S/A</t>
        </is>
      </c>
    </row>
    <row r="910">
      <c r="B910" s="55" t="inlineStr">
        <is>
          <t>14.037.664/0001-30</t>
        </is>
      </c>
      <c r="C910" t="inlineStr">
        <is>
          <t>UNINTER INFORMATICA S/A</t>
        </is>
      </c>
    </row>
    <row r="911">
      <c r="B911" s="55" t="inlineStr">
        <is>
          <t>14.043.391/0001-36</t>
        </is>
      </c>
      <c r="C911" t="inlineStr">
        <is>
          <t>TOPPS ESPORTES E ENTRETENIMENTO DO BRASIL LTDA</t>
        </is>
      </c>
    </row>
    <row r="912">
      <c r="B912" s="55" t="inlineStr">
        <is>
          <t>14.043.391/0001-36</t>
        </is>
      </c>
      <c r="C912" t="inlineStr">
        <is>
          <t>TOPPS ESPORTES E ENTRETENIMENTO DO BRASIL LTDA</t>
        </is>
      </c>
    </row>
    <row r="913">
      <c r="B913" s="55" t="inlineStr">
        <is>
          <t>14.073.438/0001-04</t>
        </is>
      </c>
      <c r="C913" t="inlineStr">
        <is>
          <t>PAYTRACK TECNOLOGIA LTDA</t>
        </is>
      </c>
    </row>
    <row r="914">
      <c r="B914" s="55" t="inlineStr">
        <is>
          <t>14.096.376/0001-56</t>
        </is>
      </c>
      <c r="C914" t="inlineStr">
        <is>
          <t>SGB COMERCIO E LOCACAO DE EQUIPAMENTOS LTDA</t>
        </is>
      </c>
    </row>
    <row r="915">
      <c r="B915" s="55" t="inlineStr">
        <is>
          <t>14.100.209/0001-31</t>
        </is>
      </c>
      <c r="C915" t="inlineStr">
        <is>
          <t>ALFA COUROS INDUSTRIAL E COMERCIAL LTDA</t>
        </is>
      </c>
    </row>
    <row r="916">
      <c r="B916" s="55" t="inlineStr">
        <is>
          <t>14.156.965/0001-82</t>
        </is>
      </c>
      <c r="C916" t="inlineStr">
        <is>
          <t>LOLA LICENCIAMENTOS E FRANQUIAS LTDA</t>
        </is>
      </c>
    </row>
    <row r="917">
      <c r="B917" s="55" t="inlineStr">
        <is>
          <t>14.156.965/0001-82</t>
        </is>
      </c>
      <c r="C917" t="inlineStr">
        <is>
          <t>LOLA LICENCIAMENTOS E FRANQUIAS LTDA</t>
        </is>
      </c>
    </row>
    <row r="918">
      <c r="B918" s="55" t="inlineStr">
        <is>
          <t>14.156.965/0001-82</t>
        </is>
      </c>
      <c r="C918" t="inlineStr">
        <is>
          <t>LOLA LICENCIAMENTOS E FRANQUIAS LTDA</t>
        </is>
      </c>
    </row>
    <row r="919">
      <c r="B919" s="55" t="inlineStr">
        <is>
          <t>14.169.897/0012-49</t>
        </is>
      </c>
      <c r="C919" t="inlineStr">
        <is>
          <t>DROGARIA WANESSA LTDA</t>
        </is>
      </c>
    </row>
    <row r="920">
      <c r="B920" s="55" t="inlineStr">
        <is>
          <t>14.169.897/0012-49</t>
        </is>
      </c>
      <c r="C920" t="inlineStr">
        <is>
          <t>DROGARIA WANESSA LTDA</t>
        </is>
      </c>
    </row>
    <row r="921">
      <c r="B921" s="55" t="inlineStr">
        <is>
          <t>14.210.529/0014-69</t>
        </is>
      </c>
      <c r="C921" t="inlineStr">
        <is>
          <t>B.L.E VESTUARIO LTDA</t>
        </is>
      </c>
    </row>
    <row r="922">
      <c r="B922" s="55" t="inlineStr">
        <is>
          <t>14.210.529/0014-69</t>
        </is>
      </c>
      <c r="C922" t="inlineStr">
        <is>
          <t>B.L.E VESTUARIO LTDA</t>
        </is>
      </c>
    </row>
    <row r="923">
      <c r="B923" s="55" t="inlineStr">
        <is>
          <t>14.244.294/0001-01</t>
        </is>
      </c>
      <c r="C923" t="inlineStr">
        <is>
          <t>MAX FERRAMENTAS LTDA</t>
        </is>
      </c>
    </row>
    <row r="924">
      <c r="B924" s="55" t="inlineStr">
        <is>
          <t>14.300.953/0001-80</t>
        </is>
      </c>
      <c r="C924" t="inlineStr">
        <is>
          <t>POFFO COMERCIO DE PRODUTOS FARMACEUTICOS LTDA</t>
        </is>
      </c>
    </row>
    <row r="925">
      <c r="B925" s="55" t="inlineStr">
        <is>
          <t>14.300.953/0001-80</t>
        </is>
      </c>
      <c r="C925" t="inlineStr">
        <is>
          <t>POFFO COMERCIO DE PRODUTOS FARMACEUTICOS LTDA</t>
        </is>
      </c>
    </row>
    <row r="926">
      <c r="B926" s="55" t="inlineStr">
        <is>
          <t>14.300.953/0001-80</t>
        </is>
      </c>
      <c r="C926" t="inlineStr">
        <is>
          <t>POFFO COMERCIO DE PRODUTOS FARMACEUTICOS LTDA</t>
        </is>
      </c>
    </row>
    <row r="927">
      <c r="B927" s="55" t="inlineStr">
        <is>
          <t>14.424.944/0001-09</t>
        </is>
      </c>
      <c r="C927" t="inlineStr">
        <is>
          <t>GRUPO G7 CONSTRUIR</t>
        </is>
      </c>
    </row>
    <row r="928">
      <c r="B928" s="55" t="inlineStr">
        <is>
          <t>14.536.964/0001-63</t>
        </is>
      </c>
      <c r="C928" t="inlineStr">
        <is>
          <t>G D A CESARIO LTDA</t>
        </is>
      </c>
    </row>
    <row r="929">
      <c r="B929" s="55" t="inlineStr">
        <is>
          <t>14.552.558/0001-94</t>
        </is>
      </c>
      <c r="C929" t="inlineStr">
        <is>
          <t>CRESAUTO VEICULOS S/A</t>
        </is>
      </c>
    </row>
    <row r="930">
      <c r="B930" s="55" t="inlineStr">
        <is>
          <t>14.576.103/0001-09</t>
        </is>
      </c>
      <c r="C930" t="inlineStr">
        <is>
          <t>BOUTIQUE DENTAL LTDA</t>
        </is>
      </c>
    </row>
    <row r="931">
      <c r="B931" s="55" t="inlineStr">
        <is>
          <t>14.576.103/0001-09</t>
        </is>
      </c>
      <c r="C931" t="inlineStr">
        <is>
          <t>BOUTIQUE DENTAL LTDA</t>
        </is>
      </c>
    </row>
    <row r="932">
      <c r="B932" s="55" t="inlineStr">
        <is>
          <t>14.657.392/0001-70</t>
        </is>
      </c>
      <c r="C932" t="inlineStr">
        <is>
          <t>PEDIDO PAGO INTERNET LTDA</t>
        </is>
      </c>
    </row>
    <row r="933">
      <c r="B933" s="55" t="inlineStr">
        <is>
          <t>14.779.797/0002-62</t>
        </is>
      </c>
      <c r="C933" t="inlineStr">
        <is>
          <t>MERSAN MODAS LTDA</t>
        </is>
      </c>
    </row>
    <row r="934">
      <c r="B934" s="55" t="inlineStr">
        <is>
          <t>14.990.369/0001-01</t>
        </is>
      </c>
      <c r="C934" t="inlineStr">
        <is>
          <t>NERIA COMERCIALIZADORA VAREJISTA DE ENERGIA LTDA</t>
        </is>
      </c>
    </row>
    <row r="935">
      <c r="B935" s="55" t="inlineStr">
        <is>
          <t>15.088.043/0001-48</t>
        </is>
      </c>
      <c r="C935" t="inlineStr">
        <is>
          <t>COMERCIAL JAD ZEN LTDA</t>
        </is>
      </c>
    </row>
    <row r="936">
      <c r="B936" s="55" t="inlineStr">
        <is>
          <t>15.088.043/0001-48</t>
        </is>
      </c>
      <c r="C936" t="inlineStr">
        <is>
          <t>COMERCIAL JAD ZEN LTDA</t>
        </is>
      </c>
    </row>
    <row r="937">
      <c r="B937" s="55" t="inlineStr">
        <is>
          <t>15.088.043/0001-48</t>
        </is>
      </c>
      <c r="C937" t="inlineStr">
        <is>
          <t>COMERCIAL JAD ZEN LTDA</t>
        </is>
      </c>
    </row>
    <row r="938">
      <c r="B938" s="55" t="inlineStr">
        <is>
          <t>15.088.043/0001-48</t>
        </is>
      </c>
      <c r="C938" t="inlineStr">
        <is>
          <t>COMERCIAL JAD ZEN LTDA</t>
        </is>
      </c>
    </row>
    <row r="939">
      <c r="B939" s="55" t="inlineStr">
        <is>
          <t>15.102.782/0001-47</t>
        </is>
      </c>
      <c r="C939" t="inlineStr">
        <is>
          <t>PROJETANDOO - INFORMACAO E DESENVOLVIMENTO LTDA</t>
        </is>
      </c>
    </row>
    <row r="940">
      <c r="B940" s="55" t="inlineStr">
        <is>
          <t>15.196.194/0001-10</t>
        </is>
      </c>
      <c r="C940" t="inlineStr">
        <is>
          <t>CL ANJOS DROGARIA LTDA</t>
        </is>
      </c>
    </row>
    <row r="941">
      <c r="B941" s="55" t="inlineStr">
        <is>
          <t>15.196.194/0001-10</t>
        </is>
      </c>
      <c r="C941" t="inlineStr">
        <is>
          <t>CL ANJOS DROGARIA LTDA</t>
        </is>
      </c>
    </row>
    <row r="942">
      <c r="B942" s="55" t="inlineStr">
        <is>
          <t>15.196.194/0001-10</t>
        </is>
      </c>
      <c r="C942" t="inlineStr">
        <is>
          <t>CL ANJOS DROGARIA LTDA</t>
        </is>
      </c>
    </row>
    <row r="943">
      <c r="B943" s="55" t="inlineStr">
        <is>
          <t>15.210.932/0001-36</t>
        </is>
      </c>
      <c r="C943" t="inlineStr">
        <is>
          <t>ACQUATHERMAS OPERADORA DE TURISMO LTDA</t>
        </is>
      </c>
    </row>
    <row r="944">
      <c r="B944" s="55" t="inlineStr">
        <is>
          <t>15.306.935/0001-78</t>
        </is>
      </c>
      <c r="C944" t="inlineStr">
        <is>
          <t>RV2 SERVICOS EM MEIOS ELETRONICOS DE PAGAMENTOS LTDA</t>
        </is>
      </c>
    </row>
    <row r="945">
      <c r="B945" s="55" t="inlineStr">
        <is>
          <t>15.306.935/0001-78</t>
        </is>
      </c>
      <c r="C945" t="inlineStr">
        <is>
          <t>RV2 SERVICOS EM MEIOS ELETRONICOS DE PAGAMENTOS LTDA</t>
        </is>
      </c>
    </row>
    <row r="946">
      <c r="B946" s="55" t="inlineStr">
        <is>
          <t>15.347.913/0001-56</t>
        </is>
      </c>
      <c r="C946" t="inlineStr">
        <is>
          <t>FREITAS MANIPULACAO LTDA</t>
        </is>
      </c>
    </row>
    <row r="947">
      <c r="B947" s="55" t="inlineStr">
        <is>
          <t>15.348.666/0003-74</t>
        </is>
      </c>
      <c r="C947" t="inlineStr">
        <is>
          <t>SANEAR BRASIL PRODUTOS E SERVICOS LTDA</t>
        </is>
      </c>
    </row>
    <row r="948">
      <c r="B948" s="55" t="inlineStr">
        <is>
          <t>15.348.666/0003-74</t>
        </is>
      </c>
      <c r="C948" t="inlineStr">
        <is>
          <t>SANEAR BRASIL PRODUTOS E SERVICOS LTDA</t>
        </is>
      </c>
    </row>
    <row r="949">
      <c r="B949" s="55" t="inlineStr">
        <is>
          <t>15.388.912/0001-50</t>
        </is>
      </c>
      <c r="C949" t="inlineStr">
        <is>
          <t>URBAN ARTES FRANQUEADORA S/A</t>
        </is>
      </c>
    </row>
    <row r="950">
      <c r="B950" s="55" t="inlineStr">
        <is>
          <t>15.388.912/0001-50</t>
        </is>
      </c>
      <c r="C950" t="inlineStr">
        <is>
          <t>URBAN ARTES FRANQUEADORA S/A</t>
        </is>
      </c>
    </row>
    <row r="951">
      <c r="B951" s="55" t="inlineStr">
        <is>
          <t>15.629.579/0010-14</t>
        </is>
      </c>
      <c r="C951" t="inlineStr">
        <is>
          <t>DROGARIA SILVA ROCHA LTDA</t>
        </is>
      </c>
    </row>
    <row r="952">
      <c r="B952" s="55" t="inlineStr">
        <is>
          <t>15.629.579/0010-14</t>
        </is>
      </c>
      <c r="C952" t="inlineStr">
        <is>
          <t>DROGARIA SILVA ROCHA LTDA</t>
        </is>
      </c>
    </row>
    <row r="953">
      <c r="B953" s="55" t="inlineStr">
        <is>
          <t>15.655.086/0001-68</t>
        </is>
      </c>
      <c r="C953" t="inlineStr">
        <is>
          <t>SINGOLA COMERCIO VIRTUAL LTDA</t>
        </is>
      </c>
    </row>
    <row r="954">
      <c r="B954" s="55" t="inlineStr">
        <is>
          <t>15.667.907/0001-86</t>
        </is>
      </c>
      <c r="C954" t="inlineStr">
        <is>
          <t>RODAR SERVICOS DE TAXI E TRANSPORTES PERSONALIZADOS LTDA</t>
        </is>
      </c>
    </row>
    <row r="955">
      <c r="B955" s="55" t="inlineStr">
        <is>
          <t>15.775.522/0001-32</t>
        </is>
      </c>
      <c r="C955" t="inlineStr">
        <is>
          <t>ABBEY TURISMO LTDA</t>
        </is>
      </c>
    </row>
    <row r="956">
      <c r="B956" s="55" t="inlineStr">
        <is>
          <t>15.839.321/0001-51</t>
        </is>
      </c>
      <c r="C956" t="inlineStr">
        <is>
          <t>DROGARIA SUPER POPULAR HORTOLANDIA S.A</t>
        </is>
      </c>
    </row>
    <row r="957">
      <c r="B957" s="55" t="inlineStr">
        <is>
          <t>15.839.321/0001-51</t>
        </is>
      </c>
      <c r="C957" t="inlineStr">
        <is>
          <t>DROGARIA SUPER POPULAR HORTOLANDIA S.A</t>
        </is>
      </c>
    </row>
    <row r="958">
      <c r="B958" s="55" t="inlineStr">
        <is>
          <t>15.839.321/0001-51</t>
        </is>
      </c>
      <c r="C958" t="inlineStr">
        <is>
          <t>DROGARIA SUPER POPULAR HORTOLANDIA S.A</t>
        </is>
      </c>
    </row>
    <row r="959">
      <c r="B959" s="55" t="inlineStr">
        <is>
          <t>15.839.321/0001-51</t>
        </is>
      </c>
      <c r="C959" t="inlineStr">
        <is>
          <t>DROGARIA SUPER POPULAR HORTOLANDIA S.A</t>
        </is>
      </c>
    </row>
    <row r="960">
      <c r="B960" s="55" t="inlineStr">
        <is>
          <t>15.914.495/0001-31</t>
        </is>
      </c>
      <c r="C960" t="inlineStr">
        <is>
          <t>A CARGA CORPORATION BUSINESS BRASIL LTDA</t>
        </is>
      </c>
    </row>
    <row r="961">
      <c r="B961" s="55" t="inlineStr">
        <is>
          <t>15.916.662/0001-83</t>
        </is>
      </c>
      <c r="C961" t="inlineStr">
        <is>
          <t>F DE BRITO MOREIRA FARMACIA LTDA</t>
        </is>
      </c>
    </row>
    <row r="962">
      <c r="B962" s="55" t="inlineStr">
        <is>
          <t>15.916.662/0001-83</t>
        </is>
      </c>
      <c r="C962" t="inlineStr">
        <is>
          <t>F DE BRITO MOREIRA FARMACIA LTDA</t>
        </is>
      </c>
    </row>
    <row r="963">
      <c r="B963" s="55" t="inlineStr">
        <is>
          <t>15.916.662/0001-83</t>
        </is>
      </c>
      <c r="C963" t="inlineStr">
        <is>
          <t>F DE BRITO MOREIRA FARMACIA LTDA</t>
        </is>
      </c>
    </row>
    <row r="964">
      <c r="B964" s="55" t="inlineStr">
        <is>
          <t>16.233.389/0006-60</t>
        </is>
      </c>
      <c r="C964" t="inlineStr">
        <is>
          <t>CVLB BRASIL S.A.</t>
        </is>
      </c>
    </row>
    <row r="965">
      <c r="B965" s="55" t="inlineStr">
        <is>
          <t>16.233.389/0006-60</t>
        </is>
      </c>
      <c r="C965" t="inlineStr">
        <is>
          <t>CVLB BRASIL S.A.</t>
        </is>
      </c>
    </row>
    <row r="966">
      <c r="B966" s="55" t="inlineStr">
        <is>
          <t>16.233.389/0006-60</t>
        </is>
      </c>
      <c r="C966" t="inlineStr">
        <is>
          <t>CVLB BRASIL S.A.</t>
        </is>
      </c>
    </row>
    <row r="967">
      <c r="B967" s="55" t="inlineStr">
        <is>
          <t>16.233.389/0006-60</t>
        </is>
      </c>
      <c r="C967" t="inlineStr">
        <is>
          <t>CVLB BRASIL S.A.</t>
        </is>
      </c>
    </row>
    <row r="968">
      <c r="B968" s="55" t="inlineStr">
        <is>
          <t>16.479.218/0001-00</t>
        </is>
      </c>
      <c r="C968" t="inlineStr">
        <is>
          <t>TIAGO COCCI RAMON (baixada)</t>
        </is>
      </c>
    </row>
    <row r="969">
      <c r="B969" s="55" t="inlineStr">
        <is>
          <t>16.571.889/0001-05</t>
        </is>
      </c>
      <c r="C969" t="inlineStr">
        <is>
          <t>JAB COMERCIO E DISTRIBUICAO DE ELETRO E ELETRONICO LTDA</t>
        </is>
      </c>
    </row>
    <row r="970">
      <c r="B970" s="55" t="inlineStr">
        <is>
          <t>16.585.918/0001-80</t>
        </is>
      </c>
      <c r="C970" t="inlineStr">
        <is>
          <t>WEGO SERVICOS EM TECNOLOGIA E PARTICIPACOES LTDA (baixada)</t>
        </is>
      </c>
    </row>
    <row r="971">
      <c r="B971" s="55" t="inlineStr">
        <is>
          <t>16.590.234/0020-39</t>
        </is>
      </c>
      <c r="C971" t="inlineStr">
        <is>
          <t>AZZAS 2154 S.A</t>
        </is>
      </c>
    </row>
    <row r="972">
      <c r="B972" s="55" t="inlineStr">
        <is>
          <t>16.590.234/0020-39</t>
        </is>
      </c>
      <c r="C972" t="inlineStr">
        <is>
          <t>AZZAS 2154 S.A</t>
        </is>
      </c>
    </row>
    <row r="973">
      <c r="B973" s="55" t="inlineStr">
        <is>
          <t>16.590.234/0020-39</t>
        </is>
      </c>
      <c r="C973" t="inlineStr">
        <is>
          <t>AZZAS 2154 S.A</t>
        </is>
      </c>
    </row>
    <row r="974">
      <c r="B974" s="55" t="inlineStr">
        <is>
          <t>16.701.716/0046-58</t>
        </is>
      </c>
      <c r="C974" t="inlineStr">
        <is>
          <t>STELLANTIS AUTOMOVEIS BRASIL LTDA.</t>
        </is>
      </c>
    </row>
    <row r="975">
      <c r="B975" s="55" t="inlineStr">
        <is>
          <t>16.774.414/0001-08</t>
        </is>
      </c>
      <c r="C975" t="inlineStr">
        <is>
          <t>SUPERMERCADO HORTIFRUTI VILA DAS FRUTAS LTDA</t>
        </is>
      </c>
    </row>
    <row r="976">
      <c r="B976" s="55" t="inlineStr">
        <is>
          <t>16.799.684/0001-73</t>
        </is>
      </c>
      <c r="C976" t="inlineStr">
        <is>
          <t>PUERTO DEL SOL APART HOTEL LTDA</t>
        </is>
      </c>
    </row>
    <row r="977">
      <c r="B977" s="55" t="inlineStr">
        <is>
          <t>16.799.684/0001-73</t>
        </is>
      </c>
      <c r="C977" t="inlineStr">
        <is>
          <t>PUERTO DEL SOL APART HOTEL LTDA</t>
        </is>
      </c>
    </row>
    <row r="978">
      <c r="B978" s="55" t="inlineStr">
        <is>
          <t>16.799.684/0001-73</t>
        </is>
      </c>
      <c r="C978" t="inlineStr">
        <is>
          <t>PUERTO DEL SOL APART HOTEL LTDA</t>
        </is>
      </c>
    </row>
    <row r="979">
      <c r="B979" s="55" t="inlineStr">
        <is>
          <t>16.825.089/0001-65</t>
        </is>
      </c>
      <c r="C979" t="inlineStr">
        <is>
          <t>B2 PNEUS LTDA</t>
        </is>
      </c>
    </row>
    <row r="980">
      <c r="B980" s="55" t="inlineStr">
        <is>
          <t>16.825.089/0001-65</t>
        </is>
      </c>
      <c r="C980" t="inlineStr">
        <is>
          <t>B2 PNEUS LTDA</t>
        </is>
      </c>
    </row>
    <row r="981">
      <c r="B981" s="55" t="inlineStr">
        <is>
          <t>16.825.089/0001-65</t>
        </is>
      </c>
      <c r="C981" t="inlineStr">
        <is>
          <t>B2 PNEUS LTDA</t>
        </is>
      </c>
    </row>
    <row r="982">
      <c r="B982" s="55" t="inlineStr">
        <is>
          <t>16.928.871/0036-30</t>
        </is>
      </c>
      <c r="C982" t="inlineStr">
        <is>
          <t>GUEDES &amp; PAIXAO LTDA</t>
        </is>
      </c>
    </row>
    <row r="983">
      <c r="B983" s="55" t="inlineStr">
        <is>
          <t>16.928.871/0036-30</t>
        </is>
      </c>
      <c r="C983" t="inlineStr">
        <is>
          <t>GUEDES &amp; PAIXAO LTDA</t>
        </is>
      </c>
    </row>
    <row r="984">
      <c r="B984" s="55" t="inlineStr">
        <is>
          <t>16.966.629/0001-20</t>
        </is>
      </c>
      <c r="C984" t="inlineStr">
        <is>
          <t>FARMACIA SALTO GRANDE LTDA</t>
        </is>
      </c>
    </row>
    <row r="985">
      <c r="B985" s="55" t="inlineStr">
        <is>
          <t>16.966.629/0001-20</t>
        </is>
      </c>
      <c r="C985" t="inlineStr">
        <is>
          <t>FARMACIA SALTO GRANDE LTDA</t>
        </is>
      </c>
    </row>
    <row r="986">
      <c r="B986" s="55" t="inlineStr">
        <is>
          <t>16.986.332/0001-27</t>
        </is>
      </c>
      <c r="C986" t="inlineStr">
        <is>
          <t>CERTDATA SERVICOS DE INFORMACAO LTDA</t>
        </is>
      </c>
    </row>
    <row r="987">
      <c r="B987" s="55" t="inlineStr">
        <is>
          <t>16.988.607/0001-61</t>
        </is>
      </c>
      <c r="C987" t="inlineStr">
        <is>
          <t>MM TURISMO &amp; VIAGENS S.A  EM RECUPERACAO JUDICIAL</t>
        </is>
      </c>
    </row>
    <row r="988">
      <c r="B988" s="55" t="inlineStr">
        <is>
          <t>16.988.607/0001-61</t>
        </is>
      </c>
      <c r="C988" t="inlineStr">
        <is>
          <t>MM TURISMO &amp; VIAGENS S.A  EM RECUPERACAO JUDICIAL</t>
        </is>
      </c>
    </row>
    <row r="989">
      <c r="B989" s="55" t="inlineStr">
        <is>
          <t>16.988.607/0001-61</t>
        </is>
      </c>
      <c r="C989" t="inlineStr">
        <is>
          <t>MM TURISMO &amp; VIAGENS S.A  EM RECUPERACAO JUDICIAL</t>
        </is>
      </c>
    </row>
    <row r="990">
      <c r="B990" s="55" t="inlineStr">
        <is>
          <t>16.988.607/0001-61</t>
        </is>
      </c>
      <c r="C990" t="inlineStr">
        <is>
          <t>MM TURISMO &amp; VIAGENS S.A  EM RECUPERACAO JUDICIAL</t>
        </is>
      </c>
    </row>
    <row r="991">
      <c r="B991" s="55" t="inlineStr">
        <is>
          <t>17.001.584/0001-12</t>
        </is>
      </c>
      <c r="C991" t="inlineStr">
        <is>
          <t>FAGE COMERCIO VAREJISTA DE BIJUTERIAS LTDA</t>
        </is>
      </c>
    </row>
    <row r="992">
      <c r="B992" s="55" t="inlineStr">
        <is>
          <t>17.001.584/0001-12</t>
        </is>
      </c>
      <c r="C992" t="inlineStr">
        <is>
          <t>FAGE COMERCIO VAREJISTA DE BIJUTERIAS LTDA</t>
        </is>
      </c>
    </row>
    <row r="993">
      <c r="B993" s="55" t="inlineStr">
        <is>
          <t>17.086.101/0001-20</t>
        </is>
      </c>
      <c r="C993" t="inlineStr">
        <is>
          <t>LIDER FRANQUIAS E LICENCAS LTDA</t>
        </is>
      </c>
    </row>
    <row r="994">
      <c r="B994" s="55" t="inlineStr">
        <is>
          <t>17.086.101/0001-20</t>
        </is>
      </c>
      <c r="C994" t="inlineStr">
        <is>
          <t>LIDER FRANQUIAS E LICENCAS LTDA</t>
        </is>
      </c>
    </row>
    <row r="995">
      <c r="B995" s="55" t="inlineStr">
        <is>
          <t>17.086.101/0001-20</t>
        </is>
      </c>
      <c r="C995" t="inlineStr">
        <is>
          <t>LIDER FRANQUIAS E LICENCAS LTDA</t>
        </is>
      </c>
    </row>
    <row r="996">
      <c r="B996" s="55" t="inlineStr">
        <is>
          <t>17.086.101/0001-20</t>
        </is>
      </c>
      <c r="C996" t="inlineStr">
        <is>
          <t>LIDER FRANQUIAS E LICENCAS LTDA</t>
        </is>
      </c>
    </row>
    <row r="997">
      <c r="B997" s="55" t="inlineStr">
        <is>
          <t>17.086.101/0001-20</t>
        </is>
      </c>
      <c r="C997" t="inlineStr">
        <is>
          <t>LIDER FRANQUIAS E LICENCAS LTDA</t>
        </is>
      </c>
    </row>
    <row r="998">
      <c r="B998" s="55" t="inlineStr">
        <is>
          <t>17.185.679/0001-33</t>
        </is>
      </c>
      <c r="C998" t="inlineStr">
        <is>
          <t>OTHON DE CARVALHO E CIA LTDA</t>
        </is>
      </c>
    </row>
    <row r="999">
      <c r="B999" s="55" t="inlineStr">
        <is>
          <t>17.185.679/0001-33</t>
        </is>
      </c>
      <c r="C999" t="inlineStr">
        <is>
          <t>OTHON DE CARVALHO E CIA LTDA</t>
        </is>
      </c>
    </row>
    <row r="1000">
      <c r="B1000" s="55" t="inlineStr">
        <is>
          <t>17.256.512/0001-16</t>
        </is>
      </c>
      <c r="C1000" t="inlineStr">
        <is>
          <t>DROGARIA ARAUJO S A</t>
        </is>
      </c>
    </row>
    <row r="1001">
      <c r="B1001" s="55" t="inlineStr">
        <is>
          <t>17.256.512/0001-16</t>
        </is>
      </c>
      <c r="C1001" t="inlineStr">
        <is>
          <t>DROGARIA ARAUJO S A</t>
        </is>
      </c>
    </row>
    <row r="1002">
      <c r="B1002" s="55" t="inlineStr">
        <is>
          <t>17.256.512/0001-16</t>
        </is>
      </c>
      <c r="C1002" t="inlineStr">
        <is>
          <t>DROGARIA ARAUJO S A</t>
        </is>
      </c>
    </row>
    <row r="1003">
      <c r="B1003" s="55" t="inlineStr">
        <is>
          <t>17.256.512/0001-16</t>
        </is>
      </c>
      <c r="C1003" t="inlineStr">
        <is>
          <t>DROGARIA ARAUJO S A</t>
        </is>
      </c>
    </row>
    <row r="1004">
      <c r="B1004" s="55" t="inlineStr">
        <is>
          <t>17.280.086/0001-56</t>
        </is>
      </c>
      <c r="C1004" t="inlineStr">
        <is>
          <t>DROGARIA MANGUE  &amp;  ARAUJO  LTDA</t>
        </is>
      </c>
    </row>
    <row r="1005">
      <c r="B1005" s="55" t="inlineStr">
        <is>
          <t>17.280.086/0001-56</t>
        </is>
      </c>
      <c r="C1005" t="inlineStr">
        <is>
          <t>DROGARIA MANGUE  &amp;  ARAUJO  LTDA</t>
        </is>
      </c>
    </row>
    <row r="1006">
      <c r="B1006" s="55" t="inlineStr">
        <is>
          <t>17.359.233/0001-88</t>
        </is>
      </c>
      <c r="C1006" t="inlineStr">
        <is>
          <t>TECIDOS E ARMARINHOS MIGUEL BARTOLOMEU S/A</t>
        </is>
      </c>
    </row>
    <row r="1007">
      <c r="B1007" s="55" t="inlineStr">
        <is>
          <t>17.359.233/0001-88</t>
        </is>
      </c>
      <c r="C1007" t="inlineStr">
        <is>
          <t>TECIDOS E ARMARINHOS MIGUEL BARTOLOMEU S/A</t>
        </is>
      </c>
    </row>
    <row r="1008">
      <c r="B1008" s="55" t="inlineStr">
        <is>
          <t>17.359.233/0001-88</t>
        </is>
      </c>
      <c r="C1008" t="inlineStr">
        <is>
          <t>TECIDOS E ARMARINHOS MIGUEL BARTOLOMEU S/A</t>
        </is>
      </c>
    </row>
    <row r="1009">
      <c r="B1009" s="55" t="inlineStr">
        <is>
          <t>17.359.233/0001-88</t>
        </is>
      </c>
      <c r="C1009" t="inlineStr">
        <is>
          <t>TECIDOS E ARMARINHOS MIGUEL BARTOLOMEU S/A</t>
        </is>
      </c>
    </row>
    <row r="1010">
      <c r="B1010" s="55" t="inlineStr">
        <is>
          <t>17.359.233/0001-88</t>
        </is>
      </c>
      <c r="C1010" t="inlineStr">
        <is>
          <t>TECIDOS E ARMARINHOS MIGUEL BARTOLOMEU S/A</t>
        </is>
      </c>
    </row>
    <row r="1011">
      <c r="B1011" s="55" t="inlineStr">
        <is>
          <t>17.359.233/0001-88</t>
        </is>
      </c>
      <c r="C1011" t="inlineStr">
        <is>
          <t>TECIDOS E ARMARINHOS MIGUEL BARTOLOMEU S/A</t>
        </is>
      </c>
    </row>
    <row r="1012">
      <c r="B1012" s="55" t="inlineStr">
        <is>
          <t>17.374.261/0001-74</t>
        </is>
      </c>
      <c r="C1012" t="inlineStr">
        <is>
          <t>STUDIO 2YOU FITNESS LTDA</t>
        </is>
      </c>
    </row>
    <row r="1013">
      <c r="B1013" s="55" t="inlineStr">
        <is>
          <t>17.388.003/0007-32</t>
        </is>
      </c>
      <c r="C1013" t="inlineStr">
        <is>
          <t>SELIA - SERVICOS DE GESTAO EMPRESARIAL LTDA</t>
        </is>
      </c>
    </row>
    <row r="1014">
      <c r="B1014" s="55" t="inlineStr">
        <is>
          <t>17.497.787/0001-41</t>
        </is>
      </c>
      <c r="C1014" t="inlineStr">
        <is>
          <t>GPET COMERCIO E INTERMEDIACAO DE NEGOCIOS LTDA</t>
        </is>
      </c>
    </row>
    <row r="1015">
      <c r="B1015" s="55" t="inlineStr">
        <is>
          <t>17.497.787/0001-41</t>
        </is>
      </c>
      <c r="C1015" t="inlineStr">
        <is>
          <t>GPET COMERCIO E INTERMEDIACAO DE NEGOCIOS LTDA</t>
        </is>
      </c>
    </row>
    <row r="1016">
      <c r="B1016" s="55" t="inlineStr">
        <is>
          <t>17.653.102/0001-09</t>
        </is>
      </c>
      <c r="C1016" t="inlineStr">
        <is>
          <t>SIRCILLI COMERCIO DE COMPONENTES AUTOMOTIVOS LTDA</t>
        </is>
      </c>
    </row>
    <row r="1017">
      <c r="B1017" s="55" t="inlineStr">
        <is>
          <t>17.653.102/0001-09</t>
        </is>
      </c>
      <c r="C1017" t="inlineStr">
        <is>
          <t>SIRCILLI COMERCIO DE COMPONENTES AUTOMOTIVOS LTDA</t>
        </is>
      </c>
    </row>
    <row r="1018">
      <c r="B1018" s="55" t="inlineStr">
        <is>
          <t>17.662.691/0001-91</t>
        </is>
      </c>
      <c r="C1018" t="inlineStr">
        <is>
          <t>FERREIRA &amp; FERREIRA COMERCIO VAREJISTA DE PRODUTOS FARMACEUTICOS LTDA</t>
        </is>
      </c>
    </row>
    <row r="1019">
      <c r="B1019" s="55" t="inlineStr">
        <is>
          <t>17.662.691/0001-91</t>
        </is>
      </c>
      <c r="C1019" t="inlineStr">
        <is>
          <t>FERREIRA &amp; FERREIRA COMERCIO VAREJISTA DE PRODUTOS FARMACEUTICOS LTDA</t>
        </is>
      </c>
    </row>
    <row r="1020">
      <c r="B1020" s="55" t="inlineStr">
        <is>
          <t>17.662.691/0001-91</t>
        </is>
      </c>
      <c r="C1020" t="inlineStr">
        <is>
          <t>FERREIRA &amp; FERREIRA COMERCIO VAREJISTA DE PRODUTOS FARMACEUTICOS LTDA</t>
        </is>
      </c>
    </row>
    <row r="1021">
      <c r="B1021" s="55" t="inlineStr">
        <is>
          <t>17.768.068/0001-18</t>
        </is>
      </c>
      <c r="C1021" t="inlineStr">
        <is>
          <t>PINPAG INSTITUICAO DE PAGAMENTO S.A.</t>
        </is>
      </c>
    </row>
    <row r="1022">
      <c r="B1022" s="55" t="inlineStr">
        <is>
          <t>17.768.068/0001-18</t>
        </is>
      </c>
      <c r="C1022" t="inlineStr">
        <is>
          <t>PINPAG INSTITUICAO DE PAGAMENTO S.A.</t>
        </is>
      </c>
    </row>
    <row r="1023">
      <c r="B1023" s="55" t="inlineStr">
        <is>
          <t>17.768.068/0001-18</t>
        </is>
      </c>
      <c r="C1023" t="inlineStr">
        <is>
          <t>PINPAG INSTITUICAO DE PAGAMENTO S.A.</t>
        </is>
      </c>
    </row>
    <row r="1024">
      <c r="B1024" s="55" t="inlineStr">
        <is>
          <t>17.768.068/0001-18</t>
        </is>
      </c>
      <c r="C1024" t="inlineStr">
        <is>
          <t>PINPAG INSTITUICAO DE PAGAMENTO S.A.</t>
        </is>
      </c>
    </row>
    <row r="1025">
      <c r="B1025" s="55" t="inlineStr">
        <is>
          <t>17.796.934/0001-84</t>
        </is>
      </c>
      <c r="C1025" t="inlineStr">
        <is>
          <t>VELOCITY ACADEMIA DE GINASTICA LTDA</t>
        </is>
      </c>
    </row>
    <row r="1026">
      <c r="B1026" s="55" t="inlineStr">
        <is>
          <t>17.830.992/0001-87</t>
        </is>
      </c>
      <c r="C1026" t="inlineStr">
        <is>
          <t>BOSSA ETC CONSULTORIA E EDUCACAO LTDA (baixada)</t>
        </is>
      </c>
    </row>
    <row r="1027">
      <c r="B1027" s="55" t="inlineStr">
        <is>
          <t>17.853.443/0001-28</t>
        </is>
      </c>
      <c r="C1027" t="inlineStr">
        <is>
          <t>FORLEVEN INFORMATICA LTDA</t>
        </is>
      </c>
    </row>
    <row r="1028">
      <c r="B1028" s="55" t="inlineStr">
        <is>
          <t>17.891.555/0001-73</t>
        </is>
      </c>
      <c r="C1028" t="inlineStr">
        <is>
          <t>VOAI TECH LTDA</t>
        </is>
      </c>
    </row>
    <row r="1029">
      <c r="B1029" s="55" t="inlineStr">
        <is>
          <t>17.951.646/0001-57</t>
        </is>
      </c>
      <c r="C1029" t="inlineStr">
        <is>
          <t>LA BELLE FARMA - FARMACIA DE MANIPULACAO LTDA</t>
        </is>
      </c>
    </row>
    <row r="1030">
      <c r="B1030" s="55" t="inlineStr">
        <is>
          <t>18.021.509/0001-86</t>
        </is>
      </c>
      <c r="C1030" t="inlineStr">
        <is>
          <t>TEMONITORE TECNOLOGIA LTDA</t>
        </is>
      </c>
    </row>
    <row r="1031">
      <c r="B1031" s="55" t="inlineStr">
        <is>
          <t>18.033.552/0001-61</t>
        </is>
      </c>
      <c r="C1031" t="inlineStr">
        <is>
          <t>99 TECNOLOGIA LTDA</t>
        </is>
      </c>
    </row>
    <row r="1032">
      <c r="B1032" s="55" t="inlineStr">
        <is>
          <t>18.033.552/0001-61</t>
        </is>
      </c>
      <c r="C1032" t="inlineStr">
        <is>
          <t>99 TECNOLOGIA LTDA</t>
        </is>
      </c>
    </row>
    <row r="1033">
      <c r="B1033" s="55" t="inlineStr">
        <is>
          <t>18.033.552/0001-61</t>
        </is>
      </c>
      <c r="C1033" t="inlineStr">
        <is>
          <t>99 TECNOLOGIA LTDA</t>
        </is>
      </c>
    </row>
    <row r="1034">
      <c r="B1034" s="55" t="inlineStr">
        <is>
          <t>18.082.788/0001-98</t>
        </is>
      </c>
      <c r="C1034" t="inlineStr">
        <is>
          <t>INTERNATIONAL SCHOOL SERVICOS DE ENSINO, TREINAMENTO E EDITORACAO FRANQUEADORA S.A.</t>
        </is>
      </c>
    </row>
    <row r="1035">
      <c r="B1035" s="55" t="inlineStr">
        <is>
          <t>18.082.788/0001-98</t>
        </is>
      </c>
      <c r="C1035" t="inlineStr">
        <is>
          <t>INTERNATIONAL SCHOOL SERVICOS DE ENSINO, TREINAMENTO E EDITORACAO FRANQUEADORA S.A.</t>
        </is>
      </c>
    </row>
    <row r="1036">
      <c r="B1036" s="55" t="inlineStr">
        <is>
          <t>18.087.991/0001-57</t>
        </is>
      </c>
      <c r="C1036" t="inlineStr">
        <is>
          <t>QUERO PASSAGEM VIAGENS E TURISMO LTDA</t>
        </is>
      </c>
    </row>
    <row r="1037">
      <c r="B1037" s="55" t="inlineStr">
        <is>
          <t>18.096.686/0001-21</t>
        </is>
      </c>
      <c r="C1037" t="inlineStr">
        <is>
          <t>ORANGGI VIAGENS E TURISMO LTDA</t>
        </is>
      </c>
    </row>
    <row r="1038">
      <c r="B1038" s="55" t="inlineStr">
        <is>
          <t>18.096.686/0001-21</t>
        </is>
      </c>
      <c r="C1038" t="inlineStr">
        <is>
          <t>ORANGGI VIAGENS E TURISMO LTDA</t>
        </is>
      </c>
    </row>
    <row r="1039">
      <c r="B1039" s="55" t="inlineStr">
        <is>
          <t>18.130.757/0001-65</t>
        </is>
      </c>
      <c r="C1039" t="inlineStr">
        <is>
          <t>DROGARIA LAGOCENTER LTDA</t>
        </is>
      </c>
    </row>
    <row r="1040">
      <c r="B1040" s="55" t="inlineStr">
        <is>
          <t>18.130.757/0001-65</t>
        </is>
      </c>
      <c r="C1040" t="inlineStr">
        <is>
          <t>DROGARIA LAGOCENTER LTDA</t>
        </is>
      </c>
    </row>
    <row r="1041">
      <c r="B1041" s="55" t="inlineStr">
        <is>
          <t>18.130.757/0001-65</t>
        </is>
      </c>
      <c r="C1041" t="inlineStr">
        <is>
          <t>DROGARIA LAGOCENTER LTDA</t>
        </is>
      </c>
    </row>
    <row r="1042">
      <c r="B1042" s="55" t="inlineStr">
        <is>
          <t>18.233.742/0003-94</t>
        </is>
      </c>
      <c r="C1042" t="inlineStr">
        <is>
          <t>IGREJA BATISTA DA LAGOINHA</t>
        </is>
      </c>
    </row>
    <row r="1043">
      <c r="B1043" s="55" t="inlineStr">
        <is>
          <t>18.319.406/0001-05</t>
        </is>
      </c>
      <c r="C1043" t="inlineStr">
        <is>
          <t>GOLDEN FARMA LTDA</t>
        </is>
      </c>
    </row>
    <row r="1044">
      <c r="B1044" s="55" t="inlineStr">
        <is>
          <t>18.319.406/0001-05</t>
        </is>
      </c>
      <c r="C1044" t="inlineStr">
        <is>
          <t>GOLDEN FARMA LTDA</t>
        </is>
      </c>
    </row>
    <row r="1045">
      <c r="B1045" s="55" t="inlineStr">
        <is>
          <t>18.487.749/0001-70</t>
        </is>
      </c>
      <c r="C1045" t="inlineStr">
        <is>
          <t>PARQUE DO AVESTRUZ HOTEL FAZENDA S/A</t>
        </is>
      </c>
    </row>
    <row r="1046">
      <c r="B1046" s="55" t="inlineStr">
        <is>
          <t>18.487.749/0001-70</t>
        </is>
      </c>
      <c r="C1046" t="inlineStr">
        <is>
          <t>PARQUE DO AVESTRUZ HOTEL FAZENDA S/A</t>
        </is>
      </c>
    </row>
    <row r="1047">
      <c r="B1047" s="55" t="inlineStr">
        <is>
          <t>18.565.468/0001-99</t>
        </is>
      </c>
      <c r="C1047" t="inlineStr">
        <is>
          <t>VULCABRAS  SP COMERCIO DE ARTIGOS ESPORTIVOS LTDA</t>
        </is>
      </c>
    </row>
    <row r="1048">
      <c r="B1048" s="55" t="inlineStr">
        <is>
          <t>18.565.468/0001-99</t>
        </is>
      </c>
      <c r="C1048" t="inlineStr">
        <is>
          <t>VULCABRAS  SP COMERCIO DE ARTIGOS ESPORTIVOS LTDA</t>
        </is>
      </c>
    </row>
    <row r="1049">
      <c r="B1049" s="55" t="inlineStr">
        <is>
          <t>18.580.601/0001-86</t>
        </is>
      </c>
      <c r="C1049" t="inlineStr">
        <is>
          <t>ECCO BARI CONFECCOES SOB MEDIDA LTDA.</t>
        </is>
      </c>
    </row>
    <row r="1050">
      <c r="B1050" s="55" t="inlineStr">
        <is>
          <t>18.580.601/0001-86</t>
        </is>
      </c>
      <c r="C1050" t="inlineStr">
        <is>
          <t>ECCO BARI CONFECCOES SOB MEDIDA LTDA.</t>
        </is>
      </c>
    </row>
    <row r="1051">
      <c r="B1051" s="55" t="inlineStr">
        <is>
          <t>18.670.082/0001-47</t>
        </is>
      </c>
      <c r="C1051" t="inlineStr">
        <is>
          <t>OKTAPAY PORTAIS E PROVEDORES DE CONTEUDO LTDA</t>
        </is>
      </c>
    </row>
    <row r="1052">
      <c r="B1052" s="55" t="inlineStr">
        <is>
          <t>18.897.459/0001-03</t>
        </is>
      </c>
      <c r="C1052" t="inlineStr">
        <is>
          <t>GOODSTORAGE HOLDING PARTICIPACOES S.A.</t>
        </is>
      </c>
    </row>
    <row r="1053">
      <c r="B1053" s="55" t="inlineStr">
        <is>
          <t>18.897.459/0001-03</t>
        </is>
      </c>
      <c r="C1053" t="inlineStr">
        <is>
          <t>GOODSTORAGE HOLDING PARTICIPACOES S.A.</t>
        </is>
      </c>
    </row>
    <row r="1054">
      <c r="B1054" s="55" t="inlineStr">
        <is>
          <t>18.897.459/0001-03</t>
        </is>
      </c>
      <c r="C1054" t="inlineStr">
        <is>
          <t>GOODSTORAGE HOLDING PARTICIPACOES S.A.</t>
        </is>
      </c>
    </row>
    <row r="1055">
      <c r="B1055" s="55" t="inlineStr">
        <is>
          <t>18.978.214/0001-00</t>
        </is>
      </c>
      <c r="C1055" t="inlineStr">
        <is>
          <t>AGROPECUARIA PARDINHO LTDA</t>
        </is>
      </c>
    </row>
    <row r="1056">
      <c r="B1056" s="55" t="inlineStr">
        <is>
          <t>18.978.214/0001-00</t>
        </is>
      </c>
      <c r="C1056" t="inlineStr">
        <is>
          <t>AGROPECUARIA PARDINHO LTDA</t>
        </is>
      </c>
    </row>
    <row r="1057">
      <c r="B1057" s="55" t="inlineStr">
        <is>
          <t>19.051.774/0001-70</t>
        </is>
      </c>
      <c r="C1057" t="inlineStr">
        <is>
          <t>SMART CENTER COMERCIO DE MATERIAIS DE CONSTRUCAO LTDA</t>
        </is>
      </c>
    </row>
    <row r="1058">
      <c r="B1058" s="55" t="inlineStr">
        <is>
          <t>19.051.774/0001-70</t>
        </is>
      </c>
      <c r="C1058" t="inlineStr">
        <is>
          <t>SMART CENTER COMERCIO DE MATERIAIS DE CONSTRUCAO LTDA</t>
        </is>
      </c>
    </row>
    <row r="1059">
      <c r="B1059" s="55" t="inlineStr">
        <is>
          <t>19.051.774/0001-70</t>
        </is>
      </c>
      <c r="C1059" t="inlineStr">
        <is>
          <t>SMART CENTER COMERCIO DE MATERIAIS DE CONSTRUCAO LTDA</t>
        </is>
      </c>
    </row>
    <row r="1060">
      <c r="B1060" s="55" t="inlineStr">
        <is>
          <t>19.051.774/0001-70</t>
        </is>
      </c>
      <c r="C1060" t="inlineStr">
        <is>
          <t>SMART CENTER COMERCIO DE MATERIAIS DE CONSTRUCAO LTDA</t>
        </is>
      </c>
    </row>
    <row r="1061">
      <c r="B1061" s="55" t="inlineStr">
        <is>
          <t>19.063.331/0001-07</t>
        </is>
      </c>
      <c r="C1061" t="inlineStr">
        <is>
          <t>BJ SHOES LTDA (baixada)</t>
        </is>
      </c>
    </row>
    <row r="1062">
      <c r="B1062" s="55" t="inlineStr">
        <is>
          <t>19.112.624/0001-29</t>
        </is>
      </c>
      <c r="C1062" t="inlineStr">
        <is>
          <t>EMUNAH STORE LTDA</t>
        </is>
      </c>
    </row>
    <row r="1063">
      <c r="B1063" s="55" t="inlineStr">
        <is>
          <t>19.171.497/0002-10</t>
        </is>
      </c>
      <c r="C1063" t="inlineStr">
        <is>
          <t>LOUISE LUCCA CONFECCOES LTDA</t>
        </is>
      </c>
    </row>
    <row r="1064">
      <c r="B1064" s="55" t="inlineStr">
        <is>
          <t>19.308.325/0001-64</t>
        </is>
      </c>
      <c r="C1064" t="inlineStr">
        <is>
          <t>7GAS TECNOLOGIA LTDA</t>
        </is>
      </c>
    </row>
    <row r="1065">
      <c r="B1065" s="55" t="inlineStr">
        <is>
          <t>19.412.512/0001-93</t>
        </is>
      </c>
      <c r="C1065" t="inlineStr">
        <is>
          <t>ORUBY COMERCIO E SERVICOS DIGITAIS S/A (baixada)</t>
        </is>
      </c>
    </row>
    <row r="1066">
      <c r="B1066" s="55" t="inlineStr">
        <is>
          <t>19.463.221/0001-24</t>
        </is>
      </c>
      <c r="C1066" t="inlineStr">
        <is>
          <t>AVATIM CHEIROS DA TERRA PATRIMONIAL E ROYALTIES LTDA</t>
        </is>
      </c>
    </row>
    <row r="1067">
      <c r="B1067" s="55" t="inlineStr">
        <is>
          <t>19.576.137/0001-17</t>
        </is>
      </c>
      <c r="C1067" t="inlineStr">
        <is>
          <t>ANA TERRA MANIPULACAO LTDA</t>
        </is>
      </c>
    </row>
    <row r="1068">
      <c r="B1068" s="55" t="inlineStr">
        <is>
          <t>19.726.259/0001-42</t>
        </is>
      </c>
      <c r="C1068" t="inlineStr">
        <is>
          <t>FARMACIA DE MANIPULACAO PETLOVE LTDA</t>
        </is>
      </c>
    </row>
    <row r="1069">
      <c r="B1069" s="55" t="inlineStr">
        <is>
          <t>20.061.249/0001-14</t>
        </is>
      </c>
      <c r="C1069" t="inlineStr">
        <is>
          <t>F.A.C VICENTE VIAGENS E TURISMO LTDA (baixada)</t>
        </is>
      </c>
    </row>
    <row r="1070">
      <c r="B1070" s="55" t="inlineStr">
        <is>
          <t>20.182.807/0001-08</t>
        </is>
      </c>
      <c r="C1070" t="inlineStr">
        <is>
          <t>CONTABILIZEI TECNOLOGIA LTDA</t>
        </is>
      </c>
    </row>
    <row r="1071">
      <c r="B1071" s="55" t="inlineStr">
        <is>
          <t>20.215.683/0001-01</t>
        </is>
      </c>
      <c r="C1071" t="inlineStr">
        <is>
          <t>CLICK DIGITAL SOLUTIONS LTDA</t>
        </is>
      </c>
    </row>
    <row r="1072">
      <c r="B1072" s="55" t="inlineStr">
        <is>
          <t>20.215.683/0001-01</t>
        </is>
      </c>
      <c r="C1072" t="inlineStr">
        <is>
          <t>CLICK DIGITAL SOLUTIONS LTDA</t>
        </is>
      </c>
    </row>
    <row r="1073">
      <c r="B1073" s="55" t="inlineStr">
        <is>
          <t>20.320.503/0011-23</t>
        </is>
      </c>
      <c r="C1073" t="inlineStr">
        <is>
          <t>FUNDACAO ARTHUR BERNARDES</t>
        </is>
      </c>
    </row>
    <row r="1074">
      <c r="B1074" s="55" t="inlineStr">
        <is>
          <t>20.320.503/0011-23</t>
        </is>
      </c>
      <c r="C1074" t="inlineStr">
        <is>
          <t>FUNDACAO ARTHUR BERNARDES</t>
        </is>
      </c>
    </row>
    <row r="1075">
      <c r="B1075" s="55" t="inlineStr">
        <is>
          <t>20.511.761/0001-15</t>
        </is>
      </c>
      <c r="C1075" t="inlineStr">
        <is>
          <t>CAULE COMERCIO DE COSMOCEUTICOS LTDA (baixada)</t>
        </is>
      </c>
    </row>
    <row r="1076">
      <c r="B1076" s="55" t="inlineStr">
        <is>
          <t>20.558.548/0001-69</t>
        </is>
      </c>
      <c r="C1076" t="inlineStr">
        <is>
          <t>FARMACIA SAO LUIZ LTDA</t>
        </is>
      </c>
    </row>
    <row r="1077">
      <c r="B1077" s="55" t="inlineStr">
        <is>
          <t>20.558.548/0001-69</t>
        </is>
      </c>
      <c r="C1077" t="inlineStr">
        <is>
          <t>FARMACIA SAO LUIZ LTDA</t>
        </is>
      </c>
    </row>
    <row r="1078">
      <c r="B1078" s="55" t="inlineStr">
        <is>
          <t>20.558.548/0001-69</t>
        </is>
      </c>
      <c r="C1078" t="inlineStr">
        <is>
          <t>FARMACIA SAO LUIZ LTDA</t>
        </is>
      </c>
    </row>
    <row r="1079">
      <c r="B1079" s="55" t="inlineStr">
        <is>
          <t>20.732.558/0001-79</t>
        </is>
      </c>
      <c r="C1079" t="inlineStr">
        <is>
          <t>DROGARIA SAO FRANCISCO DE ITAUNA LTDA</t>
        </is>
      </c>
    </row>
    <row r="1080">
      <c r="B1080" s="55" t="inlineStr">
        <is>
          <t>20.732.558/0001-79</t>
        </is>
      </c>
      <c r="C1080" t="inlineStr">
        <is>
          <t>DROGARIA SAO FRANCISCO DE ITAUNA LTDA</t>
        </is>
      </c>
    </row>
    <row r="1081">
      <c r="B1081" s="55" t="inlineStr">
        <is>
          <t>20.732.558/0001-79</t>
        </is>
      </c>
      <c r="C1081" t="inlineStr">
        <is>
          <t>DROGARIA SAO FRANCISCO DE ITAUNA LTDA</t>
        </is>
      </c>
    </row>
    <row r="1082">
      <c r="B1082" s="55" t="inlineStr">
        <is>
          <t>20.739.471/0001-23</t>
        </is>
      </c>
      <c r="C1082" t="inlineStr">
        <is>
          <t>ALL IN RIO GESTAO IMOBILIARIA LTDA</t>
        </is>
      </c>
    </row>
    <row r="1083">
      <c r="B1083" s="55" t="inlineStr">
        <is>
          <t>20.757.023/0001-52</t>
        </is>
      </c>
      <c r="C1083" t="inlineStr">
        <is>
          <t>ECS COMERCIO E SERVICOS MUSICAIS LTDA</t>
        </is>
      </c>
    </row>
    <row r="1084">
      <c r="B1084" s="55" t="inlineStr">
        <is>
          <t>20.884.408/0001-80</t>
        </is>
      </c>
      <c r="C1084" t="inlineStr">
        <is>
          <t>DROGARIAS ULTRA POPULAR NOVA ANDRADINA LTDA</t>
        </is>
      </c>
    </row>
    <row r="1085">
      <c r="B1085" s="55" t="inlineStr">
        <is>
          <t>20.959.269/0001-07</t>
        </is>
      </c>
      <c r="C1085" t="inlineStr">
        <is>
          <t>DIVERTI TICKETS COMERCIALIZACAO DE INGRESSOS LTDA.</t>
        </is>
      </c>
    </row>
    <row r="1086">
      <c r="B1086" s="55" t="inlineStr">
        <is>
          <t>20.977.902/0001-90</t>
        </is>
      </c>
      <c r="C1086" t="inlineStr">
        <is>
          <t>AMERICANVEK PROTECAO INDUSTRIAL LTDA</t>
        </is>
      </c>
    </row>
    <row r="1087">
      <c r="B1087" s="55" t="inlineStr">
        <is>
          <t>20.977.902/0001-90</t>
        </is>
      </c>
      <c r="C1087" t="inlineStr">
        <is>
          <t>AMERICANVEK PROTECAO INDUSTRIAL LTDA</t>
        </is>
      </c>
    </row>
    <row r="1088">
      <c r="B1088" s="55" t="inlineStr">
        <is>
          <t>21.051.079/0001-50</t>
        </is>
      </c>
      <c r="C1088" t="inlineStr">
        <is>
          <t>PARIS STORE PERFUMARIA LTDA</t>
        </is>
      </c>
    </row>
    <row r="1089">
      <c r="B1089" s="55" t="inlineStr">
        <is>
          <t>21.051.079/0001-50</t>
        </is>
      </c>
      <c r="C1089" t="inlineStr">
        <is>
          <t>PARIS STORE PERFUMARIA LTDA</t>
        </is>
      </c>
    </row>
    <row r="1090">
      <c r="B1090" s="55" t="inlineStr">
        <is>
          <t>21.153.371/0001-83</t>
        </is>
      </c>
      <c r="C1090" t="inlineStr">
        <is>
          <t>PAPELLO SOLUCOES EM EMBALAGENS LTDA</t>
        </is>
      </c>
    </row>
    <row r="1091">
      <c r="B1091" s="55" t="inlineStr">
        <is>
          <t>21.153.371/0001-83</t>
        </is>
      </c>
      <c r="C1091" t="inlineStr">
        <is>
          <t>PAPELLO SOLUCOES EM EMBALAGENS LTDA</t>
        </is>
      </c>
    </row>
    <row r="1092">
      <c r="B1092" s="55" t="inlineStr">
        <is>
          <t>21.153.371/0001-83</t>
        </is>
      </c>
      <c r="C1092" t="inlineStr">
        <is>
          <t>PAPELLO SOLUCOES EM EMBALAGENS LTDA</t>
        </is>
      </c>
    </row>
    <row r="1093">
      <c r="B1093" s="55" t="inlineStr">
        <is>
          <t>21.153.371/0001-83</t>
        </is>
      </c>
      <c r="C1093" t="inlineStr">
        <is>
          <t>PAPELLO SOLUCOES EM EMBALAGENS LTDA</t>
        </is>
      </c>
    </row>
    <row r="1094">
      <c r="B1094" s="55" t="inlineStr">
        <is>
          <t>21.231.459/0001-76</t>
        </is>
      </c>
      <c r="C1094" t="inlineStr">
        <is>
          <t>TECNOFIT TECNOLOGIA E SISTEMAS S/A</t>
        </is>
      </c>
    </row>
    <row r="1095">
      <c r="B1095" s="55" t="inlineStr">
        <is>
          <t>21.379.541/0001-42</t>
        </is>
      </c>
      <c r="C1095" t="inlineStr">
        <is>
          <t>INDUSTRIA DE ALIMENTOS BRASIL LTDA</t>
        </is>
      </c>
    </row>
    <row r="1096">
      <c r="B1096" s="55" t="inlineStr">
        <is>
          <t>21.588.054/0001-90</t>
        </is>
      </c>
      <c r="C1096" t="inlineStr">
        <is>
          <t>BAMBOO COMERCIO DE MOVEIS E DECORACOES LTDA</t>
        </is>
      </c>
    </row>
    <row r="1097">
      <c r="B1097" s="55" t="inlineStr">
        <is>
          <t>21.593.391/0001-75</t>
        </is>
      </c>
      <c r="C1097" t="inlineStr">
        <is>
          <t>M A COMERCIAL DE MEDICAMENTOS LTDA</t>
        </is>
      </c>
    </row>
    <row r="1098">
      <c r="B1098" s="55" t="inlineStr">
        <is>
          <t>21.593.391/0001-75</t>
        </is>
      </c>
      <c r="C1098" t="inlineStr">
        <is>
          <t>M A COMERCIAL DE MEDICAMENTOS LTDA</t>
        </is>
      </c>
    </row>
    <row r="1099">
      <c r="B1099" s="55" t="inlineStr">
        <is>
          <t>21.593.391/0001-75</t>
        </is>
      </c>
      <c r="C1099" t="inlineStr">
        <is>
          <t>M A COMERCIAL DE MEDICAMENTOS LTDA</t>
        </is>
      </c>
    </row>
    <row r="1100">
      <c r="B1100" s="55" t="inlineStr">
        <is>
          <t>21.909.642/0001-88</t>
        </is>
      </c>
      <c r="C1100" t="inlineStr">
        <is>
          <t>FARMACIA MARTINS E ANDRADE LTDA</t>
        </is>
      </c>
    </row>
    <row r="1101">
      <c r="B1101" s="55" t="inlineStr">
        <is>
          <t>21.909.642/0001-88</t>
        </is>
      </c>
      <c r="C1101" t="inlineStr">
        <is>
          <t>FARMACIA MARTINS E ANDRADE LTDA</t>
        </is>
      </c>
    </row>
    <row r="1102">
      <c r="B1102" s="55" t="inlineStr">
        <is>
          <t>21.986.074/0001-19</t>
        </is>
      </c>
      <c r="C1102" t="inlineStr">
        <is>
          <t>PRUDENTIAL DO BRASIL SEGUROS S.A.</t>
        </is>
      </c>
    </row>
    <row r="1103">
      <c r="B1103" s="55" t="inlineStr">
        <is>
          <t>21.986.074/0001-19</t>
        </is>
      </c>
      <c r="C1103" t="inlineStr">
        <is>
          <t>PRUDENTIAL DO BRASIL SEGUROS S.A.</t>
        </is>
      </c>
    </row>
    <row r="1104">
      <c r="B1104" s="55" t="inlineStr">
        <is>
          <t>22.094.233/0001-33</t>
        </is>
      </c>
      <c r="C1104" t="inlineStr">
        <is>
          <t>QUIFA FARMACEUTICA DO BRASIL LTDA.</t>
        </is>
      </c>
    </row>
    <row r="1105">
      <c r="B1105" s="55" t="inlineStr">
        <is>
          <t>22.094.233/0001-33</t>
        </is>
      </c>
      <c r="C1105" t="inlineStr">
        <is>
          <t>QUIFA FARMACEUTICA DO BRASIL LTDA.</t>
        </is>
      </c>
    </row>
    <row r="1106">
      <c r="B1106" s="55" t="inlineStr">
        <is>
          <t>22.134.988/0001-14</t>
        </is>
      </c>
      <c r="C1106" t="inlineStr">
        <is>
          <t>MOITINHO AUTOMOVEIS LTDA</t>
        </is>
      </c>
    </row>
    <row r="1107">
      <c r="B1107" s="55" t="inlineStr">
        <is>
          <t>22.134.988/0001-14</t>
        </is>
      </c>
      <c r="C1107" t="inlineStr">
        <is>
          <t>MOITINHO AUTOMOVEIS LTDA</t>
        </is>
      </c>
    </row>
    <row r="1108">
      <c r="B1108" s="55" t="inlineStr">
        <is>
          <t>22.134.988/0001-14</t>
        </is>
      </c>
      <c r="C1108" t="inlineStr">
        <is>
          <t>MOITINHO AUTOMOVEIS LTDA</t>
        </is>
      </c>
    </row>
    <row r="1109">
      <c r="B1109" s="55" t="inlineStr">
        <is>
          <t>22.148.789/0001-65</t>
        </is>
      </c>
      <c r="C1109" t="inlineStr">
        <is>
          <t>GV4 EMPREENDIMENTOS HOTELEIROS E TURISTICOS DE MACEIO LTDA</t>
        </is>
      </c>
    </row>
    <row r="1110">
      <c r="B1110" s="55" t="inlineStr">
        <is>
          <t>22.148.789/0001-65</t>
        </is>
      </c>
      <c r="C1110" t="inlineStr">
        <is>
          <t>GV4 EMPREENDIMENTOS HOTELEIROS E TURISTICOS DE MACEIO LTDA</t>
        </is>
      </c>
    </row>
    <row r="1111">
      <c r="B1111" s="55" t="inlineStr">
        <is>
          <t>22.166.562/0003-04</t>
        </is>
      </c>
      <c r="C1111" t="inlineStr">
        <is>
          <t>R. O. MARTINS PEREIRA &amp; CIA LTDA</t>
        </is>
      </c>
    </row>
    <row r="1112">
      <c r="B1112" s="55" t="inlineStr">
        <is>
          <t>22.166.562/0003-04</t>
        </is>
      </c>
      <c r="C1112" t="inlineStr">
        <is>
          <t>R. O. MARTINS PEREIRA &amp; CIA LTDA</t>
        </is>
      </c>
    </row>
    <row r="1113">
      <c r="B1113" s="55" t="inlineStr">
        <is>
          <t>22.228.820/0002-59</t>
        </is>
      </c>
      <c r="C1113" t="inlineStr">
        <is>
          <t>GL SUPRIMENTOS PROFISSIONAIS LTDA (baixada)</t>
        </is>
      </c>
    </row>
    <row r="1114">
      <c r="B1114" s="55" t="inlineStr">
        <is>
          <t>22.238.855/0001-98</t>
        </is>
      </c>
      <c r="C1114" t="inlineStr">
        <is>
          <t>FC MATOS BORGES LTDA</t>
        </is>
      </c>
    </row>
    <row r="1115">
      <c r="B1115" s="55" t="inlineStr">
        <is>
          <t>22.238.855/0001-98</t>
        </is>
      </c>
      <c r="C1115" t="inlineStr">
        <is>
          <t>FC MATOS BORGES LTDA</t>
        </is>
      </c>
    </row>
    <row r="1116">
      <c r="B1116" s="55" t="inlineStr">
        <is>
          <t>22.238.855/0001-98</t>
        </is>
      </c>
      <c r="C1116" t="inlineStr">
        <is>
          <t>FC MATOS BORGES LTDA</t>
        </is>
      </c>
    </row>
    <row r="1117">
      <c r="B1117" s="55" t="inlineStr">
        <is>
          <t>22.238.855/0001-98</t>
        </is>
      </c>
      <c r="C1117" t="inlineStr">
        <is>
          <t>FC MATOS BORGES LTDA</t>
        </is>
      </c>
    </row>
    <row r="1118">
      <c r="B1118" s="55" t="inlineStr">
        <is>
          <t>22.299.487/0001-98</t>
        </is>
      </c>
      <c r="C1118" t="inlineStr">
        <is>
          <t>NARCISO ENXOVAIS DO BRASIL LTDA - EM RECUPERACAO JUDICIAL</t>
        </is>
      </c>
    </row>
    <row r="1119">
      <c r="B1119" s="55" t="inlineStr">
        <is>
          <t>22.508.552/0001-48</t>
        </is>
      </c>
      <c r="C1119" t="inlineStr">
        <is>
          <t>VIVAPP SERVICOS IMOBILIARIOS LTDA</t>
        </is>
      </c>
    </row>
    <row r="1120">
      <c r="B1120" s="55" t="inlineStr">
        <is>
          <t>22.598.164/0001-03</t>
        </is>
      </c>
      <c r="C1120" t="inlineStr">
        <is>
          <t>ELISANDRA DE L. CAMARGO LTDA</t>
        </is>
      </c>
    </row>
    <row r="1121">
      <c r="B1121" s="55" t="inlineStr">
        <is>
          <t>22.599.190/0002-29</t>
        </is>
      </c>
      <c r="C1121" t="inlineStr">
        <is>
          <t>HOTEL NACIONAL RIO DE JANEIRO ADMINISTRADORA LTDA</t>
        </is>
      </c>
    </row>
    <row r="1122">
      <c r="B1122" s="55" t="inlineStr">
        <is>
          <t>22.599.190/0002-29</t>
        </is>
      </c>
      <c r="C1122" t="inlineStr">
        <is>
          <t>HOTEL NACIONAL RIO DE JANEIRO ADMINISTRADORA LTDA</t>
        </is>
      </c>
    </row>
    <row r="1123">
      <c r="B1123" s="55" t="inlineStr">
        <is>
          <t>22.599.190/0002-29</t>
        </is>
      </c>
      <c r="C1123" t="inlineStr">
        <is>
          <t>HOTEL NACIONAL RIO DE JANEIRO ADMINISTRADORA LTDA</t>
        </is>
      </c>
    </row>
    <row r="1124">
      <c r="B1124" s="55" t="inlineStr">
        <is>
          <t>22.655.614/0009-00</t>
        </is>
      </c>
      <c r="C1124" t="inlineStr">
        <is>
          <t>MADEIRANIT MATERIAIS PARA CONSTRUCAO LTDA</t>
        </is>
      </c>
    </row>
    <row r="1125">
      <c r="B1125" s="55" t="inlineStr">
        <is>
          <t>22.750.430/0001-63</t>
        </is>
      </c>
      <c r="C1125" t="inlineStr">
        <is>
          <t>MED CLUBE ADMINISTRADORA DE CARTOES LTDA</t>
        </is>
      </c>
    </row>
    <row r="1126">
      <c r="B1126" s="55" t="inlineStr">
        <is>
          <t>22.763.502/0017-74</t>
        </is>
      </c>
      <c r="C1126" t="inlineStr">
        <is>
          <t>PMZ DISTRIBUIDORA S.A</t>
        </is>
      </c>
    </row>
    <row r="1127">
      <c r="B1127" s="55" t="inlineStr">
        <is>
          <t>22.763.502/0017-74</t>
        </is>
      </c>
      <c r="C1127" t="inlineStr">
        <is>
          <t>PMZ DISTRIBUIDORA S.A</t>
        </is>
      </c>
    </row>
    <row r="1128">
      <c r="B1128" s="55" t="inlineStr">
        <is>
          <t>22.763.502/0017-74</t>
        </is>
      </c>
      <c r="C1128" t="inlineStr">
        <is>
          <t>PMZ DISTRIBUIDORA S.A</t>
        </is>
      </c>
    </row>
    <row r="1129">
      <c r="B1129" s="55" t="inlineStr">
        <is>
          <t>22.782.280/0001-70</t>
        </is>
      </c>
      <c r="C1129" t="inlineStr">
        <is>
          <t>SEMEAR FERTILIDADE - REPRODUCAO HUMANA LTDA</t>
        </is>
      </c>
    </row>
    <row r="1130">
      <c r="B1130" s="55" t="inlineStr">
        <is>
          <t>22.782.280/0001-70</t>
        </is>
      </c>
      <c r="C1130" t="inlineStr">
        <is>
          <t>SEMEAR FERTILIDADE - REPRODUCAO HUMANA LTDA</t>
        </is>
      </c>
    </row>
    <row r="1131">
      <c r="B1131" s="55" t="inlineStr">
        <is>
          <t>22.913.185/0001-68</t>
        </is>
      </c>
      <c r="C1131" t="inlineStr">
        <is>
          <t>ALCHYMIST PREHISTORIC PARK LTDA</t>
        </is>
      </c>
    </row>
    <row r="1132">
      <c r="B1132" s="55" t="inlineStr">
        <is>
          <t>22.913.185/0001-68</t>
        </is>
      </c>
      <c r="C1132" t="inlineStr">
        <is>
          <t>ALCHYMIST PREHISTORIC PARK LTDA</t>
        </is>
      </c>
    </row>
    <row r="1133">
      <c r="B1133" s="55" t="inlineStr">
        <is>
          <t>22.913.185/0001-68</t>
        </is>
      </c>
      <c r="C1133" t="inlineStr">
        <is>
          <t>ALCHYMIST PREHISTORIC PARK LTDA</t>
        </is>
      </c>
    </row>
    <row r="1134">
      <c r="B1134" s="55" t="inlineStr">
        <is>
          <t>22.913.185/0001-68</t>
        </is>
      </c>
      <c r="C1134" t="inlineStr">
        <is>
          <t>ALCHYMIST PREHISTORIC PARK LTDA</t>
        </is>
      </c>
    </row>
    <row r="1135">
      <c r="B1135" s="55" t="inlineStr">
        <is>
          <t>22.932.699/0001-60</t>
        </is>
      </c>
      <c r="C1135" t="inlineStr">
        <is>
          <t>DFS HOLDING S.A.</t>
        </is>
      </c>
    </row>
    <row r="1136">
      <c r="B1136" s="55" t="inlineStr">
        <is>
          <t>22.932.699/0001-60</t>
        </is>
      </c>
      <c r="C1136" t="inlineStr">
        <is>
          <t>DFS HOLDING S.A.</t>
        </is>
      </c>
    </row>
    <row r="1137">
      <c r="B1137" s="55" t="inlineStr">
        <is>
          <t>22.932.699/0001-60</t>
        </is>
      </c>
      <c r="C1137" t="inlineStr">
        <is>
          <t>DFS HOLDING S.A.</t>
        </is>
      </c>
    </row>
    <row r="1138">
      <c r="B1138" s="55" t="inlineStr">
        <is>
          <t>22.932.699/0001-60</t>
        </is>
      </c>
      <c r="C1138" t="inlineStr">
        <is>
          <t>DFS HOLDING S.A.</t>
        </is>
      </c>
    </row>
    <row r="1139">
      <c r="B1139" s="55" t="inlineStr">
        <is>
          <t>22.945.839/0001-35</t>
        </is>
      </c>
      <c r="C1139" t="inlineStr">
        <is>
          <t>VINILTEC INDUSTRIA DE PISCINAS LTDA</t>
        </is>
      </c>
    </row>
    <row r="1140">
      <c r="B1140" s="55" t="inlineStr">
        <is>
          <t>22.945.839/0001-35</t>
        </is>
      </c>
      <c r="C1140" t="inlineStr">
        <is>
          <t>VINILTEC INDUSTRIA DE PISCINAS LTDA</t>
        </is>
      </c>
    </row>
    <row r="1141">
      <c r="B1141" s="55" t="inlineStr">
        <is>
          <t>22.970.003/0001-90</t>
        </is>
      </c>
      <c r="C1141" t="inlineStr">
        <is>
          <t>LALEBLU ARTIGOS INFANTIS E ACESSORIOS LTDA</t>
        </is>
      </c>
    </row>
    <row r="1142">
      <c r="B1142" s="55" t="inlineStr">
        <is>
          <t>23.020.896/0001-76</t>
        </is>
      </c>
      <c r="C1142" t="inlineStr">
        <is>
          <t>VALUE CODE DESENVOLVIMENTO DE SOFTWARE E SERVICOS LTDA</t>
        </is>
      </c>
    </row>
    <row r="1143">
      <c r="B1143" s="55" t="inlineStr">
        <is>
          <t>23.342.728/0001-05</t>
        </is>
      </c>
      <c r="C1143" t="inlineStr">
        <is>
          <t>CURARE LIMITADA</t>
        </is>
      </c>
    </row>
    <row r="1144">
      <c r="B1144" s="55" t="inlineStr">
        <is>
          <t>23.342.728/0001-05</t>
        </is>
      </c>
      <c r="C1144" t="inlineStr">
        <is>
          <t>CURARE LIMITADA</t>
        </is>
      </c>
    </row>
    <row r="1145">
      <c r="B1145" s="55" t="inlineStr">
        <is>
          <t>23.342.728/0001-05</t>
        </is>
      </c>
      <c r="C1145" t="inlineStr">
        <is>
          <t>CURARE LIMITADA</t>
        </is>
      </c>
    </row>
    <row r="1146">
      <c r="B1146" s="55" t="inlineStr">
        <is>
          <t>23.350.687/0001-90</t>
        </is>
      </c>
      <c r="C1146" t="inlineStr">
        <is>
          <t>AEGIS INDUSTRIA E COMERCIO DE ILUMINACAO LTDA</t>
        </is>
      </c>
    </row>
    <row r="1147">
      <c r="B1147" s="55" t="inlineStr">
        <is>
          <t>23.351.345/0001-95</t>
        </is>
      </c>
      <c r="C1147" t="inlineStr">
        <is>
          <t>OCEAN JERI TAXI AEREO LTDA</t>
        </is>
      </c>
    </row>
    <row r="1148">
      <c r="B1148" s="55" t="inlineStr">
        <is>
          <t>23.351.345/0001-95</t>
        </is>
      </c>
      <c r="C1148" t="inlineStr">
        <is>
          <t>OCEAN JERI TAXI AEREO LTDA</t>
        </is>
      </c>
    </row>
    <row r="1149">
      <c r="B1149" s="55" t="inlineStr">
        <is>
          <t>23.351.345/0001-95</t>
        </is>
      </c>
      <c r="C1149" t="inlineStr">
        <is>
          <t>OCEAN JERI TAXI AEREO LTDA</t>
        </is>
      </c>
    </row>
    <row r="1150">
      <c r="B1150" s="55" t="inlineStr">
        <is>
          <t>23.353.693/0001-00</t>
        </is>
      </c>
      <c r="C1150" t="inlineStr">
        <is>
          <t>LIV UP COMERCIO DE ALIMENTOS LTDA</t>
        </is>
      </c>
    </row>
    <row r="1151">
      <c r="B1151" s="55" t="inlineStr">
        <is>
          <t>23.353.693/0001-00</t>
        </is>
      </c>
      <c r="C1151" t="inlineStr">
        <is>
          <t>LIV UP COMERCIO DE ALIMENTOS LTDA</t>
        </is>
      </c>
    </row>
    <row r="1152">
      <c r="B1152" s="55" t="inlineStr">
        <is>
          <t>23.377.031/0001-61</t>
        </is>
      </c>
      <c r="C1152" t="inlineStr">
        <is>
          <t>PULSAR CULTURA E ESPORTE LTDA</t>
        </is>
      </c>
    </row>
    <row r="1153">
      <c r="B1153" s="55" t="inlineStr">
        <is>
          <t>23.432.890/0001-06</t>
        </is>
      </c>
      <c r="C1153" t="inlineStr">
        <is>
          <t>LIUV SERVICOS TECNOLOGICOS SA (baixada)</t>
        </is>
      </c>
    </row>
    <row r="1154">
      <c r="B1154" s="55" t="inlineStr">
        <is>
          <t>23.625.574/0001-50</t>
        </is>
      </c>
      <c r="C1154" t="inlineStr">
        <is>
          <t>NE DIGITAL LTDA</t>
        </is>
      </c>
    </row>
    <row r="1155">
      <c r="B1155" s="55" t="inlineStr">
        <is>
          <t>23.789.922/0001-25</t>
        </is>
      </c>
      <c r="C1155" t="inlineStr">
        <is>
          <t>TRAVELRUN VIAGENS E TURISMO LTDA</t>
        </is>
      </c>
    </row>
    <row r="1156">
      <c r="B1156" s="55" t="inlineStr">
        <is>
          <t>23.789.922/0001-25</t>
        </is>
      </c>
      <c r="C1156" t="inlineStr">
        <is>
          <t>TRAVELRUN VIAGENS E TURISMO LTDA</t>
        </is>
      </c>
    </row>
    <row r="1157">
      <c r="B1157" s="55" t="inlineStr">
        <is>
          <t>23.789.922/0001-25</t>
        </is>
      </c>
      <c r="C1157" t="inlineStr">
        <is>
          <t>TRAVELRUN VIAGENS E TURISMO LTDA</t>
        </is>
      </c>
    </row>
    <row r="1158">
      <c r="B1158" s="55" t="inlineStr">
        <is>
          <t>23.877.653/0001-59</t>
        </is>
      </c>
      <c r="C1158" t="inlineStr">
        <is>
          <t>OMID SOLUTIONS TECNOLOGIA S.A.</t>
        </is>
      </c>
    </row>
    <row r="1159">
      <c r="B1159" s="55" t="inlineStr">
        <is>
          <t>23.877.653/0001-59</t>
        </is>
      </c>
      <c r="C1159" t="inlineStr">
        <is>
          <t>OMID SOLUTIONS TECNOLOGIA S.A.</t>
        </is>
      </c>
    </row>
    <row r="1160">
      <c r="B1160" s="55" t="inlineStr">
        <is>
          <t>23.900.975/0001-71</t>
        </is>
      </c>
      <c r="C1160" t="inlineStr">
        <is>
          <t>DOUTORES DA WEB TECNOLOGIA DIGITAL LTDA.</t>
        </is>
      </c>
    </row>
    <row r="1161">
      <c r="B1161" s="55" t="inlineStr">
        <is>
          <t>23.933.434/0001-40</t>
        </is>
      </c>
      <c r="C1161" t="inlineStr">
        <is>
          <t>ECORI ADMINISTRACAO LTDA</t>
        </is>
      </c>
    </row>
    <row r="1162">
      <c r="B1162" s="55" t="inlineStr">
        <is>
          <t>23.935.460/0001-07</t>
        </is>
      </c>
      <c r="C1162" t="inlineStr">
        <is>
          <t>HIBIKE MOBILIDADE URBANA COMUNICACAO E NEGOCIOS LTDA.</t>
        </is>
      </c>
    </row>
    <row r="1163">
      <c r="B1163" s="55" t="inlineStr">
        <is>
          <t>23.965.472/0001-84</t>
        </is>
      </c>
      <c r="C1163" t="inlineStr">
        <is>
          <t>SUPER MENU SOLUCOES E DESENVOLVIMENTO WEB LTDA</t>
        </is>
      </c>
    </row>
    <row r="1164">
      <c r="B1164" s="55" t="inlineStr">
        <is>
          <t>24.130.812/0001-10</t>
        </is>
      </c>
      <c r="C1164" t="inlineStr">
        <is>
          <t>DZENVOLVE SOLUCOES ESTRATEGICAS LTDA</t>
        </is>
      </c>
    </row>
    <row r="1165">
      <c r="B1165" s="55" t="inlineStr">
        <is>
          <t>24.153.296/0001-49</t>
        </is>
      </c>
      <c r="C1165" t="inlineStr">
        <is>
          <t>XP FRANQUIAS LTDA</t>
        </is>
      </c>
    </row>
    <row r="1166">
      <c r="B1166" s="55" t="inlineStr">
        <is>
          <t>24.153.296/0001-49</t>
        </is>
      </c>
      <c r="C1166" t="inlineStr">
        <is>
          <t>XP FRANQUIAS LTDA</t>
        </is>
      </c>
    </row>
    <row r="1167">
      <c r="B1167" s="55" t="inlineStr">
        <is>
          <t>24.153.296/0001-49</t>
        </is>
      </c>
      <c r="C1167" t="inlineStr">
        <is>
          <t>XP FRANQUIAS LTDA</t>
        </is>
      </c>
    </row>
    <row r="1168">
      <c r="B1168" s="55" t="inlineStr">
        <is>
          <t>24.166.332/0001-09</t>
        </is>
      </c>
      <c r="C1168" t="inlineStr">
        <is>
          <t>DENTAL MACEIO LTDA</t>
        </is>
      </c>
    </row>
    <row r="1169">
      <c r="B1169" s="55" t="inlineStr">
        <is>
          <t>24.166.332/0001-09</t>
        </is>
      </c>
      <c r="C1169" t="inlineStr">
        <is>
          <t>DENTAL MACEIO LTDA</t>
        </is>
      </c>
    </row>
    <row r="1170">
      <c r="B1170" s="55" t="inlineStr">
        <is>
          <t>24.166.332/0001-09</t>
        </is>
      </c>
      <c r="C1170" t="inlineStr">
        <is>
          <t>DENTAL MACEIO LTDA</t>
        </is>
      </c>
    </row>
    <row r="1171">
      <c r="B1171" s="55" t="inlineStr">
        <is>
          <t>24.594.117/0001-09</t>
        </is>
      </c>
      <c r="C1171" t="inlineStr">
        <is>
          <t>BOOZ OPERADORA DE VIAGENS LTDA</t>
        </is>
      </c>
    </row>
    <row r="1172">
      <c r="B1172" s="55" t="inlineStr">
        <is>
          <t>24.594.117/0001-09</t>
        </is>
      </c>
      <c r="C1172" t="inlineStr">
        <is>
          <t>BOOZ OPERADORA DE VIAGENS LTDA</t>
        </is>
      </c>
    </row>
    <row r="1173">
      <c r="B1173" s="55" t="inlineStr">
        <is>
          <t>24.594.117/0001-09</t>
        </is>
      </c>
      <c r="C1173" t="inlineStr">
        <is>
          <t>BOOZ OPERADORA DE VIAGENS LTDA</t>
        </is>
      </c>
    </row>
    <row r="1174">
      <c r="B1174" s="55" t="inlineStr">
        <is>
          <t>24.676.135/0001-30</t>
        </is>
      </c>
      <c r="C1174" t="inlineStr">
        <is>
          <t>RM COMERCIO DE ARTIGOS INFANTIS LTDA.</t>
        </is>
      </c>
    </row>
    <row r="1175">
      <c r="B1175" s="55" t="inlineStr">
        <is>
          <t>24.676.135/0001-30</t>
        </is>
      </c>
      <c r="C1175" t="inlineStr">
        <is>
          <t>RM COMERCIO DE ARTIGOS INFANTIS LTDA.</t>
        </is>
      </c>
    </row>
    <row r="1176">
      <c r="B1176" s="55" t="inlineStr">
        <is>
          <t>24.676.135/0001-30</t>
        </is>
      </c>
      <c r="C1176" t="inlineStr">
        <is>
          <t>RM COMERCIO DE ARTIGOS INFANTIS LTDA.</t>
        </is>
      </c>
    </row>
    <row r="1177">
      <c r="B1177" s="55" t="inlineStr">
        <is>
          <t>24.835.569/0002-16</t>
        </is>
      </c>
      <c r="C1177" t="inlineStr">
        <is>
          <t>BT03 VITORIA FITNESS CENTER ACADEMIA DE GINASTICA S.A.</t>
        </is>
      </c>
    </row>
    <row r="1178">
      <c r="B1178" s="55" t="inlineStr">
        <is>
          <t>24.835.569/0002-16</t>
        </is>
      </c>
      <c r="C1178" t="inlineStr">
        <is>
          <t>BT03 VITORIA FITNESS CENTER ACADEMIA DE GINASTICA S.A.</t>
        </is>
      </c>
    </row>
    <row r="1179">
      <c r="B1179" s="55" t="inlineStr">
        <is>
          <t>24.922.727/0001-94</t>
        </is>
      </c>
      <c r="C1179" t="inlineStr">
        <is>
          <t>NUC TECNOLOGIA LTDA</t>
        </is>
      </c>
    </row>
    <row r="1180">
      <c r="B1180" s="55" t="inlineStr">
        <is>
          <t>24.955.190/0001-69</t>
        </is>
      </c>
      <c r="C1180" t="inlineStr">
        <is>
          <t>ERA COMERCIO E IMPORTACAO DE PRODUTOS NATURAIS LTDA</t>
        </is>
      </c>
    </row>
    <row r="1181">
      <c r="B1181" s="55" t="inlineStr">
        <is>
          <t>25.047.149/0001-57</t>
        </is>
      </c>
      <c r="C1181" t="inlineStr">
        <is>
          <t>BRANDSTER PALESTRAS E CURSOS LTDA</t>
        </is>
      </c>
    </row>
    <row r="1182">
      <c r="B1182" s="55" t="inlineStr">
        <is>
          <t>25.116.805/0001-26</t>
        </is>
      </c>
      <c r="C1182" t="inlineStr">
        <is>
          <t>ESCRITORIO ADMINISTRATIVO CLINICAS INTELIGENTES LTDA</t>
        </is>
      </c>
    </row>
    <row r="1183">
      <c r="B1183" s="55" t="inlineStr">
        <is>
          <t>25.116.805/0001-26</t>
        </is>
      </c>
      <c r="C1183" t="inlineStr">
        <is>
          <t>ESCRITORIO ADMINISTRATIVO CLINICAS INTELIGENTES LTDA</t>
        </is>
      </c>
    </row>
    <row r="1184">
      <c r="B1184" s="55" t="inlineStr">
        <is>
          <t>25.156.637/0002-83</t>
        </is>
      </c>
      <c r="C1184" t="inlineStr">
        <is>
          <t>BLO SUPERMERCADO EIRELI (baixada)</t>
        </is>
      </c>
    </row>
    <row r="1185">
      <c r="B1185" s="55" t="inlineStr">
        <is>
          <t>25.189.943/0001-35</t>
        </is>
      </c>
      <c r="C1185" t="inlineStr">
        <is>
          <t>PAGUE.LA PAGAMENTOS LTDA</t>
        </is>
      </c>
    </row>
    <row r="1186">
      <c r="B1186" s="55" t="inlineStr">
        <is>
          <t>25.382.893/0001-08</t>
        </is>
      </c>
      <c r="C1186" t="inlineStr">
        <is>
          <t>E-PECA DESENVOLVIMENTO DE SISTEMAS LTDA</t>
        </is>
      </c>
    </row>
    <row r="1187">
      <c r="B1187" s="55" t="inlineStr">
        <is>
          <t>25.404.087/0001-93</t>
        </is>
      </c>
      <c r="C1187" t="inlineStr">
        <is>
          <t>INTERATIV SOFTWARE E TECNOLOGIA LTDA EM LIQUIDACAO</t>
        </is>
      </c>
    </row>
    <row r="1188">
      <c r="B1188" s="55" t="inlineStr">
        <is>
          <t>25.448.394/0001-76</t>
        </is>
      </c>
      <c r="C1188" t="inlineStr">
        <is>
          <t>EMPORIO SAUDAVEL COMERCIO DE ALIMENTOS LTDA</t>
        </is>
      </c>
    </row>
    <row r="1189">
      <c r="B1189" s="55" t="inlineStr">
        <is>
          <t>25.448.394/0001-76</t>
        </is>
      </c>
      <c r="C1189" t="inlineStr">
        <is>
          <t>EMPORIO SAUDAVEL COMERCIO DE ALIMENTOS LTDA</t>
        </is>
      </c>
    </row>
    <row r="1190">
      <c r="B1190" s="55" t="inlineStr">
        <is>
          <t>25.448.394/0001-76</t>
        </is>
      </c>
      <c r="C1190" t="inlineStr">
        <is>
          <t>EMPORIO SAUDAVEL COMERCIO DE ALIMENTOS LTDA</t>
        </is>
      </c>
    </row>
    <row r="1191">
      <c r="B1191" s="55" t="inlineStr">
        <is>
          <t>25.448.394/0001-76</t>
        </is>
      </c>
      <c r="C1191" t="inlineStr">
        <is>
          <t>EMPORIO SAUDAVEL COMERCIO DE ALIMENTOS LTDA</t>
        </is>
      </c>
    </row>
    <row r="1192">
      <c r="B1192" s="55" t="inlineStr">
        <is>
          <t>25.618.174/0001-43</t>
        </is>
      </c>
      <c r="C1192" t="inlineStr">
        <is>
          <t>CASA UNICA MATERIAIS PARA CONSTRUCAO LTDA</t>
        </is>
      </c>
    </row>
    <row r="1193">
      <c r="B1193" s="55" t="inlineStr">
        <is>
          <t>25.618.174/0001-43</t>
        </is>
      </c>
      <c r="C1193" t="inlineStr">
        <is>
          <t>CASA UNICA MATERIAIS PARA CONSTRUCAO LTDA</t>
        </is>
      </c>
    </row>
    <row r="1194">
      <c r="B1194" s="55" t="inlineStr">
        <is>
          <t>25.618.174/0001-43</t>
        </is>
      </c>
      <c r="C1194" t="inlineStr">
        <is>
          <t>CASA UNICA MATERIAIS PARA CONSTRUCAO LTDA</t>
        </is>
      </c>
    </row>
    <row r="1195">
      <c r="B1195" s="55" t="inlineStr">
        <is>
          <t>25.618.174/0001-43</t>
        </is>
      </c>
      <c r="C1195" t="inlineStr">
        <is>
          <t>CASA UNICA MATERIAIS PARA CONSTRUCAO LTDA</t>
        </is>
      </c>
    </row>
    <row r="1196">
      <c r="B1196" s="55" t="inlineStr">
        <is>
          <t>25.618.174/0001-43</t>
        </is>
      </c>
      <c r="C1196" t="inlineStr">
        <is>
          <t>CASA UNICA MATERIAIS PARA CONSTRUCAO LTDA</t>
        </is>
      </c>
    </row>
    <row r="1197">
      <c r="B1197" s="55" t="inlineStr">
        <is>
          <t>25.965.815/0001-36</t>
        </is>
      </c>
      <c r="C1197" t="inlineStr">
        <is>
          <t>HOTEL FAZENDA VALE SUICO LTDA</t>
        </is>
      </c>
    </row>
    <row r="1198">
      <c r="B1198" s="55" t="inlineStr">
        <is>
          <t>25.965.815/0001-36</t>
        </is>
      </c>
      <c r="C1198" t="inlineStr">
        <is>
          <t>HOTEL FAZENDA VALE SUICO LTDA</t>
        </is>
      </c>
    </row>
    <row r="1199">
      <c r="B1199" s="55" t="inlineStr">
        <is>
          <t>25.965.815/0001-36</t>
        </is>
      </c>
      <c r="C1199" t="inlineStr">
        <is>
          <t>HOTEL FAZENDA VALE SUICO LTDA</t>
        </is>
      </c>
    </row>
    <row r="1200">
      <c r="B1200" s="55" t="inlineStr">
        <is>
          <t>25.965.815/0001-36</t>
        </is>
      </c>
      <c r="C1200" t="inlineStr">
        <is>
          <t>HOTEL FAZENDA VALE SUICO LTDA</t>
        </is>
      </c>
    </row>
    <row r="1201">
      <c r="B1201" s="55" t="inlineStr">
        <is>
          <t>25.965.815/0001-36</t>
        </is>
      </c>
      <c r="C1201" t="inlineStr">
        <is>
          <t>HOTEL FAZENDA VALE SUICO LTDA</t>
        </is>
      </c>
    </row>
    <row r="1202">
      <c r="B1202" s="55" t="inlineStr">
        <is>
          <t>25.965.815/0001-36</t>
        </is>
      </c>
      <c r="C1202" t="inlineStr">
        <is>
          <t>HOTEL FAZENDA VALE SUICO LTDA</t>
        </is>
      </c>
    </row>
    <row r="1203">
      <c r="B1203" s="55" t="inlineStr">
        <is>
          <t>26.011.011/0001-60</t>
        </is>
      </c>
      <c r="C1203" t="inlineStr">
        <is>
          <t>SAUDAVEL TO BE COMERCIO DE PRODUTOS ALIMENTICIOS LTDA.</t>
        </is>
      </c>
    </row>
    <row r="1204">
      <c r="B1204" s="55" t="inlineStr">
        <is>
          <t>26.011.011/0001-60</t>
        </is>
      </c>
      <c r="C1204" t="inlineStr">
        <is>
          <t>SAUDAVEL TO BE COMERCIO DE PRODUTOS ALIMENTICIOS LTDA.</t>
        </is>
      </c>
    </row>
    <row r="1205">
      <c r="B1205" s="55" t="inlineStr">
        <is>
          <t>26.011.011/0001-60</t>
        </is>
      </c>
      <c r="C1205" t="inlineStr">
        <is>
          <t>SAUDAVEL TO BE COMERCIO DE PRODUTOS ALIMENTICIOS LTDA.</t>
        </is>
      </c>
    </row>
    <row r="1206">
      <c r="B1206" s="55" t="inlineStr">
        <is>
          <t>26.107.555/0001-20</t>
        </is>
      </c>
      <c r="C1206" t="inlineStr">
        <is>
          <t>PETLIG SOCIAL COMERCIO VIRTUAL LTDA</t>
        </is>
      </c>
    </row>
    <row r="1207">
      <c r="B1207" s="55" t="inlineStr">
        <is>
          <t>26.137.597/0001-04</t>
        </is>
      </c>
      <c r="C1207" t="inlineStr">
        <is>
          <t>CORUN TATTOO MACHINE LTDA</t>
        </is>
      </c>
    </row>
    <row r="1208">
      <c r="B1208" s="55" t="inlineStr">
        <is>
          <t>26.183.032/0001-63</t>
        </is>
      </c>
      <c r="C1208" t="inlineStr">
        <is>
          <t>PAYAMIGO BRASIL MEIOS DE PAGAMENTO LTDA</t>
        </is>
      </c>
    </row>
    <row r="1209">
      <c r="B1209" s="55" t="inlineStr">
        <is>
          <t>26.183.032/0001-63</t>
        </is>
      </c>
      <c r="C1209" t="inlineStr">
        <is>
          <t>PAYAMIGO BRASIL MEIOS DE PAGAMENTO LTDA</t>
        </is>
      </c>
    </row>
    <row r="1210">
      <c r="B1210" s="55" t="inlineStr">
        <is>
          <t>26.183.032/0001-63</t>
        </is>
      </c>
      <c r="C1210" t="inlineStr">
        <is>
          <t>PAYAMIGO BRASIL MEIOS DE PAGAMENTO LTDA</t>
        </is>
      </c>
    </row>
    <row r="1211">
      <c r="B1211" s="55" t="inlineStr">
        <is>
          <t>26.183.032/0001-63</t>
        </is>
      </c>
      <c r="C1211" t="inlineStr">
        <is>
          <t>PAYAMIGO BRASIL MEIOS DE PAGAMENTO LTDA</t>
        </is>
      </c>
    </row>
    <row r="1212">
      <c r="B1212" s="55" t="inlineStr">
        <is>
          <t>26.240.625/0001-14</t>
        </is>
      </c>
      <c r="C1212" t="inlineStr">
        <is>
          <t>DROGARIA W. &amp; L. LTDA</t>
        </is>
      </c>
    </row>
    <row r="1213">
      <c r="B1213" s="55" t="inlineStr">
        <is>
          <t>26.240.625/0001-14</t>
        </is>
      </c>
      <c r="C1213" t="inlineStr">
        <is>
          <t>DROGARIA W. &amp; L. LTDA</t>
        </is>
      </c>
    </row>
    <row r="1214">
      <c r="B1214" s="55" t="inlineStr">
        <is>
          <t>26.240.625/0001-14</t>
        </is>
      </c>
      <c r="C1214" t="inlineStr">
        <is>
          <t>DROGARIA W. &amp; L. LTDA</t>
        </is>
      </c>
    </row>
    <row r="1215">
      <c r="B1215" s="55" t="inlineStr">
        <is>
          <t>26.263.143/0001-80</t>
        </is>
      </c>
      <c r="C1215" t="inlineStr">
        <is>
          <t>AMAZ NUTRITION LTDA</t>
        </is>
      </c>
    </row>
    <row r="1216">
      <c r="B1216" s="55" t="inlineStr">
        <is>
          <t>26.263.143/0001-80</t>
        </is>
      </c>
      <c r="C1216" t="inlineStr">
        <is>
          <t>AMAZ NUTRITION LTDA</t>
        </is>
      </c>
    </row>
    <row r="1217">
      <c r="B1217" s="55" t="inlineStr">
        <is>
          <t>26.312.724/0001-64</t>
        </is>
      </c>
      <c r="C1217" t="inlineStr">
        <is>
          <t>MEGA BRASIL DISTRIBUIDORA DE GENEROS ALIMENTICIOS LTDA</t>
        </is>
      </c>
    </row>
    <row r="1218">
      <c r="B1218" s="55" t="inlineStr">
        <is>
          <t>26.324.270/0001-41</t>
        </is>
      </c>
      <c r="C1218" t="inlineStr">
        <is>
          <t>DROGARIA C. P. CORDEIROPOLIS LTDA</t>
        </is>
      </c>
    </row>
    <row r="1219">
      <c r="B1219" s="55" t="inlineStr">
        <is>
          <t>26.324.270/0001-41</t>
        </is>
      </c>
      <c r="C1219" t="inlineStr">
        <is>
          <t>DROGARIA C. P. CORDEIROPOLIS LTDA</t>
        </is>
      </c>
    </row>
    <row r="1220">
      <c r="B1220" s="55" t="inlineStr">
        <is>
          <t>26.324.270/0001-41</t>
        </is>
      </c>
      <c r="C1220" t="inlineStr">
        <is>
          <t>DROGARIA C. P. CORDEIROPOLIS LTDA</t>
        </is>
      </c>
    </row>
    <row r="1221">
      <c r="B1221" s="55" t="inlineStr">
        <is>
          <t>26.335.362/0001-27</t>
        </is>
      </c>
      <c r="C1221" t="inlineStr">
        <is>
          <t>EVENTPLACE SOLUCOES DIGITAIS LTDA</t>
        </is>
      </c>
    </row>
    <row r="1222">
      <c r="B1222" s="55" t="inlineStr">
        <is>
          <t>26.351.150/0001-33</t>
        </is>
      </c>
      <c r="C1222" t="inlineStr">
        <is>
          <t>MOOVRE S.A.</t>
        </is>
      </c>
    </row>
    <row r="1223">
      <c r="B1223" s="55" t="inlineStr">
        <is>
          <t>26.404.731/0001-96</t>
        </is>
      </c>
      <c r="C1223" t="inlineStr">
        <is>
          <t>ELETROZEMA S/A</t>
        </is>
      </c>
    </row>
    <row r="1224">
      <c r="B1224" s="55" t="inlineStr">
        <is>
          <t>26.404.731/0263-14</t>
        </is>
      </c>
      <c r="C1224" t="inlineStr">
        <is>
          <t>ELETROZEMA S/A</t>
        </is>
      </c>
    </row>
    <row r="1225">
      <c r="B1225" s="55" t="inlineStr">
        <is>
          <t>26.404.731/0263-14</t>
        </is>
      </c>
      <c r="C1225" t="inlineStr">
        <is>
          <t>ELETROZEMA S/A</t>
        </is>
      </c>
    </row>
    <row r="1226">
      <c r="B1226" s="55" t="inlineStr">
        <is>
          <t>26.404.731/0263-14</t>
        </is>
      </c>
      <c r="C1226" t="inlineStr">
        <is>
          <t>ELETROZEMA S/A</t>
        </is>
      </c>
    </row>
    <row r="1227">
      <c r="B1227" s="55" t="inlineStr">
        <is>
          <t>26.443.804/0003-10</t>
        </is>
      </c>
      <c r="C1227" t="inlineStr">
        <is>
          <t>SR ACABAMENTOS E MATERIAIS PARA CONSTRUCAO LTDA</t>
        </is>
      </c>
    </row>
    <row r="1228">
      <c r="B1228" s="55" t="inlineStr">
        <is>
          <t>26.443.804/0003-10</t>
        </is>
      </c>
      <c r="C1228" t="inlineStr">
        <is>
          <t>SR ACABAMENTOS E MATERIAIS PARA CONSTRUCAO LTDA</t>
        </is>
      </c>
    </row>
    <row r="1229">
      <c r="B1229" s="55" t="inlineStr">
        <is>
          <t>26.496.144/0001-74</t>
        </is>
      </c>
      <c r="C1229" t="inlineStr">
        <is>
          <t>LE CORDON BLEU ANIMA EDUCACAO LTDA</t>
        </is>
      </c>
    </row>
    <row r="1230">
      <c r="B1230" s="55" t="inlineStr">
        <is>
          <t>26.496.144/0001-74</t>
        </is>
      </c>
      <c r="C1230" t="inlineStr">
        <is>
          <t>LE CORDON BLEU ANIMA EDUCACAO LTDA</t>
        </is>
      </c>
    </row>
    <row r="1231">
      <c r="B1231" s="55" t="inlineStr">
        <is>
          <t>26.496.144/0001-74</t>
        </is>
      </c>
      <c r="C1231" t="inlineStr">
        <is>
          <t>LE CORDON BLEU ANIMA EDUCACAO LTDA</t>
        </is>
      </c>
    </row>
    <row r="1232">
      <c r="B1232" s="55" t="inlineStr">
        <is>
          <t>26.502.092/0002-82</t>
        </is>
      </c>
      <c r="C1232" t="inlineStr">
        <is>
          <t>ACADEMIA DE GINASTICA NOVA PAULISTA LTDA.</t>
        </is>
      </c>
    </row>
    <row r="1233">
      <c r="B1233" s="55" t="inlineStr">
        <is>
          <t>26.502.092/0003-63</t>
        </is>
      </c>
      <c r="C1233" t="inlineStr">
        <is>
          <t>ACADEMIA DE GINASTICA NOVA PAULISTA LTDA.</t>
        </is>
      </c>
    </row>
    <row r="1234">
      <c r="B1234" s="55" t="inlineStr">
        <is>
          <t>26.502.092/0003-63</t>
        </is>
      </c>
      <c r="C1234" t="inlineStr">
        <is>
          <t>ACADEMIA DE GINASTICA NOVA PAULISTA LTDA.</t>
        </is>
      </c>
    </row>
    <row r="1235">
      <c r="B1235" s="55" t="inlineStr">
        <is>
          <t>26.520.188/0001-92</t>
        </is>
      </c>
      <c r="C1235" t="inlineStr">
        <is>
          <t>INSIDER COMERCIO E CONFECCAO DE PECAS DO VESTUARIO LTDA</t>
        </is>
      </c>
    </row>
    <row r="1236">
      <c r="B1236" s="55" t="inlineStr">
        <is>
          <t>26.520.188/0001-92</t>
        </is>
      </c>
      <c r="C1236" t="inlineStr">
        <is>
          <t>INSIDER COMERCIO E CONFECCAO DE PECAS DO VESTUARIO LTDA</t>
        </is>
      </c>
    </row>
    <row r="1237">
      <c r="B1237" s="55" t="inlineStr">
        <is>
          <t>26.520.188/0001-92</t>
        </is>
      </c>
      <c r="C1237" t="inlineStr">
        <is>
          <t>INSIDER COMERCIO E CONFECCAO DE PECAS DO VESTUARIO LTDA</t>
        </is>
      </c>
    </row>
    <row r="1238">
      <c r="B1238" s="55" t="inlineStr">
        <is>
          <t>26.522.208/0003-26</t>
        </is>
      </c>
      <c r="C1238" t="inlineStr">
        <is>
          <t>RESERVA COMERCIO EXTERIOR LTDA</t>
        </is>
      </c>
    </row>
    <row r="1239">
      <c r="B1239" s="55" t="inlineStr">
        <is>
          <t>26.522.208/0003-26</t>
        </is>
      </c>
      <c r="C1239" t="inlineStr">
        <is>
          <t>RESERVA COMERCIO EXTERIOR LTDA</t>
        </is>
      </c>
    </row>
    <row r="1240">
      <c r="B1240" s="55" t="inlineStr">
        <is>
          <t>26.535.354/0001-24</t>
        </is>
      </c>
      <c r="C1240" t="inlineStr">
        <is>
          <t>NUSHU TECNOLOGIA LTDA</t>
        </is>
      </c>
    </row>
    <row r="1241">
      <c r="B1241" s="55" t="inlineStr">
        <is>
          <t>26.643.740/0001-30</t>
        </is>
      </c>
      <c r="C1241" t="inlineStr">
        <is>
          <t>ESCOLAS BESA LTDA</t>
        </is>
      </c>
    </row>
    <row r="1242">
      <c r="B1242" s="55" t="inlineStr">
        <is>
          <t>26.643.740/0001-30</t>
        </is>
      </c>
      <c r="C1242" t="inlineStr">
        <is>
          <t>ESCOLAS BESA LTDA</t>
        </is>
      </c>
    </row>
    <row r="1243">
      <c r="B1243" s="55" t="inlineStr">
        <is>
          <t>26.644.170/0001-00</t>
        </is>
      </c>
      <c r="C1243" t="inlineStr">
        <is>
          <t>REPASSA DELIVERY SERVICOS E TECNOLOGIA LTDA</t>
        </is>
      </c>
    </row>
    <row r="1244">
      <c r="B1244" s="55" t="inlineStr">
        <is>
          <t>26.708.965/0001-27</t>
        </is>
      </c>
      <c r="C1244" t="inlineStr">
        <is>
          <t>UNICA DESIGN E MODA EM VESTUARIO LTDA</t>
        </is>
      </c>
    </row>
    <row r="1245">
      <c r="B1245" s="55" t="inlineStr">
        <is>
          <t>26.770.976/0001-37</t>
        </is>
      </c>
      <c r="C1245" t="inlineStr">
        <is>
          <t>BRASIL TUR OPERADORA DE VIAGENS LTDA</t>
        </is>
      </c>
    </row>
    <row r="1246">
      <c r="B1246" s="55" t="inlineStr">
        <is>
          <t>26.828.351/0001-89</t>
        </is>
      </c>
      <c r="C1246" t="inlineStr">
        <is>
          <t>GILSON FARMA LTDA</t>
        </is>
      </c>
    </row>
    <row r="1247">
      <c r="B1247" s="55" t="inlineStr">
        <is>
          <t>26.828.351/0001-89</t>
        </is>
      </c>
      <c r="C1247" t="inlineStr">
        <is>
          <t>GILSON FARMA LTDA</t>
        </is>
      </c>
    </row>
    <row r="1248">
      <c r="B1248" s="55" t="inlineStr">
        <is>
          <t>26.828.351/0001-89</t>
        </is>
      </c>
      <c r="C1248" t="inlineStr">
        <is>
          <t>GILSON FARMA LTDA</t>
        </is>
      </c>
    </row>
    <row r="1249">
      <c r="B1249" s="55" t="inlineStr">
        <is>
          <t>26.951.807/0001-01</t>
        </is>
      </c>
      <c r="C1249" t="inlineStr">
        <is>
          <t>TRIANGULO DROGARIA LTDA.</t>
        </is>
      </c>
    </row>
    <row r="1250">
      <c r="B1250" s="55" t="inlineStr">
        <is>
          <t>26.951.807/0001-01</t>
        </is>
      </c>
      <c r="C1250" t="inlineStr">
        <is>
          <t>TRIANGULO DROGARIA LTDA.</t>
        </is>
      </c>
    </row>
    <row r="1251">
      <c r="B1251" s="55" t="inlineStr">
        <is>
          <t>26.951.807/0001-01</t>
        </is>
      </c>
      <c r="C1251" t="inlineStr">
        <is>
          <t>TRIANGULO DROGARIA LTDA.</t>
        </is>
      </c>
    </row>
    <row r="1252">
      <c r="B1252" s="55" t="inlineStr">
        <is>
          <t>26.969.443/0001-89</t>
        </is>
      </c>
      <c r="C1252" t="inlineStr">
        <is>
          <t>PLAFT OPERADORA DE NEGOCIOS ONLINE LTDA</t>
        </is>
      </c>
    </row>
    <row r="1253">
      <c r="B1253" s="55" t="inlineStr">
        <is>
          <t>26.982.344/0001-37</t>
        </is>
      </c>
      <c r="C1253" t="inlineStr">
        <is>
          <t>LONEC COMERCIO VAREJISTA LTDA</t>
        </is>
      </c>
    </row>
    <row r="1254">
      <c r="B1254" s="55" t="inlineStr">
        <is>
          <t>26.982.344/0001-37</t>
        </is>
      </c>
      <c r="C1254" t="inlineStr">
        <is>
          <t>LONEC COMERCIO VAREJISTA LTDA</t>
        </is>
      </c>
    </row>
    <row r="1255">
      <c r="B1255" s="55" t="inlineStr">
        <is>
          <t>27.046.430/0001-09</t>
        </is>
      </c>
      <c r="C1255" t="inlineStr">
        <is>
          <t>GENESIS TRAINING S/A</t>
        </is>
      </c>
    </row>
    <row r="1256">
      <c r="B1256" s="55" t="inlineStr">
        <is>
          <t>27.073.828/0001-26</t>
        </is>
      </c>
      <c r="C1256" t="inlineStr">
        <is>
          <t>GLORIA MEDICAMENTOS LTDA</t>
        </is>
      </c>
    </row>
    <row r="1257">
      <c r="B1257" s="55" t="inlineStr">
        <is>
          <t>27.073.828/0001-26</t>
        </is>
      </c>
      <c r="C1257" t="inlineStr">
        <is>
          <t>GLORIA MEDICAMENTOS LTDA</t>
        </is>
      </c>
    </row>
    <row r="1258">
      <c r="B1258" s="55" t="inlineStr">
        <is>
          <t>27.073.828/0001-26</t>
        </is>
      </c>
      <c r="C1258" t="inlineStr">
        <is>
          <t>GLORIA MEDICAMENTOS LTDA</t>
        </is>
      </c>
    </row>
    <row r="1259">
      <c r="B1259" s="55" t="inlineStr">
        <is>
          <t>27.076.858/0001-96</t>
        </is>
      </c>
      <c r="C1259" t="inlineStr">
        <is>
          <t>NOVA GERACAO EVENTOS LTDA</t>
        </is>
      </c>
    </row>
    <row r="1260">
      <c r="B1260" s="55" t="inlineStr">
        <is>
          <t>27.177.096/0183-23</t>
        </is>
      </c>
      <c r="C1260" t="inlineStr">
        <is>
          <t>CALCADOS ITAPUA S/A - CISA - EM RECUPERACAO JUDICIAL</t>
        </is>
      </c>
    </row>
    <row r="1261">
      <c r="B1261" s="55" t="inlineStr">
        <is>
          <t>27.178.705/0001-50</t>
        </is>
      </c>
      <c r="C1261" t="inlineStr">
        <is>
          <t>REMATE TECNOLOGIA EM VENDAS LTDA</t>
        </is>
      </c>
    </row>
    <row r="1262">
      <c r="B1262" s="55" t="inlineStr">
        <is>
          <t>27.242.186/0001-41</t>
        </is>
      </c>
      <c r="C1262" t="inlineStr">
        <is>
          <t>ESTUDIO PAPEL PRODUTOS PERSONALIZADOS LTDA</t>
        </is>
      </c>
    </row>
    <row r="1263">
      <c r="B1263" s="55" t="inlineStr">
        <is>
          <t>27.242.186/0001-41</t>
        </is>
      </c>
      <c r="C1263" t="inlineStr">
        <is>
          <t>ESTUDIO PAPEL PRODUTOS PERSONALIZADOS LTDA</t>
        </is>
      </c>
    </row>
    <row r="1264">
      <c r="B1264" s="55" t="inlineStr">
        <is>
          <t>27.243.932/0001-11</t>
        </is>
      </c>
      <c r="C1264" t="inlineStr">
        <is>
          <t>CONECTA FIDELIDADE LTDA</t>
        </is>
      </c>
    </row>
    <row r="1265">
      <c r="B1265" s="55" t="inlineStr">
        <is>
          <t>27.243.932/0001-11</t>
        </is>
      </c>
      <c r="C1265" t="inlineStr">
        <is>
          <t>CONECTA FIDELIDADE LTDA</t>
        </is>
      </c>
    </row>
    <row r="1266">
      <c r="B1266" s="55" t="inlineStr">
        <is>
          <t>27.305.621/0001-30</t>
        </is>
      </c>
      <c r="C1266" t="inlineStr">
        <is>
          <t>SUTSERVICES SOLUCOES EM TECNOLOGIA LTDA</t>
        </is>
      </c>
    </row>
    <row r="1267">
      <c r="B1267" s="55" t="inlineStr">
        <is>
          <t>27.305.621/0001-30</t>
        </is>
      </c>
      <c r="C1267" t="inlineStr">
        <is>
          <t>SUTSERVICES SOLUCOES EM TECNOLOGIA LTDA</t>
        </is>
      </c>
    </row>
    <row r="1268">
      <c r="B1268" s="55" t="inlineStr">
        <is>
          <t>27.361.998/0001-06</t>
        </is>
      </c>
      <c r="C1268" t="inlineStr">
        <is>
          <t>COMERCIAL DE MEDICAMENTOS COMPLEXO PHARMA LTDA</t>
        </is>
      </c>
    </row>
    <row r="1269">
      <c r="B1269" s="55" t="inlineStr">
        <is>
          <t>27.361.998/0001-06</t>
        </is>
      </c>
      <c r="C1269" t="inlineStr">
        <is>
          <t>COMERCIAL DE MEDICAMENTOS COMPLEXO PHARMA LTDA</t>
        </is>
      </c>
    </row>
    <row r="1270">
      <c r="B1270" s="55" t="inlineStr">
        <is>
          <t>27.361.998/0001-06</t>
        </is>
      </c>
      <c r="C1270" t="inlineStr">
        <is>
          <t>COMERCIAL DE MEDICAMENTOS COMPLEXO PHARMA LTDA</t>
        </is>
      </c>
    </row>
    <row r="1271">
      <c r="B1271" s="55" t="inlineStr">
        <is>
          <t>27.363.203/0001-07</t>
        </is>
      </c>
      <c r="C1271" t="inlineStr">
        <is>
          <t>PIVOT 30 INDUSTRIA DE VINHOS LTDA</t>
        </is>
      </c>
    </row>
    <row r="1272">
      <c r="B1272" s="55" t="inlineStr">
        <is>
          <t>27.363.203/0001-07</t>
        </is>
      </c>
      <c r="C1272" t="inlineStr">
        <is>
          <t>PIVOT 30 INDUSTRIA DE VINHOS LTDA</t>
        </is>
      </c>
    </row>
    <row r="1273">
      <c r="B1273" s="55" t="inlineStr">
        <is>
          <t>27.363.203/0001-07</t>
        </is>
      </c>
      <c r="C1273" t="inlineStr">
        <is>
          <t>PIVOT 30 INDUSTRIA DE VINHOS LTDA</t>
        </is>
      </c>
    </row>
    <row r="1274">
      <c r="B1274" s="55" t="inlineStr">
        <is>
          <t>27.363.203/0001-07</t>
        </is>
      </c>
      <c r="C1274" t="inlineStr">
        <is>
          <t>PIVOT 30 INDUSTRIA DE VINHOS LTDA</t>
        </is>
      </c>
    </row>
    <row r="1275">
      <c r="B1275" s="55" t="inlineStr">
        <is>
          <t>27.363.203/0001-07</t>
        </is>
      </c>
      <c r="C1275" t="inlineStr">
        <is>
          <t>PIVOT 30 INDUSTRIA DE VINHOS LTDA</t>
        </is>
      </c>
    </row>
    <row r="1276">
      <c r="B1276" s="55" t="inlineStr">
        <is>
          <t>27.413.812/0001-15</t>
        </is>
      </c>
      <c r="C1276" t="inlineStr">
        <is>
          <t>SMILES VIAGENS E TURISMO S.A.</t>
        </is>
      </c>
    </row>
    <row r="1277">
      <c r="B1277" s="55" t="inlineStr">
        <is>
          <t>27.413.812/0001-15</t>
        </is>
      </c>
      <c r="C1277" t="inlineStr">
        <is>
          <t>SMILES VIAGENS E TURISMO S.A.</t>
        </is>
      </c>
    </row>
    <row r="1278">
      <c r="B1278" s="55" t="inlineStr">
        <is>
          <t>27.481.480/0001-06</t>
        </is>
      </c>
      <c r="C1278" t="inlineStr">
        <is>
          <t>MATIAS DOS SANTOS PARTICIPACOES LTDA</t>
        </is>
      </c>
    </row>
    <row r="1279">
      <c r="B1279" s="55" t="inlineStr">
        <is>
          <t>27.520.044/0001-07</t>
        </is>
      </c>
      <c r="C1279" t="inlineStr">
        <is>
          <t>FARMACIA BARBIERO LTDA</t>
        </is>
      </c>
    </row>
    <row r="1280">
      <c r="B1280" s="55" t="inlineStr">
        <is>
          <t>27.520.044/0001-07</t>
        </is>
      </c>
      <c r="C1280" t="inlineStr">
        <is>
          <t>FARMACIA BARBIERO LTDA</t>
        </is>
      </c>
    </row>
    <row r="1281">
      <c r="B1281" s="55" t="inlineStr">
        <is>
          <t>27.520.044/0001-07</t>
        </is>
      </c>
      <c r="C1281" t="inlineStr">
        <is>
          <t>FARMACIA BARBIERO LTDA</t>
        </is>
      </c>
    </row>
    <row r="1282">
      <c r="B1282" s="55" t="inlineStr">
        <is>
          <t>27.522.288/0001-10</t>
        </is>
      </c>
      <c r="C1282" t="inlineStr">
        <is>
          <t>TONOLUCRO FRANCHISING LTDA</t>
        </is>
      </c>
    </row>
    <row r="1283">
      <c r="B1283" s="55" t="inlineStr">
        <is>
          <t>27.523.525/0001-68</t>
        </is>
      </c>
      <c r="C1283" t="inlineStr">
        <is>
          <t>DIGISAUDE LTDA (baixada)</t>
        </is>
      </c>
    </row>
    <row r="1284">
      <c r="B1284" s="55" t="inlineStr">
        <is>
          <t>27.550.193/0021-54</t>
        </is>
      </c>
      <c r="C1284" t="inlineStr">
        <is>
          <t>OTICAS PARIS LTDA</t>
        </is>
      </c>
    </row>
    <row r="1285">
      <c r="B1285" s="55" t="inlineStr">
        <is>
          <t>27.550.193/0021-54</t>
        </is>
      </c>
      <c r="C1285" t="inlineStr">
        <is>
          <t>OTICAS PARIS LTDA</t>
        </is>
      </c>
    </row>
    <row r="1286">
      <c r="B1286" s="55" t="inlineStr">
        <is>
          <t>27.587.900/0001-33</t>
        </is>
      </c>
      <c r="C1286" t="inlineStr">
        <is>
          <t>VALERIA ROSA DA COSTA  LTDA</t>
        </is>
      </c>
    </row>
    <row r="1287">
      <c r="B1287" s="55" t="inlineStr">
        <is>
          <t>27.612.147/0001-99</t>
        </is>
      </c>
      <c r="C1287" t="inlineStr">
        <is>
          <t>UUDI SERVICOS DE TECNOLOGIA LTDA (baixada)</t>
        </is>
      </c>
    </row>
    <row r="1288">
      <c r="B1288" s="55" t="inlineStr">
        <is>
          <t>27.626.290/0008-06</t>
        </is>
      </c>
      <c r="C1288" t="inlineStr">
        <is>
          <t>PARS PRODUTOS DE PROCESSAMENTO DE DADOS LTDA</t>
        </is>
      </c>
    </row>
    <row r="1289">
      <c r="B1289" s="55" t="inlineStr">
        <is>
          <t>27.629.964/0001-50</t>
        </is>
      </c>
      <c r="C1289" t="inlineStr">
        <is>
          <t>OCTO CLOUD DESENVOLVIMENTO E LICENCIAMENTO DE SOFTWARE LTDA (baixada)</t>
        </is>
      </c>
    </row>
    <row r="1290">
      <c r="B1290" s="55" t="inlineStr">
        <is>
          <t>27.629.964/0001-50</t>
        </is>
      </c>
      <c r="C1290" t="inlineStr">
        <is>
          <t>OCTO CLOUD DESENVOLVIMENTO E LICENCIAMENTO DE SOFTWARE LTDA (baixada)</t>
        </is>
      </c>
    </row>
    <row r="1291">
      <c r="B1291" s="55" t="inlineStr">
        <is>
          <t>27.786.492/0001-49</t>
        </is>
      </c>
      <c r="C1291" t="inlineStr">
        <is>
          <t>MARLON FIM ALEDI 11987943724</t>
        </is>
      </c>
    </row>
    <row r="1292">
      <c r="B1292" s="55" t="inlineStr">
        <is>
          <t>27.797.303/0001-33</t>
        </is>
      </c>
      <c r="C1292" t="inlineStr">
        <is>
          <t>BARATA AVIATION AVIACAO LTDA</t>
        </is>
      </c>
    </row>
    <row r="1293">
      <c r="B1293" s="55" t="inlineStr">
        <is>
          <t>27.797.303/0001-33</t>
        </is>
      </c>
      <c r="C1293" t="inlineStr">
        <is>
          <t>BARATA AVIATION AVIACAO LTDA</t>
        </is>
      </c>
    </row>
    <row r="1294">
      <c r="B1294" s="55" t="inlineStr">
        <is>
          <t>27.808.206/0001-07</t>
        </is>
      </c>
      <c r="C1294" t="inlineStr">
        <is>
          <t>DRAGON VENTURE CAPITAL LTDA</t>
        </is>
      </c>
    </row>
    <row r="1295">
      <c r="B1295" s="55" t="inlineStr">
        <is>
          <t>27.865.757/0069-92</t>
        </is>
      </c>
      <c r="C1295" t="inlineStr">
        <is>
          <t>GLOBO COMUNICACAO E PARTICIPACOES S/A</t>
        </is>
      </c>
    </row>
    <row r="1296">
      <c r="B1296" s="55" t="inlineStr">
        <is>
          <t>27.865.757/0069-92</t>
        </is>
      </c>
      <c r="C1296" t="inlineStr">
        <is>
          <t>GLOBO COMUNICACAO E PARTICIPACOES S/A</t>
        </is>
      </c>
    </row>
    <row r="1297">
      <c r="B1297" s="55" t="inlineStr">
        <is>
          <t>27.865.757/0069-92</t>
        </is>
      </c>
      <c r="C1297" t="inlineStr">
        <is>
          <t>GLOBO COMUNICACAO E PARTICIPACOES S/A</t>
        </is>
      </c>
    </row>
    <row r="1298">
      <c r="B1298" s="55" t="inlineStr">
        <is>
          <t>27.865.757/0069-92</t>
        </is>
      </c>
      <c r="C1298" t="inlineStr">
        <is>
          <t>GLOBO COMUNICACAO E PARTICIPACOES S/A</t>
        </is>
      </c>
    </row>
    <row r="1299">
      <c r="B1299" s="55" t="inlineStr">
        <is>
          <t>27.865.757/0069-92</t>
        </is>
      </c>
      <c r="C1299" t="inlineStr">
        <is>
          <t>GLOBO COMUNICACAO E PARTICIPACOES S/A</t>
        </is>
      </c>
    </row>
    <row r="1300">
      <c r="B1300" s="55" t="inlineStr">
        <is>
          <t>27.865.757/0069-92</t>
        </is>
      </c>
      <c r="C1300" t="inlineStr">
        <is>
          <t>GLOBO COMUNICACAO E PARTICIPACOES S/A</t>
        </is>
      </c>
    </row>
    <row r="1301">
      <c r="B1301" s="55" t="inlineStr">
        <is>
          <t>27.865.757/0069-92</t>
        </is>
      </c>
      <c r="C1301" t="inlineStr">
        <is>
          <t>GLOBO COMUNICACAO E PARTICIPACOES S/A</t>
        </is>
      </c>
    </row>
    <row r="1302">
      <c r="B1302" s="55" t="inlineStr">
        <is>
          <t>27.865.757/0069-92</t>
        </is>
      </c>
      <c r="C1302" t="inlineStr">
        <is>
          <t>GLOBO COMUNICACAO E PARTICIPACOES S/A</t>
        </is>
      </c>
    </row>
    <row r="1303">
      <c r="B1303" s="55" t="inlineStr">
        <is>
          <t>27.865.757/0069-92</t>
        </is>
      </c>
      <c r="C1303" t="inlineStr">
        <is>
          <t>GLOBO COMUNICACAO E PARTICIPACOES S/A</t>
        </is>
      </c>
    </row>
    <row r="1304">
      <c r="B1304" s="55" t="inlineStr">
        <is>
          <t>27.886.369/0001-08</t>
        </is>
      </c>
      <c r="C1304" t="inlineStr">
        <is>
          <t>GAZIN SEMIJOIAS LTDA</t>
        </is>
      </c>
    </row>
    <row r="1305">
      <c r="B1305" s="55" t="inlineStr">
        <is>
          <t>27.887.833/0003-34</t>
        </is>
      </c>
      <c r="C1305" t="inlineStr">
        <is>
          <t>ENJOY ADMINISTRADORA DE HOTEIS E RESORTS LTDA</t>
        </is>
      </c>
    </row>
    <row r="1306">
      <c r="B1306" s="55" t="inlineStr">
        <is>
          <t>27.887.833/0003-34</t>
        </is>
      </c>
      <c r="C1306" t="inlineStr">
        <is>
          <t>ENJOY ADMINISTRADORA DE HOTEIS E RESORTS LTDA</t>
        </is>
      </c>
    </row>
    <row r="1307">
      <c r="B1307" s="55" t="inlineStr">
        <is>
          <t>27.933.881/0002-30</t>
        </is>
      </c>
      <c r="C1307" t="inlineStr">
        <is>
          <t>SILVA &amp; SILVA DROGARIA LTDA</t>
        </is>
      </c>
    </row>
    <row r="1308">
      <c r="B1308" s="55" t="inlineStr">
        <is>
          <t>27.933.881/0002-30</t>
        </is>
      </c>
      <c r="C1308" t="inlineStr">
        <is>
          <t>SILVA &amp; SILVA DROGARIA LTDA</t>
        </is>
      </c>
    </row>
    <row r="1309">
      <c r="B1309" s="55" t="inlineStr">
        <is>
          <t>28.003.945/0001-86</t>
        </is>
      </c>
      <c r="C1309" t="inlineStr">
        <is>
          <t>RELIGIAO DE DEUS</t>
        </is>
      </c>
    </row>
    <row r="1310">
      <c r="B1310" s="55" t="inlineStr">
        <is>
          <t>28.024.801/0001-06</t>
        </is>
      </c>
      <c r="C1310" t="inlineStr">
        <is>
          <t>YWCROCK FRANQUEADORA LTDA</t>
        </is>
      </c>
    </row>
    <row r="1311">
      <c r="B1311" s="55" t="inlineStr">
        <is>
          <t>28.024.801/0001-06</t>
        </is>
      </c>
      <c r="C1311" t="inlineStr">
        <is>
          <t>YWCROCK FRANQUEADORA LTDA</t>
        </is>
      </c>
    </row>
    <row r="1312">
      <c r="B1312" s="55" t="inlineStr">
        <is>
          <t>28.024.801/0001-06</t>
        </is>
      </c>
      <c r="C1312" t="inlineStr">
        <is>
          <t>YWCROCK FRANQUEADORA LTDA</t>
        </is>
      </c>
    </row>
    <row r="1313">
      <c r="B1313" s="55" t="inlineStr">
        <is>
          <t>28.042.871/0001-97</t>
        </is>
      </c>
      <c r="C1313" t="inlineStr">
        <is>
          <t>GESTORA DE INTELIGENCIA DE CREDITO S.A.</t>
        </is>
      </c>
    </row>
    <row r="1314">
      <c r="B1314" s="55" t="inlineStr">
        <is>
          <t>28.042.871/0001-97</t>
        </is>
      </c>
      <c r="C1314" t="inlineStr">
        <is>
          <t>GESTORA DE INTELIGENCIA DE CREDITO S.A.</t>
        </is>
      </c>
    </row>
    <row r="1315">
      <c r="B1315" s="55" t="inlineStr">
        <is>
          <t>28.042.871/0001-97</t>
        </is>
      </c>
      <c r="C1315" t="inlineStr">
        <is>
          <t>GESTORA DE INTELIGENCIA DE CREDITO S.A.</t>
        </is>
      </c>
    </row>
    <row r="1316">
      <c r="B1316" s="55" t="inlineStr">
        <is>
          <t>28.086.311/0001-34</t>
        </is>
      </c>
      <c r="C1316" t="inlineStr">
        <is>
          <t>SO MULTAS FRANCHISING LTDA</t>
        </is>
      </c>
    </row>
    <row r="1317">
      <c r="B1317" s="55" t="inlineStr">
        <is>
          <t>28.086.311/0001-34</t>
        </is>
      </c>
      <c r="C1317" t="inlineStr">
        <is>
          <t>SO MULTAS FRANCHISING LTDA</t>
        </is>
      </c>
    </row>
    <row r="1318">
      <c r="B1318" s="55" t="inlineStr">
        <is>
          <t>28.108.757/0001-12</t>
        </is>
      </c>
      <c r="C1318" t="inlineStr">
        <is>
          <t>RUNPALBR ACELERADORA DE STARTUPS, DE EMPRESAS E NEGOCIOS LTDA (baixada)</t>
        </is>
      </c>
    </row>
    <row r="1319">
      <c r="B1319" s="55" t="inlineStr">
        <is>
          <t>28.119.027/0001-17</t>
        </is>
      </c>
      <c r="C1319" t="inlineStr">
        <is>
          <t>ASSOCIACAO DOS ESTUDANTES DO RIO GRANDE DO SUL - AERGS</t>
        </is>
      </c>
    </row>
    <row r="1320">
      <c r="B1320" s="55" t="inlineStr">
        <is>
          <t>28.130.849/0001-07</t>
        </is>
      </c>
      <c r="C1320" t="inlineStr">
        <is>
          <t>LOJAS ESTRELA DO LAR LTDA</t>
        </is>
      </c>
    </row>
    <row r="1321">
      <c r="B1321" s="55" t="inlineStr">
        <is>
          <t>28.130.849/0001-07</t>
        </is>
      </c>
      <c r="C1321" t="inlineStr">
        <is>
          <t>LOJAS ESTRELA DO LAR LTDA</t>
        </is>
      </c>
    </row>
    <row r="1322">
      <c r="B1322" s="55" t="inlineStr">
        <is>
          <t>28.130.849/0001-07</t>
        </is>
      </c>
      <c r="C1322" t="inlineStr">
        <is>
          <t>LOJAS ESTRELA DO LAR LTDA</t>
        </is>
      </c>
    </row>
    <row r="1323">
      <c r="B1323" s="55" t="inlineStr">
        <is>
          <t>28.130.849/0001-07</t>
        </is>
      </c>
      <c r="C1323" t="inlineStr">
        <is>
          <t>LOJAS ESTRELA DO LAR LTDA</t>
        </is>
      </c>
    </row>
    <row r="1324">
      <c r="B1324" s="55" t="inlineStr">
        <is>
          <t>28.141.190/0002-67</t>
        </is>
      </c>
      <c r="C1324" t="inlineStr">
        <is>
          <t>IRMANDADE DA SANTA CASA DE MISERICORDIA DE VITORIA</t>
        </is>
      </c>
    </row>
    <row r="1325">
      <c r="B1325" s="55" t="inlineStr">
        <is>
          <t>28.141.190/0002-67</t>
        </is>
      </c>
      <c r="C1325" t="inlineStr">
        <is>
          <t>IRMANDADE DA SANTA CASA DE MISERICORDIA DE VITORIA</t>
        </is>
      </c>
    </row>
    <row r="1326">
      <c r="B1326" s="55" t="inlineStr">
        <is>
          <t>28.196.889/0001-43</t>
        </is>
      </c>
      <c r="C1326" t="inlineStr">
        <is>
          <t>BRASILSEG COMPANHIA DE SEGUROS</t>
        </is>
      </c>
    </row>
    <row r="1327">
      <c r="B1327" s="55" t="inlineStr">
        <is>
          <t>28.196.889/0001-43</t>
        </is>
      </c>
      <c r="C1327" t="inlineStr">
        <is>
          <t>BRASILSEG COMPANHIA DE SEGUROS</t>
        </is>
      </c>
    </row>
    <row r="1328">
      <c r="B1328" s="55" t="inlineStr">
        <is>
          <t>28.218.316/0001-73</t>
        </is>
      </c>
      <c r="C1328" t="inlineStr">
        <is>
          <t>UAIRANGO AGENCIA DE SERVICOS DE RESTAURANTE LTDA</t>
        </is>
      </c>
    </row>
    <row r="1329">
      <c r="B1329" s="55" t="inlineStr">
        <is>
          <t>28.235.645/0001-22</t>
        </is>
      </c>
      <c r="C1329" t="inlineStr">
        <is>
          <t>KRS REPRESENTACOES E CONSULTORIA LTDA</t>
        </is>
      </c>
    </row>
    <row r="1330">
      <c r="B1330" s="55" t="inlineStr">
        <is>
          <t>28.286.170/0001-01</t>
        </is>
      </c>
      <c r="C1330" t="inlineStr">
        <is>
          <t>BEEP SERVICOS MEDICOS LTDA</t>
        </is>
      </c>
    </row>
    <row r="1331">
      <c r="B1331" s="55" t="inlineStr">
        <is>
          <t>28.286.170/0001-01</t>
        </is>
      </c>
      <c r="C1331" t="inlineStr">
        <is>
          <t>BEEP SERVICOS MEDICOS LTDA</t>
        </is>
      </c>
    </row>
    <row r="1332">
      <c r="B1332" s="55" t="inlineStr">
        <is>
          <t>28.286.170/0001-01</t>
        </is>
      </c>
      <c r="C1332" t="inlineStr">
        <is>
          <t>BEEP SERVICOS MEDICOS LTDA</t>
        </is>
      </c>
    </row>
    <row r="1333">
      <c r="B1333" s="55" t="inlineStr">
        <is>
          <t>28.286.170/0001-01</t>
        </is>
      </c>
      <c r="C1333" t="inlineStr">
        <is>
          <t>BEEP SERVICOS MEDICOS LTDA</t>
        </is>
      </c>
    </row>
    <row r="1334">
      <c r="B1334" s="55" t="inlineStr">
        <is>
          <t>28.445.729/0001-90</t>
        </is>
      </c>
      <c r="C1334" t="inlineStr">
        <is>
          <t>SOMOS SONHO LTDA</t>
        </is>
      </c>
    </row>
    <row r="1335">
      <c r="B1335" s="55" t="inlineStr">
        <is>
          <t>28.465.919/0001-70</t>
        </is>
      </c>
      <c r="C1335" t="inlineStr">
        <is>
          <t>DROGARIAAPODI PRODUTOS FARMACEUTICOS LTDA</t>
        </is>
      </c>
    </row>
    <row r="1336">
      <c r="B1336" s="55" t="inlineStr">
        <is>
          <t>28.465.919/0001-70</t>
        </is>
      </c>
      <c r="C1336" t="inlineStr">
        <is>
          <t>DROGARIAAPODI PRODUTOS FARMACEUTICOS LTDA</t>
        </is>
      </c>
    </row>
    <row r="1337">
      <c r="B1337" s="55" t="inlineStr">
        <is>
          <t>28.465.919/0001-70</t>
        </is>
      </c>
      <c r="C1337" t="inlineStr">
        <is>
          <t>DROGARIAAPODI PRODUTOS FARMACEUTICOS LTDA</t>
        </is>
      </c>
    </row>
    <row r="1338">
      <c r="B1338" s="55" t="inlineStr">
        <is>
          <t>28.524.255/0001-72</t>
        </is>
      </c>
      <c r="C1338" t="inlineStr">
        <is>
          <t>POXX SERVICOS LTDA (baixada)</t>
        </is>
      </c>
    </row>
    <row r="1339">
      <c r="B1339" s="55" t="inlineStr">
        <is>
          <t>28.525.600/0001-92</t>
        </is>
      </c>
      <c r="C1339" t="inlineStr">
        <is>
          <t>DROGARIA MODENA S/A</t>
        </is>
      </c>
    </row>
    <row r="1340">
      <c r="B1340" s="55" t="inlineStr">
        <is>
          <t>28.525.600/0001-92</t>
        </is>
      </c>
      <c r="C1340" t="inlineStr">
        <is>
          <t>DROGARIA MODENA S/A</t>
        </is>
      </c>
    </row>
    <row r="1341">
      <c r="B1341" s="55" t="inlineStr">
        <is>
          <t>28.580.044/0001-57</t>
        </is>
      </c>
      <c r="C1341" t="inlineStr">
        <is>
          <t>PLANNE SOFTWARE LTDA</t>
        </is>
      </c>
    </row>
    <row r="1342">
      <c r="B1342" s="55" t="inlineStr">
        <is>
          <t>28.581.358/0001-74</t>
        </is>
      </c>
      <c r="C1342" t="inlineStr">
        <is>
          <t>2W ADMINISTRACAO HOTELEIRA LTDA</t>
        </is>
      </c>
    </row>
    <row r="1343">
      <c r="B1343" s="55" t="inlineStr">
        <is>
          <t>28.589.883/0001-36</t>
        </is>
      </c>
      <c r="C1343" t="inlineStr">
        <is>
          <t>2K COMERCIO DE COSMETICOS LTDA</t>
        </is>
      </c>
    </row>
    <row r="1344">
      <c r="B1344" s="55" t="inlineStr">
        <is>
          <t>28.589.883/0001-36</t>
        </is>
      </c>
      <c r="C1344" t="inlineStr">
        <is>
          <t>2K COMERCIO DE COSMETICOS LTDA</t>
        </is>
      </c>
    </row>
    <row r="1345">
      <c r="B1345" s="55" t="inlineStr">
        <is>
          <t>28.593.387/0001-56</t>
        </is>
      </c>
      <c r="C1345" t="inlineStr">
        <is>
          <t>ZAPAY SERVICOS DE PAGAMENTOS S.A.</t>
        </is>
      </c>
    </row>
    <row r="1346">
      <c r="B1346" s="55" t="inlineStr">
        <is>
          <t>28.593.387/0001-56</t>
        </is>
      </c>
      <c r="C1346" t="inlineStr">
        <is>
          <t>ZAPAY SERVICOS DE PAGAMENTOS S.A.</t>
        </is>
      </c>
    </row>
    <row r="1347">
      <c r="B1347" s="55" t="inlineStr">
        <is>
          <t>28.593.387/0001-56</t>
        </is>
      </c>
      <c r="C1347" t="inlineStr">
        <is>
          <t>ZAPAY SERVICOS DE PAGAMENTOS S.A.</t>
        </is>
      </c>
    </row>
    <row r="1348">
      <c r="B1348" s="55" t="inlineStr">
        <is>
          <t>28.593.387/0001-56</t>
        </is>
      </c>
      <c r="C1348" t="inlineStr">
        <is>
          <t>ZAPAY SERVICOS DE PAGAMENTOS S.A.</t>
        </is>
      </c>
    </row>
    <row r="1349">
      <c r="B1349" s="55" t="inlineStr">
        <is>
          <t>28.593.387/0001-56</t>
        </is>
      </c>
      <c r="C1349" t="inlineStr">
        <is>
          <t>ZAPAY SERVICOS DE PAGAMENTOS S.A.</t>
        </is>
      </c>
    </row>
    <row r="1350">
      <c r="B1350" s="55" t="inlineStr">
        <is>
          <t>28.593.387/0001-56</t>
        </is>
      </c>
      <c r="C1350" t="inlineStr">
        <is>
          <t>ZAPAY SERVICOS DE PAGAMENTOS S.A.</t>
        </is>
      </c>
    </row>
    <row r="1351">
      <c r="B1351" s="55" t="inlineStr">
        <is>
          <t>28.767.133/0001-07</t>
        </is>
      </c>
      <c r="C1351" t="inlineStr">
        <is>
          <t>DZ &amp; DZ COMERCIO DE PRODUTOS ALIMENTICIOS LTDA</t>
        </is>
      </c>
    </row>
    <row r="1352">
      <c r="B1352" s="55" t="inlineStr">
        <is>
          <t>28.767.133/0001-07</t>
        </is>
      </c>
      <c r="C1352" t="inlineStr">
        <is>
          <t>DZ &amp; DZ COMERCIO DE PRODUTOS ALIMENTICIOS LTDA</t>
        </is>
      </c>
    </row>
    <row r="1353">
      <c r="B1353" s="55" t="inlineStr">
        <is>
          <t>28.788.907/0002-67</t>
        </is>
      </c>
      <c r="C1353" t="inlineStr">
        <is>
          <t>ALOOZ COMUNICACAO VISUAL LTDA</t>
        </is>
      </c>
    </row>
    <row r="1354">
      <c r="B1354" s="55" t="inlineStr">
        <is>
          <t>28.788.907/0002-67</t>
        </is>
      </c>
      <c r="C1354" t="inlineStr">
        <is>
          <t>ALOOZ COMUNICACAO VISUAL LTDA</t>
        </is>
      </c>
    </row>
    <row r="1355">
      <c r="B1355" s="55" t="inlineStr">
        <is>
          <t>28.811.781/0001-13</t>
        </is>
      </c>
      <c r="C1355" t="inlineStr">
        <is>
          <t>DELIVERYON SERVICOS ON LINE LTDA</t>
        </is>
      </c>
    </row>
    <row r="1356">
      <c r="B1356" s="55" t="inlineStr">
        <is>
          <t>28.813.868/0001-20</t>
        </is>
      </c>
      <c r="C1356" t="inlineStr">
        <is>
          <t>MERIDIAN DISTRIBUIDORA LTDA</t>
        </is>
      </c>
    </row>
    <row r="1357">
      <c r="B1357" s="55" t="inlineStr">
        <is>
          <t>28.813.868/0001-20</t>
        </is>
      </c>
      <c r="C1357" t="inlineStr">
        <is>
          <t>MERIDIAN DISTRIBUIDORA LTDA</t>
        </is>
      </c>
    </row>
    <row r="1358">
      <c r="B1358" s="55" t="inlineStr">
        <is>
          <t>28.990.075/0001-86</t>
        </is>
      </c>
      <c r="C1358" t="inlineStr">
        <is>
          <t>PARDIS - PARDINI DISTRIBUIDORA LTDA</t>
        </is>
      </c>
    </row>
    <row r="1359">
      <c r="B1359" s="55" t="inlineStr">
        <is>
          <t>29.032.677/0001-93</t>
        </is>
      </c>
      <c r="C1359" t="inlineStr">
        <is>
          <t>CICLIC CORRETORA DE SEGUROS S.A.</t>
        </is>
      </c>
    </row>
    <row r="1360">
      <c r="B1360" s="55" t="inlineStr">
        <is>
          <t>29.032.677/0001-93</t>
        </is>
      </c>
      <c r="C1360" t="inlineStr">
        <is>
          <t>CICLIC CORRETORA DE SEGUROS S.A.</t>
        </is>
      </c>
    </row>
    <row r="1361">
      <c r="B1361" s="55" t="inlineStr">
        <is>
          <t>29.032.677/0001-93</t>
        </is>
      </c>
      <c r="C1361" t="inlineStr">
        <is>
          <t>CICLIC CORRETORA DE SEGUROS S.A.</t>
        </is>
      </c>
    </row>
    <row r="1362">
      <c r="B1362" s="55" t="inlineStr">
        <is>
          <t>29.032.677/0001-93</t>
        </is>
      </c>
      <c r="C1362" t="inlineStr">
        <is>
          <t>CICLIC CORRETORA DE SEGUROS S.A.</t>
        </is>
      </c>
    </row>
    <row r="1363">
      <c r="B1363" s="55" t="inlineStr">
        <is>
          <t>29.136.973/0001-34</t>
        </is>
      </c>
      <c r="C1363" t="inlineStr">
        <is>
          <t>GOSPA VIAGENS E PEREGRINACOES LTDA</t>
        </is>
      </c>
    </row>
    <row r="1364">
      <c r="B1364" s="55" t="inlineStr">
        <is>
          <t>29.136.973/0001-34</t>
        </is>
      </c>
      <c r="C1364" t="inlineStr">
        <is>
          <t>GOSPA VIAGENS E PEREGRINACOES LTDA</t>
        </is>
      </c>
    </row>
    <row r="1365">
      <c r="B1365" s="55" t="inlineStr">
        <is>
          <t>29.136.973/0001-34</t>
        </is>
      </c>
      <c r="C1365" t="inlineStr">
        <is>
          <t>GOSPA VIAGENS E PEREGRINACOES LTDA</t>
        </is>
      </c>
    </row>
    <row r="1366">
      <c r="B1366" s="55" t="inlineStr">
        <is>
          <t>29.149.966/0001-77</t>
        </is>
      </c>
      <c r="C1366" t="inlineStr">
        <is>
          <t>CAMA INBOX INDUSTRIA E COMERCIO DE MOVEIS LTDA</t>
        </is>
      </c>
    </row>
    <row r="1367">
      <c r="B1367" s="55" t="inlineStr">
        <is>
          <t>29.174.713/0001-53</t>
        </is>
      </c>
      <c r="C1367" t="inlineStr">
        <is>
          <t>BEYOND TECNOLOGIA LTDA</t>
        </is>
      </c>
    </row>
    <row r="1368">
      <c r="B1368" s="55" t="inlineStr">
        <is>
          <t>29.174.713/0001-53</t>
        </is>
      </c>
      <c r="C1368" t="inlineStr">
        <is>
          <t>BEYOND TECNOLOGIA LTDA</t>
        </is>
      </c>
    </row>
    <row r="1369">
      <c r="B1369" s="55" t="inlineStr">
        <is>
          <t>29.174.713/0001-53</t>
        </is>
      </c>
      <c r="C1369" t="inlineStr">
        <is>
          <t>BEYOND TECNOLOGIA LTDA</t>
        </is>
      </c>
    </row>
    <row r="1370">
      <c r="B1370" s="55" t="inlineStr">
        <is>
          <t>29.188.143/0001-50</t>
        </is>
      </c>
      <c r="C1370" t="inlineStr">
        <is>
          <t>ROMMA SISTEMAS DE SEGURANCA ELETRONICA LTDA</t>
        </is>
      </c>
    </row>
    <row r="1371">
      <c r="B1371" s="55" t="inlineStr">
        <is>
          <t>29.203.533/0001-52</t>
        </is>
      </c>
      <c r="C1371" t="inlineStr">
        <is>
          <t>TKL COMERCIO DE CALCADOS INFANTIS E ACESSORIOS LTDA</t>
        </is>
      </c>
    </row>
    <row r="1372">
      <c r="B1372" s="55" t="inlineStr">
        <is>
          <t>29.203.533/0001-52</t>
        </is>
      </c>
      <c r="C1372" t="inlineStr">
        <is>
          <t>TKL COMERCIO DE CALCADOS INFANTIS E ACESSORIOS LTDA</t>
        </is>
      </c>
    </row>
    <row r="1373">
      <c r="B1373" s="55" t="inlineStr">
        <is>
          <t>29.203.533/0001-52</t>
        </is>
      </c>
      <c r="C1373" t="inlineStr">
        <is>
          <t>TKL COMERCIO DE CALCADOS INFANTIS E ACESSORIOS LTDA</t>
        </is>
      </c>
    </row>
    <row r="1374">
      <c r="B1374" s="55" t="inlineStr">
        <is>
          <t>29.245.030/0001-40</t>
        </is>
      </c>
      <c r="C1374" t="inlineStr">
        <is>
          <t>T&amp;G HOLDING LTDA</t>
        </is>
      </c>
    </row>
    <row r="1375">
      <c r="B1375" s="55" t="inlineStr">
        <is>
          <t>29.266.704/0001-92</t>
        </is>
      </c>
      <c r="C1375" t="inlineStr">
        <is>
          <t>DI BACCELLI CONFECCOES, COMERCIO E VESTUARIOS ECOMMERCE LTDA</t>
        </is>
      </c>
    </row>
    <row r="1376">
      <c r="B1376" s="55" t="inlineStr">
        <is>
          <t>29.266.704/0001-92</t>
        </is>
      </c>
      <c r="C1376" t="inlineStr">
        <is>
          <t>DI BACCELLI CONFECCOES, COMERCIO E VESTUARIOS ECOMMERCE LTDA</t>
        </is>
      </c>
    </row>
    <row r="1377">
      <c r="B1377" s="55" t="inlineStr">
        <is>
          <t>29.310.554/0001-77</t>
        </is>
      </c>
      <c r="C1377" t="inlineStr">
        <is>
          <t>ATLAS DE IGUACU DISTRIBUIDORA DE ALIMENTOS LTDA</t>
        </is>
      </c>
    </row>
    <row r="1378">
      <c r="B1378" s="55" t="inlineStr">
        <is>
          <t>29.418.852/0001-85</t>
        </is>
      </c>
      <c r="C1378" t="inlineStr">
        <is>
          <t>H SHELDON SERVICOS DE MARKETING LTDA</t>
        </is>
      </c>
    </row>
    <row r="1379">
      <c r="B1379" s="55" t="inlineStr">
        <is>
          <t>29.468.184/0001-09</t>
        </is>
      </c>
      <c r="C1379" t="inlineStr">
        <is>
          <t>DIGI5 SOLUCOES DE TECNOLOGIA LTDA</t>
        </is>
      </c>
    </row>
    <row r="1380">
      <c r="B1380" s="55" t="inlineStr">
        <is>
          <t>29.493.842/0001-04</t>
        </is>
      </c>
      <c r="C1380" t="inlineStr">
        <is>
          <t>DROGARIA EXECUTIVA LTDA</t>
        </is>
      </c>
    </row>
    <row r="1381">
      <c r="B1381" s="55" t="inlineStr">
        <is>
          <t>29.493.842/0001-04</t>
        </is>
      </c>
      <c r="C1381" t="inlineStr">
        <is>
          <t>DROGARIA EXECUTIVA LTDA</t>
        </is>
      </c>
    </row>
    <row r="1382">
      <c r="B1382" s="55" t="inlineStr">
        <is>
          <t>29.493.842/0001-04</t>
        </is>
      </c>
      <c r="C1382" t="inlineStr">
        <is>
          <t>DROGARIA EXECUTIVA LTDA</t>
        </is>
      </c>
    </row>
    <row r="1383">
      <c r="B1383" s="55" t="inlineStr">
        <is>
          <t>29.574.327/0001-59</t>
        </is>
      </c>
      <c r="C1383" t="inlineStr">
        <is>
          <t>E-GR COMERCIO DE PRODUTOS DIVERSOS LTDA</t>
        </is>
      </c>
    </row>
    <row r="1384">
      <c r="B1384" s="55" t="inlineStr">
        <is>
          <t>29.574.327/0001-59</t>
        </is>
      </c>
      <c r="C1384" t="inlineStr">
        <is>
          <t>E-GR COMERCIO DE PRODUTOS DIVERSOS LTDA</t>
        </is>
      </c>
    </row>
    <row r="1385">
      <c r="B1385" s="55" t="inlineStr">
        <is>
          <t>29.766.564/0001-11</t>
        </is>
      </c>
      <c r="C1385" t="inlineStr">
        <is>
          <t>BUDEPLAST COMERCIO DE PRODUTOS PLASTICOS LTDA</t>
        </is>
      </c>
    </row>
    <row r="1386">
      <c r="B1386" s="55" t="inlineStr">
        <is>
          <t>29.815.956/0001-23</t>
        </is>
      </c>
      <c r="C1386" t="inlineStr">
        <is>
          <t>FENG - FAN ENGAGEMENT MARKETING E INTELIGENCIA LTDA.</t>
        </is>
      </c>
    </row>
    <row r="1387">
      <c r="B1387" s="55" t="inlineStr">
        <is>
          <t>29.815.956/0001-23</t>
        </is>
      </c>
      <c r="C1387" t="inlineStr">
        <is>
          <t>FENG - FAN ENGAGEMENT MARKETING E INTELIGENCIA LTDA.</t>
        </is>
      </c>
    </row>
    <row r="1388">
      <c r="B1388" s="55" t="inlineStr">
        <is>
          <t>29.815.956/0001-23</t>
        </is>
      </c>
      <c r="C1388" t="inlineStr">
        <is>
          <t>FENG - FAN ENGAGEMENT MARKETING E INTELIGENCIA LTDA.</t>
        </is>
      </c>
    </row>
    <row r="1389">
      <c r="B1389" s="55" t="inlineStr">
        <is>
          <t>29.815.956/0001-23</t>
        </is>
      </c>
      <c r="C1389" t="inlineStr">
        <is>
          <t>FENG - FAN ENGAGEMENT MARKETING E INTELIGENCIA LTDA.</t>
        </is>
      </c>
    </row>
    <row r="1390">
      <c r="B1390" s="55" t="inlineStr">
        <is>
          <t>29.892.994/0001-80</t>
        </is>
      </c>
      <c r="C1390" t="inlineStr">
        <is>
          <t>SUPER STARTUP CONSULTORIA EM TECNOLOGIA LTDA (baixada)</t>
        </is>
      </c>
    </row>
    <row r="1391">
      <c r="B1391" s="55" t="inlineStr">
        <is>
          <t>29.973.569/0001-15</t>
        </is>
      </c>
      <c r="C1391" t="inlineStr">
        <is>
          <t>IKEG TRADING LTDA</t>
        </is>
      </c>
    </row>
    <row r="1392">
      <c r="B1392" s="55" t="inlineStr">
        <is>
          <t>29.973.569/0001-15</t>
        </is>
      </c>
      <c r="C1392" t="inlineStr">
        <is>
          <t>IKEG TRADING LTDA</t>
        </is>
      </c>
    </row>
    <row r="1393">
      <c r="B1393" s="55" t="inlineStr">
        <is>
          <t>29.973.569/0001-15</t>
        </is>
      </c>
      <c r="C1393" t="inlineStr">
        <is>
          <t>IKEG TRADING LTDA</t>
        </is>
      </c>
    </row>
    <row r="1394">
      <c r="B1394" s="55" t="inlineStr">
        <is>
          <t>29.987.353/0001-09</t>
        </is>
      </c>
      <c r="C1394" t="inlineStr">
        <is>
          <t>TALATTO INDUSTRIA E COMERCIO LTDA</t>
        </is>
      </c>
    </row>
    <row r="1395">
      <c r="B1395" s="55" t="inlineStr">
        <is>
          <t>30.050.246/0001-39</t>
        </is>
      </c>
      <c r="C1395" t="inlineStr">
        <is>
          <t>PARDO SERVICOS IMOBILIARIOS E ADMINISTRACAO HOTELEIRA S/A</t>
        </is>
      </c>
    </row>
    <row r="1396">
      <c r="B1396" s="55" t="inlineStr">
        <is>
          <t>30.050.246/0001-39</t>
        </is>
      </c>
      <c r="C1396" t="inlineStr">
        <is>
          <t>PARDO SERVICOS IMOBILIARIOS E ADMINISTRACAO HOTELEIRA S/A</t>
        </is>
      </c>
    </row>
    <row r="1397">
      <c r="B1397" s="55" t="inlineStr">
        <is>
          <t>30.050.246/0001-39</t>
        </is>
      </c>
      <c r="C1397" t="inlineStr">
        <is>
          <t>PARDO SERVICOS IMOBILIARIOS E ADMINISTRACAO HOTELEIRA S/A</t>
        </is>
      </c>
    </row>
    <row r="1398">
      <c r="B1398" s="55" t="inlineStr">
        <is>
          <t>30.050.246/0001-39</t>
        </is>
      </c>
      <c r="C1398" t="inlineStr">
        <is>
          <t>PARDO SERVICOS IMOBILIARIOS E ADMINISTRACAO HOTELEIRA S/A</t>
        </is>
      </c>
    </row>
    <row r="1399">
      <c r="B1399" s="55" t="inlineStr">
        <is>
          <t>30.051.833/0001-42</t>
        </is>
      </c>
      <c r="C1399" t="inlineStr">
        <is>
          <t>RIO DAY HOSPITAL LTDA</t>
        </is>
      </c>
    </row>
    <row r="1400">
      <c r="B1400" s="55" t="inlineStr">
        <is>
          <t>30.167.535/0001-12</t>
        </is>
      </c>
      <c r="C1400" t="inlineStr">
        <is>
          <t>DOOPY PARTICIPACOES LTDA</t>
        </is>
      </c>
    </row>
    <row r="1401">
      <c r="B1401" s="55" t="inlineStr">
        <is>
          <t>30.267.760/0001-20</t>
        </is>
      </c>
      <c r="C1401" t="inlineStr">
        <is>
          <t>PAULO VITOR SANTOS DA ENCARNACAO 03689243513</t>
        </is>
      </c>
    </row>
    <row r="1402">
      <c r="B1402" s="55" t="inlineStr">
        <is>
          <t>30.284.627/0001-82</t>
        </is>
      </c>
      <c r="C1402" t="inlineStr">
        <is>
          <t>MARINO SCHNEIDER 23630922015</t>
        </is>
      </c>
    </row>
    <row r="1403">
      <c r="B1403" s="55" t="inlineStr">
        <is>
          <t>30.318.916/0001-55</t>
        </is>
      </c>
      <c r="C1403" t="inlineStr">
        <is>
          <t>OBJETIVO 1220 COMERCIO DE COSMETICOS LTDA</t>
        </is>
      </c>
    </row>
    <row r="1404">
      <c r="B1404" s="55" t="inlineStr">
        <is>
          <t>30.318.916/0001-55</t>
        </is>
      </c>
      <c r="C1404" t="inlineStr">
        <is>
          <t>OBJETIVO 1220 COMERCIO DE COSMETICOS LTDA</t>
        </is>
      </c>
    </row>
    <row r="1405">
      <c r="B1405" s="55" t="inlineStr">
        <is>
          <t>30.320.110/0001-00</t>
        </is>
      </c>
      <c r="C1405" t="inlineStr">
        <is>
          <t>APP HEALTH SISTEMA S.A.</t>
        </is>
      </c>
    </row>
    <row r="1406">
      <c r="B1406" s="55" t="inlineStr">
        <is>
          <t>30.342.266/0001-83</t>
        </is>
      </c>
      <c r="C1406" t="inlineStr">
        <is>
          <t>ONFLY TECNOLOGIA LTDA</t>
        </is>
      </c>
    </row>
    <row r="1407">
      <c r="B1407" s="55" t="inlineStr">
        <is>
          <t>30.342.266/0001-83</t>
        </is>
      </c>
      <c r="C1407" t="inlineStr">
        <is>
          <t>ONFLY TECNOLOGIA LTDA</t>
        </is>
      </c>
    </row>
    <row r="1408">
      <c r="B1408" s="55" t="inlineStr">
        <is>
          <t>30.342.266/0001-83</t>
        </is>
      </c>
      <c r="C1408" t="inlineStr">
        <is>
          <t>ONFLY TECNOLOGIA LTDA</t>
        </is>
      </c>
    </row>
    <row r="1409">
      <c r="B1409" s="55" t="inlineStr">
        <is>
          <t>30.380.251/0001-00</t>
        </is>
      </c>
      <c r="C1409" t="inlineStr">
        <is>
          <t>SPORTS TECH BRASIL LTDA</t>
        </is>
      </c>
    </row>
    <row r="1410">
      <c r="B1410" s="55" t="inlineStr">
        <is>
          <t>30.425.132/0001-26</t>
        </is>
      </c>
      <c r="C1410" t="inlineStr">
        <is>
          <t>POUPE MAIS GERENCIAMENTO EMPRESARIAL LTDA</t>
        </is>
      </c>
    </row>
    <row r="1411">
      <c r="B1411" s="55" t="inlineStr">
        <is>
          <t>30.425.132/0001-26</t>
        </is>
      </c>
      <c r="C1411" t="inlineStr">
        <is>
          <t>POUPE MAIS GERENCIAMENTO EMPRESARIAL LTDA</t>
        </is>
      </c>
    </row>
    <row r="1412">
      <c r="B1412" s="55" t="inlineStr">
        <is>
          <t>30.532.282/0001-39</t>
        </is>
      </c>
      <c r="C1412" t="inlineStr">
        <is>
          <t>SUA FABRICA ECOSSISTEMA DE MODA LTDA</t>
        </is>
      </c>
    </row>
    <row r="1413">
      <c r="B1413" s="55" t="inlineStr">
        <is>
          <t>30.589.594/0001-89</t>
        </is>
      </c>
      <c r="C1413" t="inlineStr">
        <is>
          <t>SUPER SHOPPING DA UTILIDADE DE AMERICANA LTDA.</t>
        </is>
      </c>
    </row>
    <row r="1414">
      <c r="B1414" s="55" t="inlineStr">
        <is>
          <t>30.599.615/0001-47</t>
        </is>
      </c>
      <c r="C1414" t="inlineStr">
        <is>
          <t>E S SERVICOS DE ENTREGAS LTDA (baixada)</t>
        </is>
      </c>
    </row>
    <row r="1415">
      <c r="B1415" s="55" t="inlineStr">
        <is>
          <t>30.623.981/0001-94</t>
        </is>
      </c>
      <c r="C1415" t="inlineStr">
        <is>
          <t>DORA FARMA COMERCIO DE PRODUTOS FARMACEUTICOS LTDA</t>
        </is>
      </c>
    </row>
    <row r="1416">
      <c r="B1416" s="55" t="inlineStr">
        <is>
          <t>30.623.981/0001-94</t>
        </is>
      </c>
      <c r="C1416" t="inlineStr">
        <is>
          <t>DORA FARMA COMERCIO DE PRODUTOS FARMACEUTICOS LTDA</t>
        </is>
      </c>
    </row>
    <row r="1417">
      <c r="B1417" s="55" t="inlineStr">
        <is>
          <t>30.623.981/0001-94</t>
        </is>
      </c>
      <c r="C1417" t="inlineStr">
        <is>
          <t>DORA FARMA COMERCIO DE PRODUTOS FARMACEUTICOS LTDA</t>
        </is>
      </c>
    </row>
    <row r="1418">
      <c r="B1418" s="55" t="inlineStr">
        <is>
          <t>30.685.695/0001-53</t>
        </is>
      </c>
      <c r="C1418" t="inlineStr">
        <is>
          <t>CENTERSPORT ARTIGOS ESPORTIVOS LTDA</t>
        </is>
      </c>
    </row>
    <row r="1419">
      <c r="B1419" s="55" t="inlineStr">
        <is>
          <t>30.685.695/0001-53</t>
        </is>
      </c>
      <c r="C1419" t="inlineStr">
        <is>
          <t>CENTERSPORT ARTIGOS ESPORTIVOS LTDA</t>
        </is>
      </c>
    </row>
    <row r="1420">
      <c r="B1420" s="55" t="inlineStr">
        <is>
          <t>30.685.695/0001-53</t>
        </is>
      </c>
      <c r="C1420" t="inlineStr">
        <is>
          <t>CENTERSPORT ARTIGOS ESPORTIVOS LTDA</t>
        </is>
      </c>
    </row>
    <row r="1421">
      <c r="B1421" s="55" t="inlineStr">
        <is>
          <t>30.731.596/0001-60</t>
        </is>
      </c>
      <c r="C1421" t="inlineStr">
        <is>
          <t>GFP GESTAO EMPRESARIAL LTDA</t>
        </is>
      </c>
    </row>
    <row r="1422">
      <c r="B1422" s="55" t="inlineStr">
        <is>
          <t>30.731.596/0001-60</t>
        </is>
      </c>
      <c r="C1422" t="inlineStr">
        <is>
          <t>GFP GESTAO EMPRESARIAL LTDA</t>
        </is>
      </c>
    </row>
    <row r="1423">
      <c r="B1423" s="55" t="inlineStr">
        <is>
          <t>30.801.032/0001-57</t>
        </is>
      </c>
      <c r="C1423" t="inlineStr">
        <is>
          <t>REPUBLICA DA MODA LTDA</t>
        </is>
      </c>
    </row>
    <row r="1424">
      <c r="B1424" s="55" t="inlineStr">
        <is>
          <t>30.866.312/0001-43</t>
        </is>
      </c>
      <c r="C1424" t="inlineStr">
        <is>
          <t>FEX COMERCIO DE FERRO LTDA</t>
        </is>
      </c>
    </row>
    <row r="1425">
      <c r="B1425" s="55" t="inlineStr">
        <is>
          <t>30.866.312/0001-43</t>
        </is>
      </c>
      <c r="C1425" t="inlineStr">
        <is>
          <t>FEX COMERCIO DE FERRO LTDA</t>
        </is>
      </c>
    </row>
    <row r="1426">
      <c r="B1426" s="55" t="inlineStr">
        <is>
          <t>30.870.888/0016-60</t>
        </is>
      </c>
      <c r="C1426" t="inlineStr">
        <is>
          <t>CELIDONIO E OLIVO FARMACIA LTDA</t>
        </is>
      </c>
    </row>
    <row r="1427">
      <c r="B1427" s="55" t="inlineStr">
        <is>
          <t>30.870.888/0016-60</t>
        </is>
      </c>
      <c r="C1427" t="inlineStr">
        <is>
          <t>CELIDONIO E OLIVO FARMACIA LTDA</t>
        </is>
      </c>
    </row>
    <row r="1428">
      <c r="B1428" s="55" t="inlineStr">
        <is>
          <t>30.893.496/0001-30</t>
        </is>
      </c>
      <c r="C1428" t="inlineStr">
        <is>
          <t>AMOBELEZA COMERCIO DIGITAL E OFFLINE LTDA</t>
        </is>
      </c>
    </row>
    <row r="1429">
      <c r="B1429" s="55" t="inlineStr">
        <is>
          <t>30.910.751/0001-06</t>
        </is>
      </c>
      <c r="C1429" t="inlineStr">
        <is>
          <t>FRANQUEADORA O BURGUES LTDA</t>
        </is>
      </c>
    </row>
    <row r="1430">
      <c r="B1430" s="55" t="inlineStr">
        <is>
          <t>30.929.016/0001-44</t>
        </is>
      </c>
      <c r="C1430" t="inlineStr">
        <is>
          <t>CLICKASA TECNOLOGIA LTDA</t>
        </is>
      </c>
    </row>
    <row r="1431">
      <c r="B1431" s="55" t="inlineStr">
        <is>
          <t>30.929.016/0001-44</t>
        </is>
      </c>
      <c r="C1431" t="inlineStr">
        <is>
          <t>CLICKASA TECNOLOGIA LTDA</t>
        </is>
      </c>
    </row>
    <row r="1432">
      <c r="B1432" s="55" t="inlineStr">
        <is>
          <t>30.929.016/0001-44</t>
        </is>
      </c>
      <c r="C1432" t="inlineStr">
        <is>
          <t>CLICKASA TECNOLOGIA LTDA</t>
        </is>
      </c>
    </row>
    <row r="1433">
      <c r="B1433" s="55" t="inlineStr">
        <is>
          <t>30.929.016/0001-44</t>
        </is>
      </c>
      <c r="C1433" t="inlineStr">
        <is>
          <t>CLICKASA TECNOLOGIA LTDA</t>
        </is>
      </c>
    </row>
    <row r="1434">
      <c r="B1434" s="55" t="inlineStr">
        <is>
          <t>30.929.016/0001-44</t>
        </is>
      </c>
      <c r="C1434" t="inlineStr">
        <is>
          <t>CLICKASA TECNOLOGIA LTDA</t>
        </is>
      </c>
    </row>
    <row r="1435">
      <c r="B1435" s="55" t="inlineStr">
        <is>
          <t>30.947.817/0001-32</t>
        </is>
      </c>
      <c r="C1435" t="inlineStr">
        <is>
          <t>MR LASER EQUIPAMENTOS MEDICOS E ODONTOLOGICOS LTDA</t>
        </is>
      </c>
    </row>
    <row r="1436">
      <c r="B1436" s="55" t="inlineStr">
        <is>
          <t>31.009.678/0001-69</t>
        </is>
      </c>
      <c r="C1436" t="inlineStr">
        <is>
          <t>GAYAH PRODUTOS NATURAIS LTDA</t>
        </is>
      </c>
    </row>
    <row r="1437">
      <c r="B1437" s="55" t="inlineStr">
        <is>
          <t>31.009.678/0001-69</t>
        </is>
      </c>
      <c r="C1437" t="inlineStr">
        <is>
          <t>GAYAH PRODUTOS NATURAIS LTDA</t>
        </is>
      </c>
    </row>
    <row r="1438">
      <c r="B1438" s="55" t="inlineStr">
        <is>
          <t>31.038.643/0001-58</t>
        </is>
      </c>
      <c r="C1438" t="inlineStr">
        <is>
          <t>DIAS E SOUZA APLICATIVOS MEDICOS LTDA</t>
        </is>
      </c>
    </row>
    <row r="1439">
      <c r="B1439" s="55" t="inlineStr">
        <is>
          <t>31.048.276/0001-73</t>
        </is>
      </c>
      <c r="C1439" t="inlineStr">
        <is>
          <t>RADICAL PLAY EMPREENDIMENTOS E PARTICIPACOES LTDA</t>
        </is>
      </c>
    </row>
    <row r="1440">
      <c r="B1440" s="55" t="inlineStr">
        <is>
          <t>31.093.563/0001-03</t>
        </is>
      </c>
      <c r="C1440" t="inlineStr">
        <is>
          <t>JFL HOLDING S.A.</t>
        </is>
      </c>
    </row>
    <row r="1441">
      <c r="B1441" s="55" t="inlineStr">
        <is>
          <t>31.139.606/0001-36</t>
        </is>
      </c>
      <c r="C1441" t="inlineStr">
        <is>
          <t>CINEGAGLIA DROGARIA &amp; PARTICIPACOES LTDA</t>
        </is>
      </c>
    </row>
    <row r="1442">
      <c r="B1442" s="55" t="inlineStr">
        <is>
          <t>31.139.606/0001-36</t>
        </is>
      </c>
      <c r="C1442" t="inlineStr">
        <is>
          <t>CINEGAGLIA DROGARIA &amp; PARTICIPACOES LTDA</t>
        </is>
      </c>
    </row>
    <row r="1443">
      <c r="B1443" s="55" t="inlineStr">
        <is>
          <t>31.139.606/0001-36</t>
        </is>
      </c>
      <c r="C1443" t="inlineStr">
        <is>
          <t>CINEGAGLIA DROGARIA &amp; PARTICIPACOES LTDA</t>
        </is>
      </c>
    </row>
    <row r="1444">
      <c r="B1444" s="55" t="inlineStr">
        <is>
          <t>31.156.544/0001-70</t>
        </is>
      </c>
      <c r="C1444" t="inlineStr">
        <is>
          <t>MAXITEL TELECOMUNICACOES E SERVICOS</t>
        </is>
      </c>
    </row>
    <row r="1445">
      <c r="B1445" s="55" t="inlineStr">
        <is>
          <t>31.216.370/0003-56</t>
        </is>
      </c>
      <c r="C1445" t="inlineStr">
        <is>
          <t>FATOR X TECNOLOGIA DIGITAL LTDA</t>
        </is>
      </c>
    </row>
    <row r="1446">
      <c r="B1446" s="55" t="inlineStr">
        <is>
          <t>31.460.557/0001-39</t>
        </is>
      </c>
      <c r="C1446" t="inlineStr">
        <is>
          <t>LEARMACHS APOIO ADMINISTRATIVO LTDA (baixada)</t>
        </is>
      </c>
    </row>
    <row r="1447">
      <c r="B1447" s="55" t="inlineStr">
        <is>
          <t>31.506.681/0001-98</t>
        </is>
      </c>
      <c r="C1447" t="inlineStr">
        <is>
          <t>ONCAMPI E OPLENA TECNOLOGIA DA INFORMACAO LTDA</t>
        </is>
      </c>
    </row>
    <row r="1448">
      <c r="B1448" s="55" t="inlineStr">
        <is>
          <t>31.534.848/0001-24</t>
        </is>
      </c>
      <c r="C1448" t="inlineStr">
        <is>
          <t>EZZE SEGUROS S.A.</t>
        </is>
      </c>
    </row>
    <row r="1449">
      <c r="B1449" s="55" t="inlineStr">
        <is>
          <t>31.534.848/0001-24</t>
        </is>
      </c>
      <c r="C1449" t="inlineStr">
        <is>
          <t>EZZE SEGUROS S.A.</t>
        </is>
      </c>
    </row>
    <row r="1450">
      <c r="B1450" s="55" t="inlineStr">
        <is>
          <t>31.534.848/0001-24</t>
        </is>
      </c>
      <c r="C1450" t="inlineStr">
        <is>
          <t>EZZE SEGUROS S.A.</t>
        </is>
      </c>
    </row>
    <row r="1451">
      <c r="B1451" s="55" t="inlineStr">
        <is>
          <t>31.538.775/0001-49</t>
        </is>
      </c>
      <c r="C1451" t="inlineStr">
        <is>
          <t>LUIZ PHELIPE ASSUMPCAO DE SOUZA 02588000703 (baixada)</t>
        </is>
      </c>
    </row>
    <row r="1452">
      <c r="B1452" s="55" t="inlineStr">
        <is>
          <t>31.575.186/0032-37</t>
        </is>
      </c>
      <c r="C1452" t="inlineStr">
        <is>
          <t>TECNOPHARMA FARMACIA DE MANIPULACAO LTDA</t>
        </is>
      </c>
    </row>
    <row r="1453">
      <c r="B1453" s="55" t="inlineStr">
        <is>
          <t>31.575.186/0032-37</t>
        </is>
      </c>
      <c r="C1453" t="inlineStr">
        <is>
          <t>TECNOPHARMA FARMACIA DE MANIPULACAO LTDA</t>
        </is>
      </c>
    </row>
    <row r="1454">
      <c r="B1454" s="55" t="inlineStr">
        <is>
          <t>31.575.186/0032-37</t>
        </is>
      </c>
      <c r="C1454" t="inlineStr">
        <is>
          <t>TECNOPHARMA FARMACIA DE MANIPULACAO LTDA</t>
        </is>
      </c>
    </row>
    <row r="1455">
      <c r="B1455" s="55" t="inlineStr">
        <is>
          <t>31.587.446/0001-98</t>
        </is>
      </c>
      <c r="C1455" t="inlineStr">
        <is>
          <t>PASQUINI &amp; ANDRADE COMERCIO DE MEDICAMENTOS LTDA</t>
        </is>
      </c>
    </row>
    <row r="1456">
      <c r="B1456" s="55" t="inlineStr">
        <is>
          <t>31.645.486/0001-49</t>
        </is>
      </c>
      <c r="C1456" t="inlineStr">
        <is>
          <t>EMOCIONES COMERCIO DE BEBIDAS E ALIMENTOS LTDA.</t>
        </is>
      </c>
    </row>
    <row r="1457">
      <c r="B1457" s="55" t="inlineStr">
        <is>
          <t>31.645.486/0001-49</t>
        </is>
      </c>
      <c r="C1457" t="inlineStr">
        <is>
          <t>EMOCIONES COMERCIO DE BEBIDAS E ALIMENTOS LTDA.</t>
        </is>
      </c>
    </row>
    <row r="1458">
      <c r="B1458" s="55" t="inlineStr">
        <is>
          <t>31.645.486/0001-49</t>
        </is>
      </c>
      <c r="C1458" t="inlineStr">
        <is>
          <t>EMOCIONES COMERCIO DE BEBIDAS E ALIMENTOS LTDA.</t>
        </is>
      </c>
    </row>
    <row r="1459">
      <c r="B1459" s="55" t="inlineStr">
        <is>
          <t>31.694.545/0001-79</t>
        </is>
      </c>
      <c r="C1459" t="inlineStr">
        <is>
          <t>KEEPCARE EQUIPAMENTOS E PRODUTOS MEDICOS LTDA</t>
        </is>
      </c>
    </row>
    <row r="1460">
      <c r="B1460" s="55" t="inlineStr">
        <is>
          <t>31.694.545/0001-79</t>
        </is>
      </c>
      <c r="C1460" t="inlineStr">
        <is>
          <t>KEEPCARE EQUIPAMENTOS E PRODUTOS MEDICOS LTDA</t>
        </is>
      </c>
    </row>
    <row r="1461">
      <c r="B1461" s="55" t="inlineStr">
        <is>
          <t>31.694.545/0001-79</t>
        </is>
      </c>
      <c r="C1461" t="inlineStr">
        <is>
          <t>KEEPCARE EQUIPAMENTOS E PRODUTOS MEDICOS LTDA</t>
        </is>
      </c>
    </row>
    <row r="1462">
      <c r="B1462" s="55" t="inlineStr">
        <is>
          <t>31.694.545/0001-79</t>
        </is>
      </c>
      <c r="C1462" t="inlineStr">
        <is>
          <t>KEEPCARE EQUIPAMENTOS E PRODUTOS MEDICOS LTDA</t>
        </is>
      </c>
    </row>
    <row r="1463">
      <c r="B1463" s="55" t="inlineStr">
        <is>
          <t>31.694.545/0001-79</t>
        </is>
      </c>
      <c r="C1463" t="inlineStr">
        <is>
          <t>KEEPCARE EQUIPAMENTOS E PRODUTOS MEDICOS LTDA</t>
        </is>
      </c>
    </row>
    <row r="1464">
      <c r="B1464" s="55" t="inlineStr">
        <is>
          <t>31.698.508/0001-39</t>
        </is>
      </c>
      <c r="C1464" t="inlineStr">
        <is>
          <t>ISOACO REPRESENTACOES LTDA</t>
        </is>
      </c>
    </row>
    <row r="1465">
      <c r="B1465" s="55" t="inlineStr">
        <is>
          <t>31.709.272/0001-99</t>
        </is>
      </c>
      <c r="C1465" t="inlineStr">
        <is>
          <t>AZECYP HOTELARIA E TURISMO S/A</t>
        </is>
      </c>
    </row>
    <row r="1466">
      <c r="B1466" s="55" t="inlineStr">
        <is>
          <t>31.709.272/0001-99</t>
        </is>
      </c>
      <c r="C1466" t="inlineStr">
        <is>
          <t>AZECYP HOTELARIA E TURISMO S/A</t>
        </is>
      </c>
    </row>
    <row r="1467">
      <c r="B1467" s="55" t="inlineStr">
        <is>
          <t>31.709.272/0001-99</t>
        </is>
      </c>
      <c r="C1467" t="inlineStr">
        <is>
          <t>AZECYP HOTELARIA E TURISMO S/A</t>
        </is>
      </c>
    </row>
    <row r="1468">
      <c r="B1468" s="55" t="inlineStr">
        <is>
          <t>31.743.818/0022-52</t>
        </is>
      </c>
      <c r="C1468" t="inlineStr">
        <is>
          <t>LOJAS SIMONETTI LTDA</t>
        </is>
      </c>
    </row>
    <row r="1469">
      <c r="B1469" s="55" t="inlineStr">
        <is>
          <t>31.784.826/0001-12</t>
        </is>
      </c>
      <c r="C1469" t="inlineStr">
        <is>
          <t>PAH INTERMEDIACAO DE NEGOCIOS LTDA (baixada)</t>
        </is>
      </c>
    </row>
    <row r="1470">
      <c r="B1470" s="55" t="inlineStr">
        <is>
          <t>31.801.778/0001-23</t>
        </is>
      </c>
      <c r="C1470" t="inlineStr">
        <is>
          <t>BUMING TECNOLOGIA LTDA</t>
        </is>
      </c>
    </row>
    <row r="1471">
      <c r="B1471" s="55" t="inlineStr">
        <is>
          <t>31.840.020/0001-02</t>
        </is>
      </c>
      <c r="C1471" t="inlineStr">
        <is>
          <t>NOVA URCA PARTICIPACOES LTDA</t>
        </is>
      </c>
    </row>
    <row r="1472">
      <c r="B1472" s="55" t="inlineStr">
        <is>
          <t>31.882.622/0001-14</t>
        </is>
      </c>
      <c r="C1472" t="inlineStr">
        <is>
          <t>KGX TECNOLOGIA EM PAGAMENTOS E INVESTIMENTOS S.A.</t>
        </is>
      </c>
    </row>
    <row r="1473">
      <c r="B1473" s="55" t="inlineStr">
        <is>
          <t>31.925.548/0001-76</t>
        </is>
      </c>
      <c r="C1473" t="inlineStr">
        <is>
          <t>GRUPO HOSPITALAR DO RIO DE JANEIRO LTDA.</t>
        </is>
      </c>
    </row>
    <row r="1474">
      <c r="B1474" s="55" t="inlineStr">
        <is>
          <t>31.925.548/0001-76</t>
        </is>
      </c>
      <c r="C1474" t="inlineStr">
        <is>
          <t>GRUPO HOSPITALAR DO RIO DE JANEIRO LTDA.</t>
        </is>
      </c>
    </row>
    <row r="1475">
      <c r="B1475" s="55" t="inlineStr">
        <is>
          <t>31.925.548/0001-76</t>
        </is>
      </c>
      <c r="C1475" t="inlineStr">
        <is>
          <t>GRUPO HOSPITALAR DO RIO DE JANEIRO LTDA.</t>
        </is>
      </c>
    </row>
    <row r="1476">
      <c r="B1476" s="55" t="inlineStr">
        <is>
          <t>31.925.548/0001-76</t>
        </is>
      </c>
      <c r="C1476" t="inlineStr">
        <is>
          <t>GRUPO HOSPITALAR DO RIO DE JANEIRO LTDA.</t>
        </is>
      </c>
    </row>
    <row r="1477">
      <c r="B1477" s="55" t="inlineStr">
        <is>
          <t>31.925.548/0001-76</t>
        </is>
      </c>
      <c r="C1477" t="inlineStr">
        <is>
          <t>GRUPO HOSPITALAR DO RIO DE JANEIRO LTDA.</t>
        </is>
      </c>
    </row>
    <row r="1478">
      <c r="B1478" s="55" t="inlineStr">
        <is>
          <t>31.925.548/0001-76</t>
        </is>
      </c>
      <c r="C1478" t="inlineStr">
        <is>
          <t>GRUPO HOSPITALAR DO RIO DE JANEIRO LTDA.</t>
        </is>
      </c>
    </row>
    <row r="1479">
      <c r="B1479" s="55" t="inlineStr">
        <is>
          <t>31.969.453/0001-54</t>
        </is>
      </c>
      <c r="C1479" t="inlineStr">
        <is>
          <t>PLANCK TECNOLOGIA LTDA</t>
        </is>
      </c>
    </row>
    <row r="1480">
      <c r="B1480" s="55" t="inlineStr">
        <is>
          <t>32.150.686/0001-93</t>
        </is>
      </c>
      <c r="C1480" t="inlineStr">
        <is>
          <t>VOLTBRAS ELETROPOSTOS AGENCIAMENTO LTDA</t>
        </is>
      </c>
    </row>
    <row r="1481">
      <c r="B1481" s="55" t="inlineStr">
        <is>
          <t>32.183.756/0001-00</t>
        </is>
      </c>
      <c r="C1481" t="inlineStr">
        <is>
          <t>ACTIVE PAGAMENTOS E MARKETING LTDA</t>
        </is>
      </c>
    </row>
    <row r="1482">
      <c r="B1482" s="55" t="inlineStr">
        <is>
          <t>32.207.148/0001-98</t>
        </is>
      </c>
      <c r="C1482" t="inlineStr">
        <is>
          <t>JPS COMERCIO DE ALIMENTOS E ARTIGOS PARA FESTAS LTDA</t>
        </is>
      </c>
    </row>
    <row r="1483">
      <c r="B1483" s="55" t="inlineStr">
        <is>
          <t>32.207.148/0001-98</t>
        </is>
      </c>
      <c r="C1483" t="inlineStr">
        <is>
          <t>JPS COMERCIO DE ALIMENTOS E ARTIGOS PARA FESTAS LTDA</t>
        </is>
      </c>
    </row>
    <row r="1484">
      <c r="B1484" s="55" t="inlineStr">
        <is>
          <t>32.216.336/0001-82</t>
        </is>
      </c>
      <c r="C1484" t="inlineStr">
        <is>
          <t>FUNNING SERVICOS DE RESERVA E TURISMO LTDA (baixada)</t>
        </is>
      </c>
    </row>
    <row r="1485">
      <c r="B1485" s="55" t="inlineStr">
        <is>
          <t>32.265.287/0001-78</t>
        </is>
      </c>
      <c r="C1485" t="inlineStr">
        <is>
          <t>P R PONTIM BERTOLINO VIAGENS LTDA</t>
        </is>
      </c>
    </row>
    <row r="1486">
      <c r="B1486" s="55" t="inlineStr">
        <is>
          <t>32.270.838/0001-91</t>
        </is>
      </c>
      <c r="C1486" t="inlineStr">
        <is>
          <t>FORTLEV ENERGIA SOLAR LTDA</t>
        </is>
      </c>
    </row>
    <row r="1487">
      <c r="B1487" s="55" t="inlineStr">
        <is>
          <t>32.270.838/0001-91</t>
        </is>
      </c>
      <c r="C1487" t="inlineStr">
        <is>
          <t>FORTLEV ENERGIA SOLAR LTDA</t>
        </is>
      </c>
    </row>
    <row r="1488">
      <c r="B1488" s="55" t="inlineStr">
        <is>
          <t>32.270.838/0001-91</t>
        </is>
      </c>
      <c r="C1488" t="inlineStr">
        <is>
          <t>FORTLEV ENERGIA SOLAR LTDA</t>
        </is>
      </c>
    </row>
    <row r="1489">
      <c r="B1489" s="55" t="inlineStr">
        <is>
          <t>32.270.838/0001-91</t>
        </is>
      </c>
      <c r="C1489" t="inlineStr">
        <is>
          <t>FORTLEV ENERGIA SOLAR LTDA</t>
        </is>
      </c>
    </row>
    <row r="1490">
      <c r="B1490" s="55" t="inlineStr">
        <is>
          <t>32.270.838/0001-91</t>
        </is>
      </c>
      <c r="C1490" t="inlineStr">
        <is>
          <t>FORTLEV ENERGIA SOLAR LTDA</t>
        </is>
      </c>
    </row>
    <row r="1491">
      <c r="B1491" s="55" t="inlineStr">
        <is>
          <t>32.270.838/0001-91</t>
        </is>
      </c>
      <c r="C1491" t="inlineStr">
        <is>
          <t>FORTLEV ENERGIA SOLAR LTDA</t>
        </is>
      </c>
    </row>
    <row r="1492">
      <c r="B1492" s="55" t="inlineStr">
        <is>
          <t>32.270.838/0001-91</t>
        </is>
      </c>
      <c r="C1492" t="inlineStr">
        <is>
          <t>FORTLEV ENERGIA SOLAR LTDA</t>
        </is>
      </c>
    </row>
    <row r="1493">
      <c r="B1493" s="55" t="inlineStr">
        <is>
          <t>32.283.506/0001-41</t>
        </is>
      </c>
      <c r="C1493" t="inlineStr">
        <is>
          <t>MODULACAO INTESTINAL CURSO E POS GRADUACAO LTDA</t>
        </is>
      </c>
    </row>
    <row r="1494">
      <c r="B1494" s="55" t="inlineStr">
        <is>
          <t>32.283.506/0001-41</t>
        </is>
      </c>
      <c r="C1494" t="inlineStr">
        <is>
          <t>MODULACAO INTESTINAL CURSO E POS GRADUACAO LTDA</t>
        </is>
      </c>
    </row>
    <row r="1495">
      <c r="B1495" s="55" t="inlineStr">
        <is>
          <t>32.283.506/0001-41</t>
        </is>
      </c>
      <c r="C1495" t="inlineStr">
        <is>
          <t>MODULACAO INTESTINAL CURSO E POS GRADUACAO LTDA</t>
        </is>
      </c>
    </row>
    <row r="1496">
      <c r="B1496" s="55" t="inlineStr">
        <is>
          <t>32.294.680/0001-90</t>
        </is>
      </c>
      <c r="C1496" t="inlineStr">
        <is>
          <t>SMR PARTICIPACOES E INVESTIMENTOS S.A</t>
        </is>
      </c>
    </row>
    <row r="1497">
      <c r="B1497" s="55" t="inlineStr">
        <is>
          <t>32.295.635/0001-50</t>
        </is>
      </c>
      <c r="C1497" t="inlineStr">
        <is>
          <t>SCUBGO TECHNOLOGIES LTDA</t>
        </is>
      </c>
    </row>
    <row r="1498">
      <c r="B1498" s="55" t="inlineStr">
        <is>
          <t>32.306.307/0001-01</t>
        </is>
      </c>
      <c r="C1498" t="inlineStr">
        <is>
          <t>BEAUTY LABS COSMETICOS LTDA</t>
        </is>
      </c>
    </row>
    <row r="1499">
      <c r="B1499" s="55" t="inlineStr">
        <is>
          <t>32.306.307/0001-01</t>
        </is>
      </c>
      <c r="C1499" t="inlineStr">
        <is>
          <t>BEAUTY LABS COSMETICOS LTDA</t>
        </is>
      </c>
    </row>
    <row r="1500">
      <c r="B1500" s="55" t="inlineStr">
        <is>
          <t>32.306.307/0001-01</t>
        </is>
      </c>
      <c r="C1500" t="inlineStr">
        <is>
          <t>BEAUTY LABS COSMETICOS LTDA</t>
        </is>
      </c>
    </row>
    <row r="1501">
      <c r="B1501" s="55" t="inlineStr">
        <is>
          <t>32.382.845/0001-85</t>
        </is>
      </c>
      <c r="C1501" t="inlineStr">
        <is>
          <t>NO MERCADO REPRESENTACOES LTDA</t>
        </is>
      </c>
    </row>
    <row r="1502">
      <c r="B1502" s="55" t="inlineStr">
        <is>
          <t>32.452.219/0001-18</t>
        </is>
      </c>
      <c r="C1502" t="inlineStr">
        <is>
          <t>BREW IN BOX AUTOMACAO DE SISTEMAS INDUSTRIAIS LTDA</t>
        </is>
      </c>
    </row>
    <row r="1503">
      <c r="B1503" s="55" t="inlineStr">
        <is>
          <t>32.452.219/0001-18</t>
        </is>
      </c>
      <c r="C1503" t="inlineStr">
        <is>
          <t>BREW IN BOX AUTOMACAO DE SISTEMAS INDUSTRIAIS LTDA</t>
        </is>
      </c>
    </row>
    <row r="1504">
      <c r="B1504" s="55" t="inlineStr">
        <is>
          <t>32.547.215/0001-13</t>
        </is>
      </c>
      <c r="C1504" t="inlineStr">
        <is>
          <t>BRYDGE SERVICOS DIGITAIS S.A.</t>
        </is>
      </c>
    </row>
    <row r="1505">
      <c r="B1505" s="55" t="inlineStr">
        <is>
          <t>32.655.804/0001-15</t>
        </is>
      </c>
      <c r="C1505" t="inlineStr">
        <is>
          <t>JOALHERIA 18K LTDA</t>
        </is>
      </c>
    </row>
    <row r="1506">
      <c r="B1506" s="55" t="inlineStr">
        <is>
          <t>32.655.804/0001-15</t>
        </is>
      </c>
      <c r="C1506" t="inlineStr">
        <is>
          <t>JOALHERIA 18K LTDA</t>
        </is>
      </c>
    </row>
    <row r="1507">
      <c r="B1507" s="55" t="inlineStr">
        <is>
          <t>32.771.034/0001-76</t>
        </is>
      </c>
      <c r="C1507" t="inlineStr">
        <is>
          <t>CLIOMED MEDICINA DO TRABALHO SERVICOS MEDICOS HOSPITALARES LTDA</t>
        </is>
      </c>
    </row>
    <row r="1508">
      <c r="B1508" s="55" t="inlineStr">
        <is>
          <t>32.804.472/0001-93</t>
        </is>
      </c>
      <c r="C1508" t="inlineStr">
        <is>
          <t>DAGER COMERCIO ATACADISTA DE EMBALAGENS E ALIMENTOS LTDA</t>
        </is>
      </c>
    </row>
    <row r="1509">
      <c r="B1509" s="55" t="inlineStr">
        <is>
          <t>32.804.472/0001-93</t>
        </is>
      </c>
      <c r="C1509" t="inlineStr">
        <is>
          <t>DAGER COMERCIO ATACADISTA DE EMBALAGENS E ALIMENTOS LTDA</t>
        </is>
      </c>
    </row>
    <row r="1510">
      <c r="B1510" s="55" t="inlineStr">
        <is>
          <t>32.815.096/0001-32</t>
        </is>
      </c>
      <c r="C1510" t="inlineStr">
        <is>
          <t>LUIZ EDUARDO RODRIGUES DA SILVA 02913935788</t>
        </is>
      </c>
    </row>
    <row r="1511">
      <c r="B1511" s="55" t="inlineStr">
        <is>
          <t>32.925.313/0001-47</t>
        </is>
      </c>
      <c r="C1511" t="inlineStr">
        <is>
          <t>UTTILI DO BRASIL TECNOLOGIA LTDA</t>
        </is>
      </c>
    </row>
    <row r="1512">
      <c r="B1512" s="55" t="inlineStr">
        <is>
          <t>32.951.535/0001-34</t>
        </is>
      </c>
      <c r="C1512" t="inlineStr">
        <is>
          <t>ELETROMAR MOVEIS E ELETRODOMESTICOS LTDA</t>
        </is>
      </c>
    </row>
    <row r="1513">
      <c r="B1513" s="55" t="inlineStr">
        <is>
          <t>32.951.535/0001-34</t>
        </is>
      </c>
      <c r="C1513" t="inlineStr">
        <is>
          <t>ELETROMAR MOVEIS E ELETRODOMESTICOS LTDA</t>
        </is>
      </c>
    </row>
    <row r="1514">
      <c r="B1514" s="55" t="inlineStr">
        <is>
          <t>33.042.096/0001-00</t>
        </is>
      </c>
      <c r="C1514" t="inlineStr">
        <is>
          <t>BEAUTY AT PLACE SOLUCOES E TECNOLOGIA LTDA</t>
        </is>
      </c>
    </row>
    <row r="1515">
      <c r="B1515" s="55" t="inlineStr">
        <is>
          <t>33.054.115/0001-18</t>
        </is>
      </c>
      <c r="C1515" t="inlineStr">
        <is>
          <t>AVIPAM VIAGENS E TURISMO LTDA</t>
        </is>
      </c>
    </row>
    <row r="1516">
      <c r="B1516" s="55" t="inlineStr">
        <is>
          <t>33.054.115/0001-18</t>
        </is>
      </c>
      <c r="C1516" t="inlineStr">
        <is>
          <t>AVIPAM VIAGENS E TURISMO LTDA</t>
        </is>
      </c>
    </row>
    <row r="1517">
      <c r="B1517" s="55" t="inlineStr">
        <is>
          <t>33.054.115/0001-18</t>
        </is>
      </c>
      <c r="C1517" t="inlineStr">
        <is>
          <t>AVIPAM VIAGENS E TURISMO LTDA</t>
        </is>
      </c>
    </row>
    <row r="1518">
      <c r="B1518" s="55" t="inlineStr">
        <is>
          <t>33.054.115/0001-18</t>
        </is>
      </c>
      <c r="C1518" t="inlineStr">
        <is>
          <t>AVIPAM VIAGENS E TURISMO LTDA</t>
        </is>
      </c>
    </row>
    <row r="1519">
      <c r="B1519" s="55" t="inlineStr">
        <is>
          <t>33.054.115/0001-18</t>
        </is>
      </c>
      <c r="C1519" t="inlineStr">
        <is>
          <t>AVIPAM VIAGENS E TURISMO LTDA</t>
        </is>
      </c>
    </row>
    <row r="1520">
      <c r="B1520" s="55" t="inlineStr">
        <is>
          <t>33.093.629/0001-82</t>
        </is>
      </c>
      <c r="C1520" t="inlineStr">
        <is>
          <t>SOL E FLORA LTDA</t>
        </is>
      </c>
    </row>
    <row r="1521">
      <c r="B1521" s="55" t="inlineStr">
        <is>
          <t>33.093.629/0001-82</t>
        </is>
      </c>
      <c r="C1521" t="inlineStr">
        <is>
          <t>SOL E FLORA LTDA</t>
        </is>
      </c>
    </row>
    <row r="1522">
      <c r="B1522" s="55" t="inlineStr">
        <is>
          <t>33.149.011/0001-97</t>
        </is>
      </c>
      <c r="C1522" t="inlineStr">
        <is>
          <t>IN9VA SISTEMA EM GESTAO DE SAUDE LTDA</t>
        </is>
      </c>
    </row>
    <row r="1523">
      <c r="B1523" s="55" t="inlineStr">
        <is>
          <t>33.150.606/0001-62</t>
        </is>
      </c>
      <c r="C1523" t="inlineStr">
        <is>
          <t>REDE AGRO FIDELIDADE E INTERMEDIACAO S.A.</t>
        </is>
      </c>
    </row>
    <row r="1524">
      <c r="B1524" s="55" t="inlineStr">
        <is>
          <t>33.150.606/0001-62</t>
        </is>
      </c>
      <c r="C1524" t="inlineStr">
        <is>
          <t>REDE AGRO FIDELIDADE E INTERMEDIACAO S.A.</t>
        </is>
      </c>
    </row>
    <row r="1525">
      <c r="B1525" s="55" t="inlineStr">
        <is>
          <t>33.150.606/0001-62</t>
        </is>
      </c>
      <c r="C1525" t="inlineStr">
        <is>
          <t>REDE AGRO FIDELIDADE E INTERMEDIACAO S.A.</t>
        </is>
      </c>
    </row>
    <row r="1526">
      <c r="B1526" s="55" t="inlineStr">
        <is>
          <t>33.150.606/0001-62</t>
        </is>
      </c>
      <c r="C1526" t="inlineStr">
        <is>
          <t>REDE AGRO FIDELIDADE E INTERMEDIACAO S.A.</t>
        </is>
      </c>
    </row>
    <row r="1527">
      <c r="B1527" s="55" t="inlineStr">
        <is>
          <t>33.164.021/0001-00</t>
        </is>
      </c>
      <c r="C1527" t="inlineStr">
        <is>
          <t>TOKIO MARINE SEGURADORA S.A.</t>
        </is>
      </c>
    </row>
    <row r="1528">
      <c r="B1528" s="55" t="inlineStr">
        <is>
          <t>33.164.021/0001-00</t>
        </is>
      </c>
      <c r="C1528" t="inlineStr">
        <is>
          <t>TOKIO MARINE SEGURADORA S.A.</t>
        </is>
      </c>
    </row>
    <row r="1529">
      <c r="B1529" s="55" t="inlineStr">
        <is>
          <t>33.205.451/0001-14</t>
        </is>
      </c>
      <c r="C1529" t="inlineStr">
        <is>
          <t>ORDEM DOS ADVOGADOS DO BRASIL CONSELHO FEDERAL</t>
        </is>
      </c>
    </row>
    <row r="1530">
      <c r="B1530" s="55" t="inlineStr">
        <is>
          <t>33.229.410/0001-68</t>
        </is>
      </c>
      <c r="C1530" t="inlineStr">
        <is>
          <t>CIA CAMINHO AEREO PAO DE ACUCAR</t>
        </is>
      </c>
    </row>
    <row r="1531">
      <c r="B1531" s="55" t="inlineStr">
        <is>
          <t>33.229.410/0001-68</t>
        </is>
      </c>
      <c r="C1531" t="inlineStr">
        <is>
          <t>CIA CAMINHO AEREO PAO DE ACUCAR</t>
        </is>
      </c>
    </row>
    <row r="1532">
      <c r="B1532" s="55" t="inlineStr">
        <is>
          <t>33.303.218/0001-74</t>
        </is>
      </c>
      <c r="C1532" t="inlineStr">
        <is>
          <t>KOOPFY PAGAMENTOS E TECNOLOGIA LTDA</t>
        </is>
      </c>
    </row>
    <row r="1533">
      <c r="B1533" s="55" t="inlineStr">
        <is>
          <t>33.369.493/0001-90</t>
        </is>
      </c>
      <c r="C1533" t="inlineStr">
        <is>
          <t>BIOCORP SERVICOS LTDA</t>
        </is>
      </c>
    </row>
    <row r="1534">
      <c r="B1534" s="55" t="inlineStr">
        <is>
          <t>33.369.493/0001-90</t>
        </is>
      </c>
      <c r="C1534" t="inlineStr">
        <is>
          <t>BIOCORP SERVICOS LTDA</t>
        </is>
      </c>
    </row>
    <row r="1535">
      <c r="B1535" s="55" t="inlineStr">
        <is>
          <t>33.381.286/0001-51</t>
        </is>
      </c>
      <c r="C1535" t="inlineStr">
        <is>
          <t>SUPER MERCADO ZONA SUL S A</t>
        </is>
      </c>
    </row>
    <row r="1536">
      <c r="B1536" s="55" t="inlineStr">
        <is>
          <t>33.381.286/0001-51</t>
        </is>
      </c>
      <c r="C1536" t="inlineStr">
        <is>
          <t>SUPER MERCADO ZONA SUL S A</t>
        </is>
      </c>
    </row>
    <row r="1537">
      <c r="B1537" s="55" t="inlineStr">
        <is>
          <t>33.461.759/0001-20</t>
        </is>
      </c>
      <c r="C1537" t="inlineStr">
        <is>
          <t>PO DE CHA BRASIL, COMERCIO VAREJISTA E ATACADISTA DE PRODUTOS VEGETAIS DESIDRATADOS LTDA</t>
        </is>
      </c>
    </row>
    <row r="1538">
      <c r="B1538" s="55" t="inlineStr">
        <is>
          <t>33.461.759/0001-20</t>
        </is>
      </c>
      <c r="C1538" t="inlineStr">
        <is>
          <t>PO DE CHA BRASIL, COMERCIO VAREJISTA E ATACADISTA DE PRODUTOS VEGETAIS DESIDRATADOS LTDA</t>
        </is>
      </c>
    </row>
    <row r="1539">
      <c r="B1539" s="55" t="inlineStr">
        <is>
          <t>33.461.759/0001-20</t>
        </is>
      </c>
      <c r="C1539" t="inlineStr">
        <is>
          <t>PO DE CHA BRASIL, COMERCIO VAREJISTA E ATACADISTA DE PRODUTOS VEGETAIS DESIDRATADOS LTDA</t>
        </is>
      </c>
    </row>
    <row r="1540">
      <c r="B1540" s="55" t="inlineStr">
        <is>
          <t>33.461.759/0001-20</t>
        </is>
      </c>
      <c r="C1540" t="inlineStr">
        <is>
          <t>PO DE CHA BRASIL, COMERCIO VAREJISTA E ATACADISTA DE PRODUTOS VEGETAIS DESIDRATADOS LTDA</t>
        </is>
      </c>
    </row>
    <row r="1541">
      <c r="B1541" s="55" t="inlineStr">
        <is>
          <t>33.495.771/0001-56</t>
        </is>
      </c>
      <c r="C1541" t="inlineStr">
        <is>
          <t>DISTRIBUIDORA RECORD DE SERVICOS DE IMPRENSA S A</t>
        </is>
      </c>
    </row>
    <row r="1542">
      <c r="B1542" s="55" t="inlineStr">
        <is>
          <t>33.495.771/0001-56</t>
        </is>
      </c>
      <c r="C1542" t="inlineStr">
        <is>
          <t>DISTRIBUIDORA RECORD DE SERVICOS DE IMPRENSA S A</t>
        </is>
      </c>
    </row>
    <row r="1543">
      <c r="B1543" s="55" t="inlineStr">
        <is>
          <t>33.647.553/0001-90</t>
        </is>
      </c>
      <c r="C1543" t="inlineStr">
        <is>
          <t>FLUMINENSE FOOTBALL CLUB</t>
        </is>
      </c>
    </row>
    <row r="1544">
      <c r="B1544" s="55" t="inlineStr">
        <is>
          <t>33.647.553/0001-90</t>
        </is>
      </c>
      <c r="C1544" t="inlineStr">
        <is>
          <t>FLUMINENSE FOOTBALL CLUB</t>
        </is>
      </c>
    </row>
    <row r="1545">
      <c r="B1545" s="55" t="inlineStr">
        <is>
          <t>33.647.553/0001-90</t>
        </is>
      </c>
      <c r="C1545" t="inlineStr">
        <is>
          <t>FLUMINENSE FOOTBALL CLUB</t>
        </is>
      </c>
    </row>
    <row r="1546">
      <c r="B1546" s="55" t="inlineStr">
        <is>
          <t>33.788.431/0001-13</t>
        </is>
      </c>
      <c r="C1546" t="inlineStr">
        <is>
          <t>UNIAO DOS ESCOTEIROS DO BRASIL</t>
        </is>
      </c>
    </row>
    <row r="1547">
      <c r="B1547" s="55" t="inlineStr">
        <is>
          <t>33.788.431/0001-13</t>
        </is>
      </c>
      <c r="C1547" t="inlineStr">
        <is>
          <t>UNIAO DOS ESCOTEIROS DO BRASIL</t>
        </is>
      </c>
    </row>
    <row r="1548">
      <c r="B1548" s="55" t="inlineStr">
        <is>
          <t>33.788.431/0001-13</t>
        </is>
      </c>
      <c r="C1548" t="inlineStr">
        <is>
          <t>UNIAO DOS ESCOTEIROS DO BRASIL</t>
        </is>
      </c>
    </row>
    <row r="1549">
      <c r="B1549" s="55" t="inlineStr">
        <is>
          <t>33.795.303/0001-05</t>
        </is>
      </c>
      <c r="C1549" t="inlineStr">
        <is>
          <t>ARRAIAL CANA BRAVA HOTEL LTDA</t>
        </is>
      </c>
    </row>
    <row r="1550">
      <c r="B1550" s="55" t="inlineStr">
        <is>
          <t>33.795.303/0001-05</t>
        </is>
      </c>
      <c r="C1550" t="inlineStr">
        <is>
          <t>ARRAIAL CANA BRAVA HOTEL LTDA</t>
        </is>
      </c>
    </row>
    <row r="1551">
      <c r="B1551" s="55" t="inlineStr">
        <is>
          <t>33.795.303/0001-05</t>
        </is>
      </c>
      <c r="C1551" t="inlineStr">
        <is>
          <t>ARRAIAL CANA BRAVA HOTEL LTDA</t>
        </is>
      </c>
    </row>
    <row r="1552">
      <c r="B1552" s="55" t="inlineStr">
        <is>
          <t>33.795.303/0001-05</t>
        </is>
      </c>
      <c r="C1552" t="inlineStr">
        <is>
          <t>ARRAIAL CANA BRAVA HOTEL LTDA</t>
        </is>
      </c>
    </row>
    <row r="1553">
      <c r="B1553" s="55" t="inlineStr">
        <is>
          <t>33.795.303/0001-05</t>
        </is>
      </c>
      <c r="C1553" t="inlineStr">
        <is>
          <t>ARRAIAL CANA BRAVA HOTEL LTDA</t>
        </is>
      </c>
    </row>
    <row r="1554">
      <c r="B1554" s="55" t="inlineStr">
        <is>
          <t>33.834.585/0001-02</t>
        </is>
      </c>
      <c r="C1554" t="inlineStr">
        <is>
          <t>RR PLAS LTDA</t>
        </is>
      </c>
    </row>
    <row r="1555">
      <c r="B1555" s="55" t="inlineStr">
        <is>
          <t>33.837.516/0001-44</t>
        </is>
      </c>
      <c r="C1555" t="inlineStr">
        <is>
          <t>MOOBTRUCK TECNOLOGIA EM LOGISTICA LTDA</t>
        </is>
      </c>
    </row>
    <row r="1556">
      <c r="B1556" s="55" t="inlineStr">
        <is>
          <t>33.840.462/0001-76</t>
        </is>
      </c>
      <c r="C1556" t="inlineStr">
        <is>
          <t>VOA TRANSFORMACAO HOTELEIRA LTDA</t>
        </is>
      </c>
    </row>
    <row r="1557">
      <c r="B1557" s="55" t="inlineStr">
        <is>
          <t>33.840.462/0001-76</t>
        </is>
      </c>
      <c r="C1557" t="inlineStr">
        <is>
          <t>VOA TRANSFORMACAO HOTELEIRA LTDA</t>
        </is>
      </c>
    </row>
    <row r="1558">
      <c r="B1558" s="55" t="inlineStr">
        <is>
          <t>33.840.462/0001-76</t>
        </is>
      </c>
      <c r="C1558" t="inlineStr">
        <is>
          <t>VOA TRANSFORMACAO HOTELEIRA LTDA</t>
        </is>
      </c>
    </row>
    <row r="1559">
      <c r="B1559" s="55" t="inlineStr">
        <is>
          <t>33.916.772/0001-27</t>
        </is>
      </c>
      <c r="C1559" t="inlineStr">
        <is>
          <t>QUINTA SEMENTE COMERCIO DE ALIMENTOS LTDA</t>
        </is>
      </c>
    </row>
    <row r="1560">
      <c r="B1560" s="55" t="inlineStr">
        <is>
          <t>33.972.742/0001-38</t>
        </is>
      </c>
      <c r="C1560" t="inlineStr">
        <is>
          <t>DIGITAL IQ ATIVIDADES DE INTERNET LTDA</t>
        </is>
      </c>
    </row>
    <row r="1561">
      <c r="B1561" s="55" t="inlineStr">
        <is>
          <t>34.003.834/0001-72</t>
        </is>
      </c>
      <c r="C1561" t="inlineStr">
        <is>
          <t>ILHA TOUR AGENCIA DE VIAGENS LTDA</t>
        </is>
      </c>
    </row>
    <row r="1562">
      <c r="B1562" s="55" t="inlineStr">
        <is>
          <t>34.003.834/0001-72</t>
        </is>
      </c>
      <c r="C1562" t="inlineStr">
        <is>
          <t>ILHA TOUR AGENCIA DE VIAGENS LTDA</t>
        </is>
      </c>
    </row>
    <row r="1563">
      <c r="B1563" s="55" t="inlineStr">
        <is>
          <t>34.046.589/0003-42</t>
        </is>
      </c>
      <c r="C1563" t="inlineStr">
        <is>
          <t>S R S CALCADOS E ACESSORIOS LTDA</t>
        </is>
      </c>
    </row>
    <row r="1564">
      <c r="B1564" s="55" t="inlineStr">
        <is>
          <t>34.094.104/0001-24</t>
        </is>
      </c>
      <c r="C1564" t="inlineStr">
        <is>
          <t>OPLAB TECNOLOGIA LTDA</t>
        </is>
      </c>
    </row>
    <row r="1565">
      <c r="B1565" s="55" t="inlineStr">
        <is>
          <t>34.094.104/0001-24</t>
        </is>
      </c>
      <c r="C1565" t="inlineStr">
        <is>
          <t>OPLAB TECNOLOGIA LTDA</t>
        </is>
      </c>
    </row>
    <row r="1566">
      <c r="B1566" s="55" t="inlineStr">
        <is>
          <t>34.109.335/0001-64</t>
        </is>
      </c>
      <c r="C1566" t="inlineStr">
        <is>
          <t>VEGA TECNOLOGIA EM PAGAMENTOS LTDA</t>
        </is>
      </c>
    </row>
    <row r="1567">
      <c r="B1567" s="55" t="inlineStr">
        <is>
          <t>34.151.161/0001-06</t>
        </is>
      </c>
      <c r="C1567" t="inlineStr">
        <is>
          <t>DAG FITNESS LTDA</t>
        </is>
      </c>
    </row>
    <row r="1568">
      <c r="B1568" s="55" t="inlineStr">
        <is>
          <t>34.151.161/0001-06</t>
        </is>
      </c>
      <c r="C1568" t="inlineStr">
        <is>
          <t>DAG FITNESS LTDA</t>
        </is>
      </c>
    </row>
    <row r="1569">
      <c r="B1569" s="55" t="inlineStr">
        <is>
          <t>34.151.161/0001-06</t>
        </is>
      </c>
      <c r="C1569" t="inlineStr">
        <is>
          <t>DAG FITNESS LTDA</t>
        </is>
      </c>
    </row>
    <row r="1570">
      <c r="B1570" s="55" t="inlineStr">
        <is>
          <t>34.151.161/0001-06</t>
        </is>
      </c>
      <c r="C1570" t="inlineStr">
        <is>
          <t>DAG FITNESS LTDA</t>
        </is>
      </c>
    </row>
    <row r="1571">
      <c r="B1571" s="55" t="inlineStr">
        <is>
          <t>34.169.975/0001-60</t>
        </is>
      </c>
      <c r="C1571" t="inlineStr">
        <is>
          <t>UMER-UTILIDADE MEDICA ESPECIALIZADA RESOLUTIVA LTDA (baixada)</t>
        </is>
      </c>
    </row>
    <row r="1572">
      <c r="B1572" s="55" t="inlineStr">
        <is>
          <t>34.214.456/0001-76</t>
        </is>
      </c>
      <c r="C1572" t="inlineStr">
        <is>
          <t>MARCUS VINICIOS MENESES DE MATOS</t>
        </is>
      </c>
    </row>
    <row r="1573">
      <c r="B1573" s="55" t="inlineStr">
        <is>
          <t>34.227.829/0001-43</t>
        </is>
      </c>
      <c r="C1573" t="inlineStr">
        <is>
          <t>DELUXE SPORTS COMERCIO IMPORTACAO E EXPORTACAO SERVICOS ESPORTIVOS LTDA</t>
        </is>
      </c>
    </row>
    <row r="1574">
      <c r="B1574" s="55" t="inlineStr">
        <is>
          <t>34.227.829/0001-43</t>
        </is>
      </c>
      <c r="C1574" t="inlineStr">
        <is>
          <t>DELUXE SPORTS COMERCIO IMPORTACAO E EXPORTACAO SERVICOS ESPORTIVOS LTDA</t>
        </is>
      </c>
    </row>
    <row r="1575">
      <c r="B1575" s="55" t="inlineStr">
        <is>
          <t>34.235.550/0001-01</t>
        </is>
      </c>
      <c r="C1575" t="inlineStr">
        <is>
          <t>LEGACY INTERMEDIACAO DE SERVICOS TECNOLOGICOS LTDA</t>
        </is>
      </c>
    </row>
    <row r="1576">
      <c r="B1576" s="55" t="inlineStr">
        <is>
          <t>34.300.685/0001-03</t>
        </is>
      </c>
      <c r="C1576" t="inlineStr">
        <is>
          <t>EMPO SERVICOS GRAFICOS LTDA</t>
        </is>
      </c>
    </row>
    <row r="1577">
      <c r="B1577" s="55" t="inlineStr">
        <is>
          <t>34.302.616/0001-39</t>
        </is>
      </c>
      <c r="C1577" t="inlineStr">
        <is>
          <t>MARK PLATAFORMA DE PUBLICIDADE LTDA</t>
        </is>
      </c>
    </row>
    <row r="1578">
      <c r="B1578" s="55" t="inlineStr">
        <is>
          <t>34.362.987/0001-06</t>
        </is>
      </c>
      <c r="C1578" t="inlineStr">
        <is>
          <t>DROGARIA POPULAR MD LTDA</t>
        </is>
      </c>
    </row>
    <row r="1579">
      <c r="B1579" s="55" t="inlineStr">
        <is>
          <t>34.362.987/0001-06</t>
        </is>
      </c>
      <c r="C1579" t="inlineStr">
        <is>
          <t>DROGARIA POPULAR MD LTDA</t>
        </is>
      </c>
    </row>
    <row r="1580">
      <c r="B1580" s="55" t="inlineStr">
        <is>
          <t>34.398.712/0001-22</t>
        </is>
      </c>
      <c r="C1580" t="inlineStr">
        <is>
          <t>PERSONAL ONE SAUDE E DESENVOLVIMENTO DE SOFTWARES LTDA (baixada)</t>
        </is>
      </c>
    </row>
    <row r="1581">
      <c r="B1581" s="55" t="inlineStr">
        <is>
          <t>34.453.954/0001-71</t>
        </is>
      </c>
      <c r="C1581" t="inlineStr">
        <is>
          <t>E-BLUE SOLUCOES E TECNOLOGIA LTDA</t>
        </is>
      </c>
    </row>
    <row r="1582">
      <c r="B1582" s="55" t="inlineStr">
        <is>
          <t>34.523.457/0001-00</t>
        </is>
      </c>
      <c r="C1582" t="inlineStr">
        <is>
          <t>DIVIFY SECURITIZADORA E PLATAFORMA S.A.</t>
        </is>
      </c>
    </row>
    <row r="1583">
      <c r="B1583" s="55" t="inlineStr">
        <is>
          <t>34.531.599/0001-01</t>
        </is>
      </c>
      <c r="C1583" t="inlineStr">
        <is>
          <t>POPIZ APLICATIVOS DE INTERNET LTDA (baixada)</t>
        </is>
      </c>
    </row>
    <row r="1584">
      <c r="B1584" s="55" t="inlineStr">
        <is>
          <t>34.546.535/0001-84</t>
        </is>
      </c>
      <c r="C1584" t="inlineStr">
        <is>
          <t>DSC PRODUCOES E EVENTOS LTDA</t>
        </is>
      </c>
    </row>
    <row r="1585">
      <c r="B1585" s="55" t="inlineStr">
        <is>
          <t>34.565.893/0001-34</t>
        </is>
      </c>
      <c r="C1585" t="inlineStr">
        <is>
          <t>IRMAOS OLIVEIRA FARMACIA LTDA</t>
        </is>
      </c>
    </row>
    <row r="1586">
      <c r="B1586" s="55" t="inlineStr">
        <is>
          <t>34.565.893/0001-34</t>
        </is>
      </c>
      <c r="C1586" t="inlineStr">
        <is>
          <t>IRMAOS OLIVEIRA FARMACIA LTDA</t>
        </is>
      </c>
    </row>
    <row r="1587">
      <c r="B1587" s="55" t="inlineStr">
        <is>
          <t>34.690.119/0001-55</t>
        </is>
      </c>
      <c r="C1587" t="inlineStr">
        <is>
          <t>ONVITA SERVICOS CLINICOS LTDA</t>
        </is>
      </c>
    </row>
    <row r="1588">
      <c r="B1588" s="55" t="inlineStr">
        <is>
          <t>34.703.881/0001-29</t>
        </is>
      </c>
      <c r="C1588" t="inlineStr">
        <is>
          <t>FELLOW CONSULTORIA E SISTEMAS DE INFORMATICA LTDA</t>
        </is>
      </c>
    </row>
    <row r="1589">
      <c r="B1589" s="55" t="inlineStr">
        <is>
          <t>34.753.066/0001-74</t>
        </is>
      </c>
      <c r="C1589" t="inlineStr">
        <is>
          <t>MAKE UP INTERMEDIACAO E AGENCIAMENTO DE SERVICOS E NEGOCIOS EM GERAL LTDA</t>
        </is>
      </c>
    </row>
    <row r="1590">
      <c r="B1590" s="55" t="inlineStr">
        <is>
          <t>34.875.164/0001-84</t>
        </is>
      </c>
      <c r="C1590" t="inlineStr">
        <is>
          <t>FOODTECH BRASIL SOLUCOES E TECNOLOGIA LTDA (baixada)</t>
        </is>
      </c>
    </row>
    <row r="1591">
      <c r="B1591" s="55" t="inlineStr">
        <is>
          <t>34.903.950/0001-48</t>
        </is>
      </c>
      <c r="C1591" t="inlineStr">
        <is>
          <t>VGS COMERCIO VAREJISTA DE MATERIAL DE CONSTRUCAO LTDA</t>
        </is>
      </c>
    </row>
    <row r="1592">
      <c r="B1592" s="55" t="inlineStr">
        <is>
          <t>34.917.011/0001-52</t>
        </is>
      </c>
      <c r="C1592" t="inlineStr">
        <is>
          <t>M.R.P. ATELIER LTDA</t>
        </is>
      </c>
    </row>
    <row r="1593">
      <c r="B1593" s="55" t="inlineStr">
        <is>
          <t>34.917.011/0001-52</t>
        </is>
      </c>
      <c r="C1593" t="inlineStr">
        <is>
          <t>M.R.P. ATELIER LTDA</t>
        </is>
      </c>
    </row>
    <row r="1594">
      <c r="B1594" s="55" t="inlineStr">
        <is>
          <t>34.926.833/0001-08</t>
        </is>
      </c>
      <c r="C1594" t="inlineStr">
        <is>
          <t>BELGOLD PERFUMES E COSMETICOS LTDA</t>
        </is>
      </c>
    </row>
    <row r="1595">
      <c r="B1595" s="55" t="inlineStr">
        <is>
          <t>34.938.439/0001-81</t>
        </is>
      </c>
      <c r="C1595" t="inlineStr">
        <is>
          <t>MDB SERVICOS DE APOIO E ASSISTENCIA MEDICA DO BRASIL LTDA</t>
        </is>
      </c>
    </row>
    <row r="1596">
      <c r="B1596" s="55" t="inlineStr">
        <is>
          <t>34.938.439/0001-81</t>
        </is>
      </c>
      <c r="C1596" t="inlineStr">
        <is>
          <t>MDB SERVICOS DE APOIO E ASSISTENCIA MEDICA DO BRASIL LTDA</t>
        </is>
      </c>
    </row>
    <row r="1597">
      <c r="B1597" s="55" t="inlineStr">
        <is>
          <t>34.979.274/0001-96</t>
        </is>
      </c>
      <c r="C1597" t="inlineStr">
        <is>
          <t>MSF CAFE LTDA</t>
        </is>
      </c>
    </row>
    <row r="1598">
      <c r="B1598" s="55" t="inlineStr">
        <is>
          <t>34.979.274/0001-96</t>
        </is>
      </c>
      <c r="C1598" t="inlineStr">
        <is>
          <t>MSF CAFE LTDA</t>
        </is>
      </c>
    </row>
    <row r="1599">
      <c r="B1599" s="55" t="inlineStr">
        <is>
          <t>35.099.946/0001-31</t>
        </is>
      </c>
      <c r="C1599" t="inlineStr">
        <is>
          <t>PAULO JOSE PEDROZO SANTAMARIA</t>
        </is>
      </c>
    </row>
    <row r="1600">
      <c r="B1600" s="55" t="inlineStr">
        <is>
          <t>35.282.298/0001-54</t>
        </is>
      </c>
      <c r="C1600" t="inlineStr">
        <is>
          <t>DROGARIAS MAXI POPULAR CANARIO LTDA</t>
        </is>
      </c>
    </row>
    <row r="1601">
      <c r="B1601" s="55" t="inlineStr">
        <is>
          <t>35.282.298/0001-54</t>
        </is>
      </c>
      <c r="C1601" t="inlineStr">
        <is>
          <t>DROGARIAS MAXI POPULAR CANARIO LTDA</t>
        </is>
      </c>
    </row>
    <row r="1602">
      <c r="B1602" s="55" t="inlineStr">
        <is>
          <t>35.282.298/0001-54</t>
        </is>
      </c>
      <c r="C1602" t="inlineStr">
        <is>
          <t>DROGARIAS MAXI POPULAR CANARIO LTDA</t>
        </is>
      </c>
    </row>
    <row r="1603">
      <c r="B1603" s="55" t="inlineStr">
        <is>
          <t>35.309.147/0001-42</t>
        </is>
      </c>
      <c r="C1603" t="inlineStr">
        <is>
          <t>MIMO LIVE SALES LTDA</t>
        </is>
      </c>
    </row>
    <row r="1604">
      <c r="B1604" s="55" t="inlineStr">
        <is>
          <t>35.366.183/0001-48</t>
        </is>
      </c>
      <c r="C1604" t="inlineStr">
        <is>
          <t>ANA SILVIA DE SOUZA AGUIAR GRIMALDI 10306257866</t>
        </is>
      </c>
    </row>
    <row r="1605">
      <c r="B1605" s="55" t="inlineStr">
        <is>
          <t>35.366.183/0001-48</t>
        </is>
      </c>
      <c r="C1605" t="inlineStr">
        <is>
          <t>ANA SILVIA DE SOUZA AGUIAR GRIMALDI 10306257866</t>
        </is>
      </c>
    </row>
    <row r="1606">
      <c r="B1606" s="55" t="inlineStr">
        <is>
          <t>35.382.630/0001-52</t>
        </is>
      </c>
      <c r="C1606" t="inlineStr">
        <is>
          <t>SUCESSO EVENTOS LOCACAO DE AUDIO E VIDEO LTDA</t>
        </is>
      </c>
    </row>
    <row r="1607">
      <c r="B1607" s="55" t="inlineStr">
        <is>
          <t>35.410.271/0001-08</t>
        </is>
      </c>
      <c r="C1607" t="inlineStr">
        <is>
          <t>BEMOL SERVICOS FINANCEIROS LTDA.</t>
        </is>
      </c>
    </row>
    <row r="1608">
      <c r="B1608" s="55" t="inlineStr">
        <is>
          <t>35.410.271/0001-08</t>
        </is>
      </c>
      <c r="C1608" t="inlineStr">
        <is>
          <t>BEMOL SERVICOS FINANCEIROS LTDA.</t>
        </is>
      </c>
    </row>
    <row r="1609">
      <c r="B1609" s="55" t="inlineStr">
        <is>
          <t>35.410.271/0001-08</t>
        </is>
      </c>
      <c r="C1609" t="inlineStr">
        <is>
          <t>BEMOL SERVICOS FINANCEIROS LTDA.</t>
        </is>
      </c>
    </row>
    <row r="1610">
      <c r="B1610" s="55" t="inlineStr">
        <is>
          <t>35.410.271/0001-08</t>
        </is>
      </c>
      <c r="C1610" t="inlineStr">
        <is>
          <t>BEMOL SERVICOS FINANCEIROS LTDA.</t>
        </is>
      </c>
    </row>
    <row r="1611">
      <c r="B1611" s="55" t="inlineStr">
        <is>
          <t>35.436.658/0001-25</t>
        </is>
      </c>
      <c r="C1611" t="inlineStr">
        <is>
          <t>DENTAL CENTER LTDA</t>
        </is>
      </c>
    </row>
    <row r="1612">
      <c r="B1612" s="55" t="inlineStr">
        <is>
          <t>35.683.675/0001-67</t>
        </is>
      </c>
      <c r="C1612" t="inlineStr">
        <is>
          <t>YUME SOLUCOES EM PAGAMENTOS LTDA</t>
        </is>
      </c>
    </row>
    <row r="1613">
      <c r="B1613" s="55" t="inlineStr">
        <is>
          <t>35.696.795/0001-07</t>
        </is>
      </c>
      <c r="C1613" t="inlineStr">
        <is>
          <t>ARQUIJOBS PLATAFORMA PARA CONEXAO DE ARQUITETOS LTDA</t>
        </is>
      </c>
    </row>
    <row r="1614">
      <c r="B1614" s="55" t="inlineStr">
        <is>
          <t>35.738.131/0001-55</t>
        </is>
      </c>
      <c r="C1614" t="inlineStr">
        <is>
          <t>ALDO MAIS SERVICOS ADMINISTRATIVOS LTDA</t>
        </is>
      </c>
    </row>
    <row r="1615">
      <c r="B1615" s="55" t="inlineStr">
        <is>
          <t>35.769.064/0001-36</t>
        </is>
      </c>
      <c r="C1615" t="inlineStr">
        <is>
          <t>RESERVE INTERMEDIACAO DE NEGOCIOS LTDA</t>
        </is>
      </c>
    </row>
    <row r="1616">
      <c r="B1616" s="55" t="inlineStr">
        <is>
          <t>35.771.422/0001-45</t>
        </is>
      </c>
      <c r="C1616" t="inlineStr">
        <is>
          <t>THERA &amp; CO. COMERCIO DE PRODUTOS DE PERFUMARIA E COSMETICOS LTDA.</t>
        </is>
      </c>
    </row>
    <row r="1617">
      <c r="B1617" s="55" t="inlineStr">
        <is>
          <t>35.784.939/0001-79</t>
        </is>
      </c>
      <c r="C1617" t="inlineStr">
        <is>
          <t>MENON TECNOLOGIA LTDA (baixada)</t>
        </is>
      </c>
    </row>
    <row r="1618">
      <c r="B1618" s="55" t="inlineStr">
        <is>
          <t>35.820.448/0001-36</t>
        </is>
      </c>
      <c r="C1618" t="inlineStr">
        <is>
          <t>WHITE MARTINS GASES INDUSTRIAIS LTDA</t>
        </is>
      </c>
    </row>
    <row r="1619">
      <c r="B1619" s="55" t="inlineStr">
        <is>
          <t>35.820.448/0001-36</t>
        </is>
      </c>
      <c r="C1619" t="inlineStr">
        <is>
          <t>WHITE MARTINS GASES INDUSTRIAIS LTDA</t>
        </is>
      </c>
    </row>
    <row r="1620">
      <c r="B1620" s="55" t="inlineStr">
        <is>
          <t>35.864.652/0001-59</t>
        </is>
      </c>
      <c r="C1620" t="inlineStr">
        <is>
          <t>GRANTEC TECNOLOGIA LTDA</t>
        </is>
      </c>
    </row>
    <row r="1621">
      <c r="B1621" s="55" t="inlineStr">
        <is>
          <t>36.022.910/0001-12</t>
        </is>
      </c>
      <c r="C1621" t="inlineStr">
        <is>
          <t>VALUE BANK SERVICOS FINANCEIROS E TECNOLOGIA LTDA</t>
        </is>
      </c>
    </row>
    <row r="1622">
      <c r="B1622" s="55" t="inlineStr">
        <is>
          <t>36.059.778/0001-13</t>
        </is>
      </c>
      <c r="C1622" t="inlineStr">
        <is>
          <t>EUIGREJA SOLUCOES FINANCEIRAS LTDA</t>
        </is>
      </c>
    </row>
    <row r="1623">
      <c r="B1623" s="55" t="inlineStr">
        <is>
          <t>36.148.685/0004-08</t>
        </is>
      </c>
      <c r="C1623" t="inlineStr">
        <is>
          <t>DBDC - DISTRIBUIDORA BRASILEIRA DE COSMETICOS E PARTICIPACOES LTDA</t>
        </is>
      </c>
    </row>
    <row r="1624">
      <c r="B1624" s="55" t="inlineStr">
        <is>
          <t>36.152.916/0003-76</t>
        </is>
      </c>
      <c r="C1624" t="inlineStr">
        <is>
          <t>SGA VEICULOS E PECAS S.A.</t>
        </is>
      </c>
    </row>
    <row r="1625">
      <c r="B1625" s="55" t="inlineStr">
        <is>
          <t>36.152.916/0003-76</t>
        </is>
      </c>
      <c r="C1625" t="inlineStr">
        <is>
          <t>SGA VEICULOS E PECAS S.A.</t>
        </is>
      </c>
    </row>
    <row r="1626">
      <c r="B1626" s="55" t="inlineStr">
        <is>
          <t>36.152.916/0003-76</t>
        </is>
      </c>
      <c r="C1626" t="inlineStr">
        <is>
          <t>SGA VEICULOS E PECAS S.A.</t>
        </is>
      </c>
    </row>
    <row r="1627">
      <c r="B1627" s="55" t="inlineStr">
        <is>
          <t>36.282.644/0001-67</t>
        </is>
      </c>
      <c r="C1627" t="inlineStr">
        <is>
          <t>AB DUTRA COMERCIO DE MEDICAMENTOS LTDA</t>
        </is>
      </c>
    </row>
    <row r="1628">
      <c r="B1628" s="55" t="inlineStr">
        <is>
          <t>36.282.644/0001-67</t>
        </is>
      </c>
      <c r="C1628" t="inlineStr">
        <is>
          <t>AB DUTRA COMERCIO DE MEDICAMENTOS LTDA</t>
        </is>
      </c>
    </row>
    <row r="1629">
      <c r="B1629" s="55" t="inlineStr">
        <is>
          <t>36.282.644/0001-67</t>
        </is>
      </c>
      <c r="C1629" t="inlineStr">
        <is>
          <t>AB DUTRA COMERCIO DE MEDICAMENTOS LTDA</t>
        </is>
      </c>
    </row>
    <row r="1630">
      <c r="B1630" s="55" t="inlineStr">
        <is>
          <t>36.318.074/0001-18</t>
        </is>
      </c>
      <c r="C1630" t="inlineStr">
        <is>
          <t>R8 CONSTRUTORA E INCORPORADORA LTDA</t>
        </is>
      </c>
    </row>
    <row r="1631">
      <c r="B1631" s="55" t="inlineStr">
        <is>
          <t>36.413.206/0001-90</t>
        </is>
      </c>
      <c r="C1631" t="inlineStr">
        <is>
          <t>FERMENTO SERVICOS DIGITAIS E PUBLICIDADE LTDA</t>
        </is>
      </c>
    </row>
    <row r="1632">
      <c r="B1632" s="55" t="inlineStr">
        <is>
          <t>36.446.304/0001-24</t>
        </is>
      </c>
      <c r="C1632" t="inlineStr">
        <is>
          <t>LOGAROO SOLUCOES ON LINE LTDA</t>
        </is>
      </c>
    </row>
    <row r="1633">
      <c r="B1633" s="55" t="inlineStr">
        <is>
          <t>36.722.184/0001-40</t>
        </is>
      </c>
      <c r="C1633" t="inlineStr">
        <is>
          <t>GISELE BARBOZA COSTA 11580367798</t>
        </is>
      </c>
    </row>
    <row r="1634">
      <c r="B1634" s="55" t="inlineStr">
        <is>
          <t>36.728.694/0001-25</t>
        </is>
      </c>
      <c r="C1634" t="inlineStr">
        <is>
          <t>DIVI CORRESPONDENTE BANCARIO LTDA.</t>
        </is>
      </c>
    </row>
    <row r="1635">
      <c r="B1635" s="55" t="inlineStr">
        <is>
          <t>36.877.683/0001-07</t>
        </is>
      </c>
      <c r="C1635" t="inlineStr">
        <is>
          <t>BATATAIS MARKETPLACE LTDA</t>
        </is>
      </c>
    </row>
    <row r="1636">
      <c r="B1636" s="55" t="inlineStr">
        <is>
          <t>37.055.579/0001-08</t>
        </is>
      </c>
      <c r="C1636" t="inlineStr">
        <is>
          <t>JOGO RAPIDO DELIVERY LTDA</t>
        </is>
      </c>
    </row>
    <row r="1637">
      <c r="B1637" s="55" t="inlineStr">
        <is>
          <t>37.165.058/0001-03</t>
        </is>
      </c>
      <c r="C1637" t="inlineStr">
        <is>
          <t>CIERP - CENTRO INTEGRADO DE ENSINO SUPERIOR DE RIO PRETO</t>
        </is>
      </c>
    </row>
    <row r="1638">
      <c r="B1638" s="55" t="inlineStr">
        <is>
          <t>37.165.058/0001-03</t>
        </is>
      </c>
      <c r="C1638" t="inlineStr">
        <is>
          <t>CIERP - CENTRO INTEGRADO DE ENSINO SUPERIOR DE RIO PRETO</t>
        </is>
      </c>
    </row>
    <row r="1639">
      <c r="B1639" s="55" t="inlineStr">
        <is>
          <t>37.178.311/0001-55</t>
        </is>
      </c>
      <c r="C1639" t="inlineStr">
        <is>
          <t>FD TECNOLOGIA EM INTERMEDIACAO DE NEGOCIOS LTDA. (baixada)</t>
        </is>
      </c>
    </row>
    <row r="1640">
      <c r="B1640" s="55" t="inlineStr">
        <is>
          <t>37.264.663/0001-23</t>
        </is>
      </c>
      <c r="C1640" t="inlineStr">
        <is>
          <t>ISTOQUE DISTRIBUIDORA E LOGISTICA LTDA</t>
        </is>
      </c>
    </row>
    <row r="1641">
      <c r="B1641" s="55" t="inlineStr">
        <is>
          <t>37.289.098/0001-59</t>
        </is>
      </c>
      <c r="C1641" t="inlineStr">
        <is>
          <t>FREITAS &amp; BIANCHI SERVICOS DIGITAIS LTDA</t>
        </is>
      </c>
    </row>
    <row r="1642">
      <c r="B1642" s="55" t="inlineStr">
        <is>
          <t>37.289.098/0001-59</t>
        </is>
      </c>
      <c r="C1642" t="inlineStr">
        <is>
          <t>FREITAS &amp; BIANCHI SERVICOS DIGITAIS LTDA</t>
        </is>
      </c>
    </row>
    <row r="1643">
      <c r="B1643" s="55" t="inlineStr">
        <is>
          <t>37.313.312/0001-65</t>
        </is>
      </c>
      <c r="C1643" t="inlineStr">
        <is>
          <t>POCKET PAY SOLUCOES EM PAGAMENTOS LTDA</t>
        </is>
      </c>
    </row>
    <row r="1644">
      <c r="B1644" s="55" t="inlineStr">
        <is>
          <t>37.333.375/0001-83</t>
        </is>
      </c>
      <c r="C1644" t="inlineStr">
        <is>
          <t>TEM NA TRENA LTDA</t>
        </is>
      </c>
    </row>
    <row r="1645">
      <c r="B1645" s="55" t="inlineStr">
        <is>
          <t>37.408.389/0001-19</t>
        </is>
      </c>
      <c r="C1645" t="inlineStr">
        <is>
          <t>L A SANTOS SILVA SERVICOS DIGITAIS LTDA</t>
        </is>
      </c>
    </row>
    <row r="1646">
      <c r="B1646" s="55" t="inlineStr">
        <is>
          <t>37.408.389/0001-19</t>
        </is>
      </c>
      <c r="C1646" t="inlineStr">
        <is>
          <t>L A SANTOS SILVA SERVICOS DIGITAIS LTDA</t>
        </is>
      </c>
    </row>
    <row r="1647">
      <c r="B1647" s="55" t="inlineStr">
        <is>
          <t>37.513.839/0001-33</t>
        </is>
      </c>
      <c r="C1647" t="inlineStr">
        <is>
          <t>CLASP PAY MEIOS DE PAGAMENTOS LTDA</t>
        </is>
      </c>
    </row>
    <row r="1648">
      <c r="B1648" s="55" t="inlineStr">
        <is>
          <t>37.527.077/0001-24</t>
        </is>
      </c>
      <c r="C1648" t="inlineStr">
        <is>
          <t>PLATAFORMA DE CONEXAO DESENVOLVIMENTO DE PROGRAMAS DE COMPUTADOR SOCIEDADE UNIPESSOAL LTDA (baixada)</t>
        </is>
      </c>
    </row>
    <row r="1649">
      <c r="B1649" s="55" t="inlineStr">
        <is>
          <t>37.581.120/0001-30</t>
        </is>
      </c>
      <c r="C1649" t="inlineStr">
        <is>
          <t>MINHA REVISAO TECNOLOGIA E SERVICOS AUTOMOTIVOS LTDA</t>
        </is>
      </c>
    </row>
    <row r="1650">
      <c r="B1650" s="55" t="inlineStr">
        <is>
          <t>37.630.198/0001-05</t>
        </is>
      </c>
      <c r="C1650" t="inlineStr">
        <is>
          <t>BRENNO FLAVIO DE ALMEIDA</t>
        </is>
      </c>
    </row>
    <row r="1651">
      <c r="B1651" s="55" t="inlineStr">
        <is>
          <t>37.669.485/0001-10</t>
        </is>
      </c>
      <c r="C1651" t="inlineStr">
        <is>
          <t>MENOO SERVICOS E TECNOLOGIA LTDA</t>
        </is>
      </c>
    </row>
    <row r="1652">
      <c r="B1652" s="55" t="inlineStr">
        <is>
          <t>37.713.446/0001-73</t>
        </is>
      </c>
      <c r="C1652" t="inlineStr">
        <is>
          <t>GERALDA HELENA DA SILVA 11502170817</t>
        </is>
      </c>
    </row>
    <row r="1653">
      <c r="B1653" s="55" t="inlineStr">
        <is>
          <t>37.729.889/0005-86</t>
        </is>
      </c>
      <c r="C1653" t="inlineStr">
        <is>
          <t>MANCHESTER COMERCIO VAREJISTA DE ROUPAS E ACESSORIOS LTDA</t>
        </is>
      </c>
    </row>
    <row r="1654">
      <c r="B1654" s="55" t="inlineStr">
        <is>
          <t>37.731.466/0001-77</t>
        </is>
      </c>
      <c r="C1654" t="inlineStr">
        <is>
          <t>PEGA PEDIDOS SERVICOS DE SISTEMA LTDA</t>
        </is>
      </c>
    </row>
    <row r="1655">
      <c r="B1655" s="55" t="inlineStr">
        <is>
          <t>37.759.285/0001-59</t>
        </is>
      </c>
      <c r="C1655" t="inlineStr">
        <is>
          <t>BESTFY PAGAMENTOS INTELIGENTES LTDA</t>
        </is>
      </c>
    </row>
    <row r="1656">
      <c r="B1656" s="55" t="inlineStr">
        <is>
          <t>37.882.480/0001-71</t>
        </is>
      </c>
      <c r="C1656" t="inlineStr">
        <is>
          <t>MUNDOFICINA SISTEMAS LTDA (baixada)</t>
        </is>
      </c>
    </row>
    <row r="1657">
      <c r="B1657" s="55" t="inlineStr">
        <is>
          <t>37.886.017/0008-74</t>
        </is>
      </c>
      <c r="C1657" t="inlineStr">
        <is>
          <t>DROGARIA SHOPPING LTDA</t>
        </is>
      </c>
    </row>
    <row r="1658">
      <c r="B1658" s="55" t="inlineStr">
        <is>
          <t>37.886.017/0008-74</t>
        </is>
      </c>
      <c r="C1658" t="inlineStr">
        <is>
          <t>DROGARIA SHOPPING LTDA</t>
        </is>
      </c>
    </row>
    <row r="1659">
      <c r="B1659" s="55" t="inlineStr">
        <is>
          <t>37.886.017/0008-74</t>
        </is>
      </c>
      <c r="C1659" t="inlineStr">
        <is>
          <t>DROGARIA SHOPPING LTDA</t>
        </is>
      </c>
    </row>
    <row r="1660">
      <c r="B1660" s="55" t="inlineStr">
        <is>
          <t>37.886.017/0008-74</t>
        </is>
      </c>
      <c r="C1660" t="inlineStr">
        <is>
          <t>DROGARIA SHOPPING LTDA</t>
        </is>
      </c>
    </row>
    <row r="1661">
      <c r="B1661" s="55" t="inlineStr">
        <is>
          <t>37.943.415/0001-09</t>
        </is>
      </c>
      <c r="C1661" t="inlineStr">
        <is>
          <t>GIULIANA MARKET E COMERCIO DE FLORES LTDA</t>
        </is>
      </c>
    </row>
    <row r="1662">
      <c r="B1662" s="55" t="inlineStr">
        <is>
          <t>37.943.415/0001-09</t>
        </is>
      </c>
      <c r="C1662" t="inlineStr">
        <is>
          <t>GIULIANA MARKET E COMERCIO DE FLORES LTDA</t>
        </is>
      </c>
    </row>
    <row r="1663">
      <c r="B1663" s="55" t="inlineStr">
        <is>
          <t>38.097.638/0001-65</t>
        </is>
      </c>
      <c r="C1663" t="inlineStr">
        <is>
          <t>LARROUDE COMERCIO E EXPORTACAO DE CALCADOS LTDA.</t>
        </is>
      </c>
    </row>
    <row r="1664">
      <c r="B1664" s="55" t="inlineStr">
        <is>
          <t>38.097.638/0001-65</t>
        </is>
      </c>
      <c r="C1664" t="inlineStr">
        <is>
          <t>LARROUDE COMERCIO E EXPORTACAO DE CALCADOS LTDA.</t>
        </is>
      </c>
    </row>
    <row r="1665">
      <c r="B1665" s="55" t="inlineStr">
        <is>
          <t>38.155.802/0001-43</t>
        </is>
      </c>
      <c r="C1665" t="inlineStr">
        <is>
          <t>XS3 SEGUROS S.A.</t>
        </is>
      </c>
    </row>
    <row r="1666">
      <c r="B1666" s="55" t="inlineStr">
        <is>
          <t>38.155.802/0001-43</t>
        </is>
      </c>
      <c r="C1666" t="inlineStr">
        <is>
          <t>XS3 SEGUROS S.A.</t>
        </is>
      </c>
    </row>
    <row r="1667">
      <c r="B1667" s="55" t="inlineStr">
        <is>
          <t>38.235.067/0001-88</t>
        </is>
      </c>
      <c r="C1667" t="inlineStr">
        <is>
          <t>CTC COMERCIO DE BOLSAS LTDA</t>
        </is>
      </c>
    </row>
    <row r="1668">
      <c r="B1668" s="55" t="inlineStr">
        <is>
          <t>38.256.671/0001-90</t>
        </is>
      </c>
      <c r="C1668" t="inlineStr">
        <is>
          <t>ELISA COFFEE ROASTERS LTDA</t>
        </is>
      </c>
    </row>
    <row r="1669">
      <c r="B1669" s="55" t="inlineStr">
        <is>
          <t>38.256.671/0001-90</t>
        </is>
      </c>
      <c r="C1669" t="inlineStr">
        <is>
          <t>ELISA COFFEE ROASTERS LTDA</t>
        </is>
      </c>
    </row>
    <row r="1670">
      <c r="B1670" s="55" t="inlineStr">
        <is>
          <t>38.297.374/0001-93</t>
        </is>
      </c>
      <c r="C1670" t="inlineStr">
        <is>
          <t>NUVENDE INSTITUICAO DE PAGAMENTO LTDA</t>
        </is>
      </c>
    </row>
    <row r="1671">
      <c r="B1671" s="55" t="inlineStr">
        <is>
          <t>38.297.374/0001-93</t>
        </is>
      </c>
      <c r="C1671" t="inlineStr">
        <is>
          <t>NUVENDE INSTITUICAO DE PAGAMENTO LTDA</t>
        </is>
      </c>
    </row>
    <row r="1672">
      <c r="B1672" s="55" t="inlineStr">
        <is>
          <t>38.297.374/0001-93</t>
        </is>
      </c>
      <c r="C1672" t="inlineStr">
        <is>
          <t>NUVENDE INSTITUICAO DE PAGAMENTO LTDA</t>
        </is>
      </c>
    </row>
    <row r="1673">
      <c r="B1673" s="55" t="inlineStr">
        <is>
          <t>38.297.374/0001-93</t>
        </is>
      </c>
      <c r="C1673" t="inlineStr">
        <is>
          <t>NUVENDE INSTITUICAO DE PAGAMENTO LTDA</t>
        </is>
      </c>
    </row>
    <row r="1674">
      <c r="B1674" s="55" t="inlineStr">
        <is>
          <t>38.344.629/0001-21</t>
        </is>
      </c>
      <c r="C1674" t="inlineStr">
        <is>
          <t>RAVI TECIDOS LTDA.</t>
        </is>
      </c>
    </row>
    <row r="1675">
      <c r="B1675" s="55" t="inlineStr">
        <is>
          <t>38.344.629/0001-21</t>
        </is>
      </c>
      <c r="C1675" t="inlineStr">
        <is>
          <t>RAVI TECIDOS LTDA.</t>
        </is>
      </c>
    </row>
    <row r="1676">
      <c r="B1676" s="55" t="inlineStr">
        <is>
          <t>38.356.562/0001-45</t>
        </is>
      </c>
      <c r="C1676" t="inlineStr">
        <is>
          <t>MAFE ACESSORIOS SEMIJOIAS LTDA</t>
        </is>
      </c>
    </row>
    <row r="1677">
      <c r="B1677" s="55" t="inlineStr">
        <is>
          <t>38.356.562/0001-45</t>
        </is>
      </c>
      <c r="C1677" t="inlineStr">
        <is>
          <t>MAFE ACESSORIOS SEMIJOIAS LTDA</t>
        </is>
      </c>
    </row>
    <row r="1678">
      <c r="B1678" s="55" t="inlineStr">
        <is>
          <t>38.359.752/0001-16</t>
        </is>
      </c>
      <c r="C1678" t="inlineStr">
        <is>
          <t>VIA SINAI MODA EVANGELICA LTDA</t>
        </is>
      </c>
    </row>
    <row r="1679">
      <c r="B1679" s="55" t="inlineStr">
        <is>
          <t>38.595.220/0001-88</t>
        </is>
      </c>
      <c r="C1679" t="inlineStr">
        <is>
          <t>OUTLETPLACE BRASIL INTERMEDIACAO E AGENCIAMENTO DE SERVICOS E NEGOCIOS LTDA</t>
        </is>
      </c>
    </row>
    <row r="1680">
      <c r="B1680" s="55" t="inlineStr">
        <is>
          <t>38.891.671/0001-62</t>
        </is>
      </c>
      <c r="C1680" t="inlineStr">
        <is>
          <t>SERVFACIL INTERMEDIACAO DE SERVICOS LTDA</t>
        </is>
      </c>
    </row>
    <row r="1681">
      <c r="B1681" s="55" t="inlineStr">
        <is>
          <t>38.894.796/0001-46</t>
        </is>
      </c>
      <c r="C1681" t="inlineStr">
        <is>
          <t>FUNDACAO ABRINQ PELOS DIREITOS DA CRIANCA E DO ADOLESCENTE</t>
        </is>
      </c>
    </row>
    <row r="1682">
      <c r="B1682" s="55" t="inlineStr">
        <is>
          <t>38.894.796/0001-46</t>
        </is>
      </c>
      <c r="C1682" t="inlineStr">
        <is>
          <t>FUNDACAO ABRINQ PELOS DIREITOS DA CRIANCA E DO ADOLESCENTE</t>
        </is>
      </c>
    </row>
    <row r="1683">
      <c r="B1683" s="55" t="inlineStr">
        <is>
          <t>38.894.796/0001-46</t>
        </is>
      </c>
      <c r="C1683" t="inlineStr">
        <is>
          <t>FUNDACAO ABRINQ PELOS DIREITOS DA CRIANCA E DO ADOLESCENTE</t>
        </is>
      </c>
    </row>
    <row r="1684">
      <c r="B1684" s="55" t="inlineStr">
        <is>
          <t>39.254.739/0001-65</t>
        </is>
      </c>
      <c r="C1684" t="inlineStr">
        <is>
          <t>COMERCIO ELETRONICO DI GASPI LTDA</t>
        </is>
      </c>
    </row>
    <row r="1685">
      <c r="B1685" s="55" t="inlineStr">
        <is>
          <t>39.275.916/0001-90</t>
        </is>
      </c>
      <c r="C1685" t="inlineStr">
        <is>
          <t>INTERBIKE - INDUSTRIA COMERCIO E IMPORTACAO DE ARTIGOS ESPORTIVOS LTDA</t>
        </is>
      </c>
    </row>
    <row r="1686">
      <c r="B1686" s="55" t="inlineStr">
        <is>
          <t>39.275.916/0001-90</t>
        </is>
      </c>
      <c r="C1686" t="inlineStr">
        <is>
          <t>INTERBIKE - INDUSTRIA COMERCIO E IMPORTACAO DE ARTIGOS ESPORTIVOS LTDA</t>
        </is>
      </c>
    </row>
    <row r="1687">
      <c r="B1687" s="55" t="inlineStr">
        <is>
          <t>39.284.350/0001-62</t>
        </is>
      </c>
      <c r="C1687" t="inlineStr">
        <is>
          <t>LUPA PET SERVICOS E DESENVOLVIMENTO DE SOFTWARES LTDA</t>
        </is>
      </c>
    </row>
    <row r="1688">
      <c r="B1688" s="55" t="inlineStr">
        <is>
          <t>39.328.572/0001-30</t>
        </is>
      </c>
      <c r="C1688" t="inlineStr">
        <is>
          <t>CEO MARKETING E PUBLICIDADE LTDA</t>
        </is>
      </c>
    </row>
    <row r="1689">
      <c r="B1689" s="55" t="inlineStr">
        <is>
          <t>39.346.861/0350-38</t>
        </is>
      </c>
      <c r="C1689" t="inlineStr">
        <is>
          <t>CENCOSUD BRASIL COMERCIAL LTDA.</t>
        </is>
      </c>
    </row>
    <row r="1690">
      <c r="B1690" s="55" t="inlineStr">
        <is>
          <t>39.346.861/0350-38</t>
        </is>
      </c>
      <c r="C1690" t="inlineStr">
        <is>
          <t>CENCOSUD BRASIL COMERCIAL LTDA.</t>
        </is>
      </c>
    </row>
    <row r="1691">
      <c r="B1691" s="55" t="inlineStr">
        <is>
          <t>39.346.861/0350-38</t>
        </is>
      </c>
      <c r="C1691" t="inlineStr">
        <is>
          <t>CENCOSUD BRASIL COMERCIAL LTDA.</t>
        </is>
      </c>
    </row>
    <row r="1692">
      <c r="B1692" s="55" t="inlineStr">
        <is>
          <t>39.611.166/0001-80</t>
        </is>
      </c>
      <c r="C1692" t="inlineStr">
        <is>
          <t>FFH COMERCIO DE CALCADOS LTDA (baixada)</t>
        </is>
      </c>
    </row>
    <row r="1693">
      <c r="B1693" s="55" t="inlineStr">
        <is>
          <t>39.694.852/0001-61</t>
        </is>
      </c>
      <c r="C1693" t="inlineStr">
        <is>
          <t>VF COMERCIAL LTDA</t>
        </is>
      </c>
    </row>
    <row r="1694">
      <c r="B1694" s="55" t="inlineStr">
        <is>
          <t>39.694.852/0001-61</t>
        </is>
      </c>
      <c r="C1694" t="inlineStr">
        <is>
          <t>VF COMERCIAL LTDA</t>
        </is>
      </c>
    </row>
    <row r="1695">
      <c r="B1695" s="55" t="inlineStr">
        <is>
          <t>39.781.480/0001-00</t>
        </is>
      </c>
      <c r="C1695" t="inlineStr">
        <is>
          <t>INCOMUM COMERCIO E ARTIGOS DE DECORACAO LTDA</t>
        </is>
      </c>
    </row>
    <row r="1696">
      <c r="B1696" s="55" t="inlineStr">
        <is>
          <t>39.786.983/0001-79</t>
        </is>
      </c>
      <c r="C1696" t="inlineStr">
        <is>
          <t>VD COMERCIO DE VEICULOS LTDA</t>
        </is>
      </c>
    </row>
    <row r="1697">
      <c r="B1697" s="55" t="inlineStr">
        <is>
          <t>39.786.983/0001-79</t>
        </is>
      </c>
      <c r="C1697" t="inlineStr">
        <is>
          <t>VD COMERCIO DE VEICULOS LTDA</t>
        </is>
      </c>
    </row>
    <row r="1698">
      <c r="B1698" s="55" t="inlineStr">
        <is>
          <t>39.786.983/0001-79</t>
        </is>
      </c>
      <c r="C1698" t="inlineStr">
        <is>
          <t>VD COMERCIO DE VEICULOS LTDA</t>
        </is>
      </c>
    </row>
    <row r="1699">
      <c r="B1699" s="55" t="inlineStr">
        <is>
          <t>39.786.983/0001-79</t>
        </is>
      </c>
      <c r="C1699" t="inlineStr">
        <is>
          <t>VD COMERCIO DE VEICULOS LTDA</t>
        </is>
      </c>
    </row>
    <row r="1700">
      <c r="B1700" s="55" t="inlineStr">
        <is>
          <t>39.850.150/0001-20</t>
        </is>
      </c>
      <c r="C1700" t="inlineStr">
        <is>
          <t>BABY CONCIERGE LTDA</t>
        </is>
      </c>
    </row>
    <row r="1701">
      <c r="B1701" s="55" t="inlineStr">
        <is>
          <t>39.850.150/0001-20</t>
        </is>
      </c>
      <c r="C1701" t="inlineStr">
        <is>
          <t>BABY CONCIERGE LTDA</t>
        </is>
      </c>
    </row>
    <row r="1702">
      <c r="B1702" s="55" t="inlineStr">
        <is>
          <t>39.895.590/0001-01</t>
        </is>
      </c>
      <c r="C1702" t="inlineStr">
        <is>
          <t>FASS LTDA</t>
        </is>
      </c>
    </row>
    <row r="1703">
      <c r="B1703" s="55" t="inlineStr">
        <is>
          <t>39.936.500/0001-75</t>
        </is>
      </c>
      <c r="C1703" t="inlineStr">
        <is>
          <t>GOLD SPOTS SHOP COUNTRY LTDA</t>
        </is>
      </c>
    </row>
    <row r="1704">
      <c r="B1704" s="55" t="inlineStr">
        <is>
          <t>39.936.500/0001-75</t>
        </is>
      </c>
      <c r="C1704" t="inlineStr">
        <is>
          <t>GOLD SPOTS SHOP COUNTRY LTDA</t>
        </is>
      </c>
    </row>
    <row r="1705">
      <c r="B1705" s="55" t="inlineStr">
        <is>
          <t>39.981.077/0001-25</t>
        </is>
      </c>
      <c r="C1705" t="inlineStr">
        <is>
          <t>ASIK DESIGN LTDA.</t>
        </is>
      </c>
    </row>
    <row r="1706">
      <c r="B1706" s="55" t="inlineStr">
        <is>
          <t>39.987.885/0001-08</t>
        </is>
      </c>
      <c r="C1706" t="inlineStr">
        <is>
          <t>DMC CONSULTORIA E GESTAO DE PROJETOS DE ENERGIA LTDA</t>
        </is>
      </c>
    </row>
    <row r="1707">
      <c r="B1707" s="55" t="inlineStr">
        <is>
          <t>39.987.885/0001-08</t>
        </is>
      </c>
      <c r="C1707" t="inlineStr">
        <is>
          <t>DMC CONSULTORIA E GESTAO DE PROJETOS DE ENERGIA LTDA</t>
        </is>
      </c>
    </row>
    <row r="1708">
      <c r="B1708" s="55" t="inlineStr">
        <is>
          <t>39.987.885/0001-08</t>
        </is>
      </c>
      <c r="C1708" t="inlineStr">
        <is>
          <t>DMC CONSULTORIA E GESTAO DE PROJETOS DE ENERGIA LTDA</t>
        </is>
      </c>
    </row>
    <row r="1709">
      <c r="B1709" s="55" t="inlineStr">
        <is>
          <t>39.987.885/0001-08</t>
        </is>
      </c>
      <c r="C1709" t="inlineStr">
        <is>
          <t>DMC CONSULTORIA E GESTAO DE PROJETOS DE ENERGIA LTDA</t>
        </is>
      </c>
    </row>
    <row r="1710">
      <c r="B1710" s="55" t="inlineStr">
        <is>
          <t>40.161.679/0001-15</t>
        </is>
      </c>
      <c r="C1710" t="inlineStr">
        <is>
          <t>NUTRADO INDUSTRIA E COMERCIO DE COMPLEMENTOS ALIMENTARES S.A</t>
        </is>
      </c>
    </row>
    <row r="1711">
      <c r="B1711" s="55" t="inlineStr">
        <is>
          <t>40.161.679/0001-15</t>
        </is>
      </c>
      <c r="C1711" t="inlineStr">
        <is>
          <t>NUTRADO INDUSTRIA E COMERCIO DE COMPLEMENTOS ALIMENTARES S.A</t>
        </is>
      </c>
    </row>
    <row r="1712">
      <c r="B1712" s="55" t="inlineStr">
        <is>
          <t>40.172.578/0001-40</t>
        </is>
      </c>
      <c r="C1712" t="inlineStr">
        <is>
          <t>CLINA SERVICOS TECNOLOGICOS LTDA</t>
        </is>
      </c>
    </row>
    <row r="1713">
      <c r="B1713" s="55" t="inlineStr">
        <is>
          <t>40.195.401/0001-69</t>
        </is>
      </c>
      <c r="C1713" t="inlineStr">
        <is>
          <t>ALCHYMIST LAGOA ENCANTADA LTDA</t>
        </is>
      </c>
    </row>
    <row r="1714">
      <c r="B1714" s="55" t="inlineStr">
        <is>
          <t>40.195.401/0001-69</t>
        </is>
      </c>
      <c r="C1714" t="inlineStr">
        <is>
          <t>ALCHYMIST LAGOA ENCANTADA LTDA</t>
        </is>
      </c>
    </row>
    <row r="1715">
      <c r="B1715" s="55" t="inlineStr">
        <is>
          <t>40.195.401/0001-69</t>
        </is>
      </c>
      <c r="C1715" t="inlineStr">
        <is>
          <t>ALCHYMIST LAGOA ENCANTADA LTDA</t>
        </is>
      </c>
    </row>
    <row r="1716">
      <c r="B1716" s="55" t="inlineStr">
        <is>
          <t>40.195.401/0001-69</t>
        </is>
      </c>
      <c r="C1716" t="inlineStr">
        <is>
          <t>ALCHYMIST LAGOA ENCANTADA LTDA</t>
        </is>
      </c>
    </row>
    <row r="1717">
      <c r="B1717" s="55" t="inlineStr">
        <is>
          <t>40.307.832/0002-50</t>
        </is>
      </c>
      <c r="C1717" t="inlineStr">
        <is>
          <t>POP BEAUTE COMERCIO LTDA</t>
        </is>
      </c>
    </row>
    <row r="1718">
      <c r="B1718" s="55" t="inlineStr">
        <is>
          <t>40.307.832/0002-50</t>
        </is>
      </c>
      <c r="C1718" t="inlineStr">
        <is>
          <t>POP BEAUTE COMERCIO LTDA</t>
        </is>
      </c>
    </row>
    <row r="1719">
      <c r="B1719" s="55" t="inlineStr">
        <is>
          <t>40.335.413/0001-41</t>
        </is>
      </c>
      <c r="C1719" t="inlineStr">
        <is>
          <t>PROMEX MAIS COMERCIO, IMPORTACAO E EXPORTACAO LTDA</t>
        </is>
      </c>
    </row>
    <row r="1720">
      <c r="B1720" s="55" t="inlineStr">
        <is>
          <t>40.335.413/0001-41</t>
        </is>
      </c>
      <c r="C1720" t="inlineStr">
        <is>
          <t>PROMEX MAIS COMERCIO, IMPORTACAO E EXPORTACAO LTDA</t>
        </is>
      </c>
    </row>
    <row r="1721">
      <c r="B1721" s="55" t="inlineStr">
        <is>
          <t>40.396.920/0001-95</t>
        </is>
      </c>
      <c r="C1721" t="inlineStr">
        <is>
          <t>ZOOMSTORE COMERCIO ELETRONICO LTDA</t>
        </is>
      </c>
    </row>
    <row r="1722">
      <c r="B1722" s="55" t="inlineStr">
        <is>
          <t>40.722.590/0001-80</t>
        </is>
      </c>
      <c r="C1722" t="inlineStr">
        <is>
          <t>THE EXPRESS GROUP VIAGENS E TURISMO LTDA</t>
        </is>
      </c>
    </row>
    <row r="1723">
      <c r="B1723" s="55" t="inlineStr">
        <is>
          <t>40.722.590/0001-80</t>
        </is>
      </c>
      <c r="C1723" t="inlineStr">
        <is>
          <t>THE EXPRESS GROUP VIAGENS E TURISMO LTDA</t>
        </is>
      </c>
    </row>
    <row r="1724">
      <c r="B1724" s="55" t="inlineStr">
        <is>
          <t>40.722.590/0001-80</t>
        </is>
      </c>
      <c r="C1724" t="inlineStr">
        <is>
          <t>THE EXPRESS GROUP VIAGENS E TURISMO LTDA</t>
        </is>
      </c>
    </row>
    <row r="1725">
      <c r="B1725" s="55" t="inlineStr">
        <is>
          <t>40.747.827/0001-88</t>
        </is>
      </c>
      <c r="C1725" t="inlineStr">
        <is>
          <t>SOUTH UNION AI TECH LTDA</t>
        </is>
      </c>
    </row>
    <row r="1726">
      <c r="B1726" s="55" t="inlineStr">
        <is>
          <t>40.867.166/0001-24</t>
        </is>
      </c>
      <c r="C1726" t="inlineStr">
        <is>
          <t>FFE DISTRIBUIDORA LTDA</t>
        </is>
      </c>
    </row>
    <row r="1727">
      <c r="B1727" s="55" t="inlineStr">
        <is>
          <t>40.867.166/0001-24</t>
        </is>
      </c>
      <c r="C1727" t="inlineStr">
        <is>
          <t>FFE DISTRIBUIDORA LTDA</t>
        </is>
      </c>
    </row>
    <row r="1728">
      <c r="B1728" s="55" t="inlineStr">
        <is>
          <t>40.867.166/0001-24</t>
        </is>
      </c>
      <c r="C1728" t="inlineStr">
        <is>
          <t>FFE DISTRIBUIDORA LTDA</t>
        </is>
      </c>
    </row>
    <row r="1729">
      <c r="B1729" s="55" t="inlineStr">
        <is>
          <t>40.867.166/0001-24</t>
        </is>
      </c>
      <c r="C1729" t="inlineStr">
        <is>
          <t>FFE DISTRIBUIDORA LTDA</t>
        </is>
      </c>
    </row>
    <row r="1730">
      <c r="B1730" s="55" t="inlineStr">
        <is>
          <t>41.016.522/0001-69</t>
        </is>
      </c>
      <c r="C1730" t="inlineStr">
        <is>
          <t>TIKPAG MEIOS DE PAGAMENTOS S/A</t>
        </is>
      </c>
    </row>
    <row r="1731">
      <c r="B1731" s="55" t="inlineStr">
        <is>
          <t>41.032.961/0001-65</t>
        </is>
      </c>
      <c r="C1731" t="inlineStr">
        <is>
          <t>RODRIGUES INDUSTRIA E COMERCIO DE COLCHOES S/A</t>
        </is>
      </c>
    </row>
    <row r="1732">
      <c r="B1732" s="55" t="inlineStr">
        <is>
          <t>41.032.961/0001-65</t>
        </is>
      </c>
      <c r="C1732" t="inlineStr">
        <is>
          <t>RODRIGUES INDUSTRIA E COMERCIO DE COLCHOES S/A</t>
        </is>
      </c>
    </row>
    <row r="1733">
      <c r="B1733" s="55" t="inlineStr">
        <is>
          <t>41.444.108/0001-50</t>
        </is>
      </c>
      <c r="C1733" t="inlineStr">
        <is>
          <t>PAGAMENTO SEGURO BR LTDA</t>
        </is>
      </c>
    </row>
    <row r="1734">
      <c r="B1734" s="55" t="inlineStr">
        <is>
          <t>41.444.108/0001-50</t>
        </is>
      </c>
      <c r="C1734" t="inlineStr">
        <is>
          <t>PAGAMENTO SEGURO BR LTDA</t>
        </is>
      </c>
    </row>
    <row r="1735">
      <c r="B1735" s="55" t="inlineStr">
        <is>
          <t>41.597.303/0001-10</t>
        </is>
      </c>
      <c r="C1735" t="inlineStr">
        <is>
          <t>NEWLAND VEICULOS LTDA</t>
        </is>
      </c>
    </row>
    <row r="1736">
      <c r="B1736" s="55" t="inlineStr">
        <is>
          <t>41.597.303/0001-10</t>
        </is>
      </c>
      <c r="C1736" t="inlineStr">
        <is>
          <t>NEWLAND VEICULOS LTDA</t>
        </is>
      </c>
    </row>
    <row r="1737">
      <c r="B1737" s="55" t="inlineStr">
        <is>
          <t>41.597.303/0001-10</t>
        </is>
      </c>
      <c r="C1737" t="inlineStr">
        <is>
          <t>NEWLAND VEICULOS LTDA</t>
        </is>
      </c>
    </row>
    <row r="1738">
      <c r="B1738" s="55" t="inlineStr">
        <is>
          <t>41.725.523/0001-82</t>
        </is>
      </c>
      <c r="C1738" t="inlineStr">
        <is>
          <t>PRESC VIAGENS E TURISMO LTDA SCP (baixada)</t>
        </is>
      </c>
    </row>
    <row r="1739">
      <c r="B1739" s="55" t="inlineStr">
        <is>
          <t>41.974.460/0007-93</t>
        </is>
      </c>
      <c r="C1739" t="inlineStr">
        <is>
          <t>FLAG CONFECCOES LTDA</t>
        </is>
      </c>
    </row>
    <row r="1740">
      <c r="B1740" s="55" t="inlineStr">
        <is>
          <t>41.974.460/0007-93</t>
        </is>
      </c>
      <c r="C1740" t="inlineStr">
        <is>
          <t>FLAG CONFECCOES LTDA</t>
        </is>
      </c>
    </row>
    <row r="1741">
      <c r="B1741" s="55" t="inlineStr">
        <is>
          <t>41.974.460/0007-93</t>
        </is>
      </c>
      <c r="C1741" t="inlineStr">
        <is>
          <t>FLAG CONFECCOES LTDA</t>
        </is>
      </c>
    </row>
    <row r="1742">
      <c r="B1742" s="55" t="inlineStr">
        <is>
          <t>42.034.830/0001-80</t>
        </is>
      </c>
      <c r="C1742" t="inlineStr">
        <is>
          <t>MINIMAL CLUB LTDA</t>
        </is>
      </c>
    </row>
    <row r="1743">
      <c r="B1743" s="55" t="inlineStr">
        <is>
          <t>42.225.938/0001-50</t>
        </is>
      </c>
      <c r="C1743" t="inlineStr">
        <is>
          <t>CSB DROGARIAS S/A</t>
        </is>
      </c>
    </row>
    <row r="1744">
      <c r="B1744" s="55" t="inlineStr">
        <is>
          <t>42.225.938/0001-50</t>
        </is>
      </c>
      <c r="C1744" t="inlineStr">
        <is>
          <t>CSB DROGARIAS S/A</t>
        </is>
      </c>
    </row>
    <row r="1745">
      <c r="B1745" s="55" t="inlineStr">
        <is>
          <t>42.245.289/0001-59</t>
        </is>
      </c>
      <c r="C1745" t="inlineStr">
        <is>
          <t>PROCAPZ SUPLEMENTOS ALIMENTARES LTDA</t>
        </is>
      </c>
    </row>
    <row r="1746">
      <c r="B1746" s="55" t="inlineStr">
        <is>
          <t>42.262.943/0001-32</t>
        </is>
      </c>
      <c r="C1746" t="inlineStr">
        <is>
          <t>CHEFE DO BENEFICIO LTDA</t>
        </is>
      </c>
    </row>
    <row r="1747">
      <c r="B1747" s="55" t="inlineStr">
        <is>
          <t>42.323.029/0001-54</t>
        </is>
      </c>
      <c r="C1747" t="inlineStr">
        <is>
          <t>REJ COMERCIO E INDUSTRIA DE BIJUTERIAS LTDA</t>
        </is>
      </c>
    </row>
    <row r="1748">
      <c r="B1748" s="55" t="inlineStr">
        <is>
          <t>42.473.501/0001-35</t>
        </is>
      </c>
      <c r="C1748" t="inlineStr">
        <is>
          <t>SONHO DO ARTESAO DE CAMPO GRANDE LTDA</t>
        </is>
      </c>
    </row>
    <row r="1749">
      <c r="B1749" s="55" t="inlineStr">
        <is>
          <t>42.473.501/0001-35</t>
        </is>
      </c>
      <c r="C1749" t="inlineStr">
        <is>
          <t>SONHO DO ARTESAO DE CAMPO GRANDE LTDA</t>
        </is>
      </c>
    </row>
    <row r="1750">
      <c r="B1750" s="55" t="inlineStr">
        <is>
          <t>42.516.278/0001-66</t>
        </is>
      </c>
      <c r="C1750" t="inlineStr">
        <is>
          <t>CENTAURO VIDA E PREVIDENCIA S/A</t>
        </is>
      </c>
    </row>
    <row r="1751">
      <c r="B1751" s="55" t="inlineStr">
        <is>
          <t>42.516.278/0001-66</t>
        </is>
      </c>
      <c r="C1751" t="inlineStr">
        <is>
          <t>CENTAURO VIDA E PREVIDENCIA S/A</t>
        </is>
      </c>
    </row>
    <row r="1752">
      <c r="B1752" s="55" t="inlineStr">
        <is>
          <t>42.529.055/0001-33</t>
        </is>
      </c>
      <c r="C1752" t="inlineStr">
        <is>
          <t>FABIANE MARIA SCHAEFER BARON 71259414949</t>
        </is>
      </c>
    </row>
    <row r="1753">
      <c r="B1753" s="55" t="inlineStr">
        <is>
          <t>42.533.087/0001-02</t>
        </is>
      </c>
      <c r="C1753" t="inlineStr">
        <is>
          <t>BEAUTY SOLUTIONS COMERCIO DE PRODUTOS COSMETICOS E CORRELATOS S.A.</t>
        </is>
      </c>
    </row>
    <row r="1754">
      <c r="B1754" s="55" t="inlineStr">
        <is>
          <t>42.533.087/0002-93</t>
        </is>
      </c>
      <c r="C1754" t="inlineStr">
        <is>
          <t>BEAUTY SOLUTIONS COMERCIO DE PRODUTOS COSMETICOS E CORRELATOS S.A.</t>
        </is>
      </c>
    </row>
    <row r="1755">
      <c r="B1755" s="55" t="inlineStr">
        <is>
          <t>42.591.651/0001-43</t>
        </is>
      </c>
      <c r="C1755" t="inlineStr">
        <is>
          <t>ARCOS DOURADOS COMERCIO DE ALIMENTOS SA</t>
        </is>
      </c>
    </row>
    <row r="1756">
      <c r="B1756" s="55" t="inlineStr">
        <is>
          <t>42.591.651/0001-43</t>
        </is>
      </c>
      <c r="C1756" t="inlineStr">
        <is>
          <t>ARCOS DOURADOS COMERCIO DE ALIMENTOS SA</t>
        </is>
      </c>
    </row>
    <row r="1757">
      <c r="B1757" s="55" t="inlineStr">
        <is>
          <t>42.606.674/0001-84</t>
        </is>
      </c>
      <c r="C1757" t="inlineStr">
        <is>
          <t>CIM - CENTRO DE IDIOMAS DO MUNDO LTDA</t>
        </is>
      </c>
    </row>
    <row r="1758">
      <c r="B1758" s="55" t="inlineStr">
        <is>
          <t>42.629.175/0001-02</t>
        </is>
      </c>
      <c r="C1758" t="inlineStr">
        <is>
          <t>MENU PASS SISTEMAS INTEGRADOS LTDA</t>
        </is>
      </c>
    </row>
    <row r="1759">
      <c r="B1759" s="55" t="inlineStr">
        <is>
          <t>42.703.874/0001-55</t>
        </is>
      </c>
      <c r="C1759" t="inlineStr">
        <is>
          <t>IPACK BRASIL LTDA</t>
        </is>
      </c>
    </row>
    <row r="1760">
      <c r="B1760" s="55" t="inlineStr">
        <is>
          <t>42.703.874/0001-55</t>
        </is>
      </c>
      <c r="C1760" t="inlineStr">
        <is>
          <t>IPACK BRASIL LTDA</t>
        </is>
      </c>
    </row>
    <row r="1761">
      <c r="B1761" s="55" t="inlineStr">
        <is>
          <t>42.726.577/0001-25</t>
        </is>
      </c>
      <c r="C1761" t="inlineStr">
        <is>
          <t>MANTO A MANTO LTDA</t>
        </is>
      </c>
    </row>
    <row r="1762">
      <c r="B1762" s="55" t="inlineStr">
        <is>
          <t>42.726.577/0001-25</t>
        </is>
      </c>
      <c r="C1762" t="inlineStr">
        <is>
          <t>MANTO A MANTO LTDA</t>
        </is>
      </c>
    </row>
    <row r="1763">
      <c r="B1763" s="55" t="inlineStr">
        <is>
          <t>42.726.577/0001-25</t>
        </is>
      </c>
      <c r="C1763" t="inlineStr">
        <is>
          <t>MANTO A MANTO LTDA</t>
        </is>
      </c>
    </row>
    <row r="1764">
      <c r="B1764" s="55" t="inlineStr">
        <is>
          <t>42.726.577/0001-25</t>
        </is>
      </c>
      <c r="C1764" t="inlineStr">
        <is>
          <t>MANTO A MANTO LTDA</t>
        </is>
      </c>
    </row>
    <row r="1765">
      <c r="B1765" s="55" t="inlineStr">
        <is>
          <t>42.761.124/0001-30</t>
        </is>
      </c>
      <c r="C1765" t="inlineStr">
        <is>
          <t>42.761.124 ALEKSANDER AUGUSTO RODRIGUES MARQUES</t>
        </is>
      </c>
    </row>
    <row r="1766">
      <c r="B1766" s="55" t="inlineStr">
        <is>
          <t>42.761.124/0001-30</t>
        </is>
      </c>
      <c r="C1766" t="inlineStr">
        <is>
          <t>42.761.124 ALEKSANDER AUGUSTO RODRIGUES MARQUES</t>
        </is>
      </c>
    </row>
    <row r="1767">
      <c r="B1767" s="55" t="inlineStr">
        <is>
          <t>42.927.255/0001-44</t>
        </is>
      </c>
      <c r="C1767" t="inlineStr">
        <is>
          <t>LUCAS CARVALHO DE MANCILHA</t>
        </is>
      </c>
    </row>
    <row r="1768">
      <c r="B1768" s="55" t="inlineStr">
        <is>
          <t>42.927.255/0001-44</t>
        </is>
      </c>
      <c r="C1768" t="inlineStr">
        <is>
          <t>LUCAS CARVALHO DE MANCILHA</t>
        </is>
      </c>
    </row>
    <row r="1769">
      <c r="B1769" s="55" t="inlineStr">
        <is>
          <t>42.927.255/0001-44</t>
        </is>
      </c>
      <c r="C1769" t="inlineStr">
        <is>
          <t>LUCAS CARVALHO DE MANCILHA</t>
        </is>
      </c>
    </row>
    <row r="1770">
      <c r="B1770" s="55" t="inlineStr">
        <is>
          <t>42.927.255/0001-44</t>
        </is>
      </c>
      <c r="C1770" t="inlineStr">
        <is>
          <t>LUCAS CARVALHO DE MANCILHA</t>
        </is>
      </c>
    </row>
    <row r="1771">
      <c r="B1771" s="55" t="inlineStr">
        <is>
          <t>42.968.196/0001-52</t>
        </is>
      </c>
      <c r="C1771" t="inlineStr">
        <is>
          <t>IHUNGRY TECNOLOGIA LTDA</t>
        </is>
      </c>
    </row>
    <row r="1772">
      <c r="B1772" s="55" t="inlineStr">
        <is>
          <t>43.112.799/0001-10</t>
        </is>
      </c>
      <c r="C1772" t="inlineStr">
        <is>
          <t>CINDY COSMETICS LTDA</t>
        </is>
      </c>
    </row>
    <row r="1773">
      <c r="B1773" s="55" t="inlineStr">
        <is>
          <t>43.112.799/0001-10</t>
        </is>
      </c>
      <c r="C1773" t="inlineStr">
        <is>
          <t>CINDY COSMETICS LTDA</t>
        </is>
      </c>
    </row>
    <row r="1774">
      <c r="B1774" s="55" t="inlineStr">
        <is>
          <t>43.215.655/0001-90</t>
        </is>
      </c>
      <c r="C1774" t="inlineStr">
        <is>
          <t>LIQUIDO BRL PAGAMENTOS DIGITAIS LTDA</t>
        </is>
      </c>
    </row>
    <row r="1775">
      <c r="B1775" s="55" t="inlineStr">
        <is>
          <t>43.250.297/0001-56</t>
        </is>
      </c>
      <c r="C1775" t="inlineStr">
        <is>
          <t>GAV INTERCAMBIADORA ADMINISTRACAO E PARTICIPACOES UNIPESSOAL LTDA</t>
        </is>
      </c>
    </row>
    <row r="1776">
      <c r="B1776" s="55" t="inlineStr">
        <is>
          <t>43.250.297/0001-56</t>
        </is>
      </c>
      <c r="C1776" t="inlineStr">
        <is>
          <t>GAV INTERCAMBIADORA ADMINISTRACAO E PARTICIPACOES UNIPESSOAL LTDA</t>
        </is>
      </c>
    </row>
    <row r="1777">
      <c r="B1777" s="55" t="inlineStr">
        <is>
          <t>43.259.548/0001-63</t>
        </is>
      </c>
      <c r="C1777" t="inlineStr">
        <is>
          <t>SUPERMERCADOS CAVICCHIOLLI LTDA</t>
        </is>
      </c>
    </row>
    <row r="1778">
      <c r="B1778" s="55" t="inlineStr">
        <is>
          <t>43.259.548/0001-63</t>
        </is>
      </c>
      <c r="C1778" t="inlineStr">
        <is>
          <t>SUPERMERCADOS CAVICCHIOLLI LTDA</t>
        </is>
      </c>
    </row>
    <row r="1779">
      <c r="B1779" s="55" t="inlineStr">
        <is>
          <t>43.276.552/0001-30</t>
        </is>
      </c>
      <c r="C1779" t="inlineStr">
        <is>
          <t>SMARTLIFE CREDITO SAUDE LTDA</t>
        </is>
      </c>
    </row>
    <row r="1780">
      <c r="B1780" s="55" t="inlineStr">
        <is>
          <t>43.283.811/0001-50</t>
        </is>
      </c>
      <c r="C1780" t="inlineStr">
        <is>
          <t>KALUNGA SA</t>
        </is>
      </c>
    </row>
    <row r="1781">
      <c r="B1781" s="55" t="inlineStr">
        <is>
          <t>43.354.752/0001-63</t>
        </is>
      </c>
      <c r="C1781" t="inlineStr">
        <is>
          <t>HS - ADMINISTRACAO E PARTICIPACOES LTDA</t>
        </is>
      </c>
    </row>
    <row r="1782">
      <c r="B1782" s="55" t="inlineStr">
        <is>
          <t>43.354.752/0001-63</t>
        </is>
      </c>
      <c r="C1782" t="inlineStr">
        <is>
          <t>HS - ADMINISTRACAO E PARTICIPACOES LTDA</t>
        </is>
      </c>
    </row>
    <row r="1783">
      <c r="B1783" s="55" t="inlineStr">
        <is>
          <t>43.412.869/0001-56</t>
        </is>
      </c>
      <c r="C1783" t="inlineStr">
        <is>
          <t>VINICIUS JARDIM SAPATARIA E ACESSORIOS LTDA</t>
        </is>
      </c>
    </row>
    <row r="1784">
      <c r="B1784" s="55" t="inlineStr">
        <is>
          <t>43.412.869/0001-56</t>
        </is>
      </c>
      <c r="C1784" t="inlineStr">
        <is>
          <t>VINICIUS JARDIM SAPATARIA E ACESSORIOS LTDA</t>
        </is>
      </c>
    </row>
    <row r="1785">
      <c r="B1785" s="55" t="inlineStr">
        <is>
          <t>43.598.397/0001-78</t>
        </is>
      </c>
      <c r="C1785" t="inlineStr">
        <is>
          <t>NATASHA BEATRIZ SANTOS GONCALVES</t>
        </is>
      </c>
    </row>
    <row r="1786">
      <c r="B1786" s="55" t="inlineStr">
        <is>
          <t>43.615.025/0001-02</t>
        </is>
      </c>
      <c r="C1786" t="inlineStr">
        <is>
          <t>43.615.025 JOANA PAULA HERBERT</t>
        </is>
      </c>
    </row>
    <row r="1787">
      <c r="B1787" s="55" t="inlineStr">
        <is>
          <t>43.615.025/0001-02</t>
        </is>
      </c>
      <c r="C1787" t="inlineStr">
        <is>
          <t>43.615.025 JOANA PAULA HERBERT</t>
        </is>
      </c>
    </row>
    <row r="1788">
      <c r="B1788" s="55" t="inlineStr">
        <is>
          <t>43.783.630/0001-92</t>
        </is>
      </c>
      <c r="C1788" t="inlineStr">
        <is>
          <t>IWS COMERCIO LTDA</t>
        </is>
      </c>
    </row>
    <row r="1789">
      <c r="B1789" s="55" t="inlineStr">
        <is>
          <t>43.783.630/0001-92</t>
        </is>
      </c>
      <c r="C1789" t="inlineStr">
        <is>
          <t>IWS COMERCIO LTDA</t>
        </is>
      </c>
    </row>
    <row r="1790">
      <c r="B1790" s="55" t="inlineStr">
        <is>
          <t>43.783.630/0001-92</t>
        </is>
      </c>
      <c r="C1790" t="inlineStr">
        <is>
          <t>IWS COMERCIO LTDA</t>
        </is>
      </c>
    </row>
    <row r="1791">
      <c r="B1791" s="55" t="inlineStr">
        <is>
          <t>43.940.210/0001-72</t>
        </is>
      </c>
      <c r="C1791" t="inlineStr">
        <is>
          <t>PAOLA SANCHES VARGAS CONTERATO</t>
        </is>
      </c>
    </row>
    <row r="1792">
      <c r="B1792" s="55" t="inlineStr">
        <is>
          <t>43.940.210/0001-72</t>
        </is>
      </c>
      <c r="C1792" t="inlineStr">
        <is>
          <t>PAOLA SANCHES VARGAS CONTERATO</t>
        </is>
      </c>
    </row>
    <row r="1793">
      <c r="B1793" s="55" t="inlineStr">
        <is>
          <t>43.940.210/0001-72</t>
        </is>
      </c>
      <c r="C1793" t="inlineStr">
        <is>
          <t>PAOLA SANCHES VARGAS CONTERATO</t>
        </is>
      </c>
    </row>
    <row r="1794">
      <c r="B1794" s="55" t="inlineStr">
        <is>
          <t>43.948.405/0001-69</t>
        </is>
      </c>
      <c r="C1794" t="inlineStr">
        <is>
          <t>LUPO S.A.</t>
        </is>
      </c>
    </row>
    <row r="1795">
      <c r="B1795" s="55" t="inlineStr">
        <is>
          <t>43.948.405/0001-69</t>
        </is>
      </c>
      <c r="C1795" t="inlineStr">
        <is>
          <t>LUPO S.A.</t>
        </is>
      </c>
    </row>
    <row r="1796">
      <c r="B1796" s="55" t="inlineStr">
        <is>
          <t>44.030.913/0001-26</t>
        </is>
      </c>
      <c r="C1796" t="inlineStr">
        <is>
          <t>MANDUI FOODS LTDA</t>
        </is>
      </c>
    </row>
    <row r="1797">
      <c r="B1797" s="55" t="inlineStr">
        <is>
          <t>44.030.913/0001-26</t>
        </is>
      </c>
      <c r="C1797" t="inlineStr">
        <is>
          <t>MANDUI FOODS LTDA</t>
        </is>
      </c>
    </row>
    <row r="1798">
      <c r="B1798" s="55" t="inlineStr">
        <is>
          <t>44.154.079/0001-80</t>
        </is>
      </c>
      <c r="C1798" t="inlineStr">
        <is>
          <t>LION CORP EVENTOS LTDA</t>
        </is>
      </c>
    </row>
    <row r="1799">
      <c r="B1799" s="55" t="inlineStr">
        <is>
          <t>44.154.079/0001-80</t>
        </is>
      </c>
      <c r="C1799" t="inlineStr">
        <is>
          <t>LION CORP EVENTOS LTDA</t>
        </is>
      </c>
    </row>
    <row r="1800">
      <c r="B1800" s="55" t="inlineStr">
        <is>
          <t>44.154.079/0001-80</t>
        </is>
      </c>
      <c r="C1800" t="inlineStr">
        <is>
          <t>LION CORP EVENTOS LTDA</t>
        </is>
      </c>
    </row>
    <row r="1801">
      <c r="B1801" s="55" t="inlineStr">
        <is>
          <t>44.194.660/0001-26</t>
        </is>
      </c>
      <c r="C1801" t="inlineStr">
        <is>
          <t>CASA PUBLICADORA BRASILEIRA</t>
        </is>
      </c>
    </row>
    <row r="1802">
      <c r="B1802" s="55" t="inlineStr">
        <is>
          <t>44.360.896/0001-95</t>
        </is>
      </c>
      <c r="C1802" t="inlineStr">
        <is>
          <t>G. GOLDNER SERVICOS ODONTOLOGICOS LTDA</t>
        </is>
      </c>
    </row>
    <row r="1803">
      <c r="B1803" s="55" t="inlineStr">
        <is>
          <t>44.367.636/0001-41</t>
        </is>
      </c>
      <c r="C1803" t="inlineStr">
        <is>
          <t>AURA SERVICOS DE PAGAMENTOS LTDA</t>
        </is>
      </c>
    </row>
    <row r="1804">
      <c r="B1804" s="55" t="inlineStr">
        <is>
          <t>44.480.747/0001-60</t>
        </is>
      </c>
      <c r="C1804" t="inlineStr">
        <is>
          <t>ANDORINHA SUPERMERCADO LTDA</t>
        </is>
      </c>
    </row>
    <row r="1805">
      <c r="B1805" s="55" t="inlineStr">
        <is>
          <t>44.582.944/0001-90</t>
        </is>
      </c>
      <c r="C1805" t="inlineStr">
        <is>
          <t>OSTENSA INDUSTRIA E COMERCIO DE CONFECCOES LTDA</t>
        </is>
      </c>
    </row>
    <row r="1806">
      <c r="B1806" s="55" t="inlineStr">
        <is>
          <t>44.671.384/0001-40</t>
        </is>
      </c>
      <c r="C1806" t="inlineStr">
        <is>
          <t>PERSONALIZE PHARMA LTDA</t>
        </is>
      </c>
    </row>
    <row r="1807">
      <c r="B1807" s="55" t="inlineStr">
        <is>
          <t>44.715.948/0001-07</t>
        </is>
      </c>
      <c r="C1807" t="inlineStr">
        <is>
          <t>EMPORIO DA GARRAFA LTDA</t>
        </is>
      </c>
    </row>
    <row r="1808">
      <c r="B1808" s="55" t="inlineStr">
        <is>
          <t>44.791.994/0001-87</t>
        </is>
      </c>
      <c r="C1808" t="inlineStr">
        <is>
          <t>OS INDEPENDENTES</t>
        </is>
      </c>
    </row>
    <row r="1809">
      <c r="B1809" s="55" t="inlineStr">
        <is>
          <t>44.791.994/0001-87</t>
        </is>
      </c>
      <c r="C1809" t="inlineStr">
        <is>
          <t>OS INDEPENDENTES</t>
        </is>
      </c>
    </row>
    <row r="1810">
      <c r="B1810" s="55" t="inlineStr">
        <is>
          <t>44.921.613/0001-37</t>
        </is>
      </c>
      <c r="C1810" t="inlineStr">
        <is>
          <t>AGV FARMA LTDA</t>
        </is>
      </c>
    </row>
    <row r="1811">
      <c r="B1811" s="55" t="inlineStr">
        <is>
          <t>44.921.613/0001-37</t>
        </is>
      </c>
      <c r="C1811" t="inlineStr">
        <is>
          <t>AGV FARMA LTDA</t>
        </is>
      </c>
    </row>
    <row r="1812">
      <c r="B1812" s="55" t="inlineStr">
        <is>
          <t>44.921.613/0003-07</t>
        </is>
      </c>
      <c r="C1812" t="inlineStr">
        <is>
          <t>AGV FARMA LTDA</t>
        </is>
      </c>
    </row>
    <row r="1813">
      <c r="B1813" s="55" t="inlineStr">
        <is>
          <t>44.921.613/0003-07</t>
        </is>
      </c>
      <c r="C1813" t="inlineStr">
        <is>
          <t>AGV FARMA LTDA</t>
        </is>
      </c>
    </row>
    <row r="1814">
      <c r="B1814" s="55" t="inlineStr">
        <is>
          <t>44.921.613/0003-07</t>
        </is>
      </c>
      <c r="C1814" t="inlineStr">
        <is>
          <t>AGV FARMA LTDA</t>
        </is>
      </c>
    </row>
    <row r="1815">
      <c r="B1815" s="55" t="inlineStr">
        <is>
          <t>45.067.147/0001-37</t>
        </is>
      </c>
      <c r="C1815" t="inlineStr">
        <is>
          <t>LOJAS ESKALA COMERCIO DE TECIDOS E CONFECCOES LIMITADA</t>
        </is>
      </c>
    </row>
    <row r="1816">
      <c r="B1816" s="55" t="inlineStr">
        <is>
          <t>45.094.765/0001-76</t>
        </is>
      </c>
      <c r="C1816" t="inlineStr">
        <is>
          <t>BEEVEN INTERMEDIACAO DE NEGOCIOS LTDA. (baixada)</t>
        </is>
      </c>
    </row>
    <row r="1817">
      <c r="B1817" s="55" t="inlineStr">
        <is>
          <t>45.157.556/0001-24</t>
        </is>
      </c>
      <c r="C1817" t="inlineStr">
        <is>
          <t>FLAY BRAND COMERCIO DE VESTUARIO LTDA</t>
        </is>
      </c>
    </row>
    <row r="1818">
      <c r="B1818" s="55" t="inlineStr">
        <is>
          <t>45.157.556/0001-24</t>
        </is>
      </c>
      <c r="C1818" t="inlineStr">
        <is>
          <t>FLAY BRAND COMERCIO DE VESTUARIO LTDA</t>
        </is>
      </c>
    </row>
    <row r="1819">
      <c r="B1819" s="55" t="inlineStr">
        <is>
          <t>45.242.914/0001-05</t>
        </is>
      </c>
      <c r="C1819" t="inlineStr">
        <is>
          <t>C&amp;A MODAS S.A.</t>
        </is>
      </c>
    </row>
    <row r="1820">
      <c r="B1820" s="55" t="inlineStr">
        <is>
          <t>45.242.914/0001-05</t>
        </is>
      </c>
      <c r="C1820" t="inlineStr">
        <is>
          <t>C&amp;A MODAS S.A.</t>
        </is>
      </c>
    </row>
    <row r="1821">
      <c r="B1821" s="55" t="inlineStr">
        <is>
          <t>45.242.914/0001-05</t>
        </is>
      </c>
      <c r="C1821" t="inlineStr">
        <is>
          <t>C&amp;A MODAS S.A.</t>
        </is>
      </c>
    </row>
    <row r="1822">
      <c r="B1822" s="55" t="inlineStr">
        <is>
          <t>45.575.958/0001-49</t>
        </is>
      </c>
      <c r="C1822" t="inlineStr">
        <is>
          <t>QUEENSBERRY AGENCIA DE VIAGENS E TURISMO LTDA</t>
        </is>
      </c>
    </row>
    <row r="1823">
      <c r="B1823" s="55" t="inlineStr">
        <is>
          <t>45.575.958/0001-49</t>
        </is>
      </c>
      <c r="C1823" t="inlineStr">
        <is>
          <t>QUEENSBERRY AGENCIA DE VIAGENS E TURISMO LTDA</t>
        </is>
      </c>
    </row>
    <row r="1824">
      <c r="B1824" s="55" t="inlineStr">
        <is>
          <t>45.660.444/0002-72</t>
        </is>
      </c>
      <c r="C1824" t="inlineStr">
        <is>
          <t>SORTIS - DISTRIBUIDORA LTDA</t>
        </is>
      </c>
    </row>
    <row r="1825">
      <c r="B1825" s="55" t="inlineStr">
        <is>
          <t>45.688.533/0001-46</t>
        </is>
      </c>
      <c r="C1825" t="inlineStr">
        <is>
          <t>MP EQUIPAMENTOS PARA CONSTRUCAO CIVIL LTDA</t>
        </is>
      </c>
    </row>
    <row r="1826">
      <c r="B1826" s="55" t="inlineStr">
        <is>
          <t>45.729.066/0001-55</t>
        </is>
      </c>
      <c r="C1826" t="inlineStr">
        <is>
          <t>AUTO FORTE COMERCIO DE PECAS LTDA</t>
        </is>
      </c>
    </row>
    <row r="1827">
      <c r="B1827" s="55" t="inlineStr">
        <is>
          <t>46.029.724/0001-69</t>
        </is>
      </c>
      <c r="C1827" t="inlineStr">
        <is>
          <t>HIGA PRODUTOS ALIMENTICIOS LTDA</t>
        </is>
      </c>
    </row>
    <row r="1828">
      <c r="B1828" s="55" t="inlineStr">
        <is>
          <t>46.029.724/0001-69</t>
        </is>
      </c>
      <c r="C1828" t="inlineStr">
        <is>
          <t>HIGA PRODUTOS ALIMENTICIOS LTDA</t>
        </is>
      </c>
    </row>
    <row r="1829">
      <c r="B1829" s="55" t="inlineStr">
        <is>
          <t>46.044.053/0001-05</t>
        </is>
      </c>
      <c r="C1829" t="inlineStr">
        <is>
          <t>NORTEL SUPRIMENTOS INDUSTRIAIS LTDA</t>
        </is>
      </c>
    </row>
    <row r="1830">
      <c r="B1830" s="55" t="inlineStr">
        <is>
          <t>46.044.053/0001-05</t>
        </is>
      </c>
      <c r="C1830" t="inlineStr">
        <is>
          <t>NORTEL SUPRIMENTOS INDUSTRIAIS LTDA</t>
        </is>
      </c>
    </row>
    <row r="1831">
      <c r="B1831" s="55" t="inlineStr">
        <is>
          <t>46.044.053/0001-05</t>
        </is>
      </c>
      <c r="C1831" t="inlineStr">
        <is>
          <t>NORTEL SUPRIMENTOS INDUSTRIAIS LTDA</t>
        </is>
      </c>
    </row>
    <row r="1832">
      <c r="B1832" s="55" t="inlineStr">
        <is>
          <t>46.044.053/0001-05</t>
        </is>
      </c>
      <c r="C1832" t="inlineStr">
        <is>
          <t>NORTEL SUPRIMENTOS INDUSTRIAIS LTDA</t>
        </is>
      </c>
    </row>
    <row r="1833">
      <c r="B1833" s="55" t="inlineStr">
        <is>
          <t>46.044.053/0001-05</t>
        </is>
      </c>
      <c r="C1833" t="inlineStr">
        <is>
          <t>NORTEL SUPRIMENTOS INDUSTRIAIS LTDA</t>
        </is>
      </c>
    </row>
    <row r="1834">
      <c r="B1834" s="55" t="inlineStr">
        <is>
          <t>46.044.053/0001-05</t>
        </is>
      </c>
      <c r="C1834" t="inlineStr">
        <is>
          <t>NORTEL SUPRIMENTOS INDUSTRIAIS LTDA</t>
        </is>
      </c>
    </row>
    <row r="1835">
      <c r="B1835" s="55" t="inlineStr">
        <is>
          <t>46.079.622/0001-58</t>
        </is>
      </c>
      <c r="C1835" t="inlineStr">
        <is>
          <t>BONNE SOIREE COMERCIO DE VESTUARIO LTDA</t>
        </is>
      </c>
    </row>
    <row r="1836">
      <c r="B1836" s="55" t="inlineStr">
        <is>
          <t>46.079.622/0001-58</t>
        </is>
      </c>
      <c r="C1836" t="inlineStr">
        <is>
          <t>BONNE SOIREE COMERCIO DE VESTUARIO LTDA</t>
        </is>
      </c>
    </row>
    <row r="1837">
      <c r="B1837" s="55" t="inlineStr">
        <is>
          <t>46.147.192/0001-64</t>
        </is>
      </c>
      <c r="C1837" t="inlineStr">
        <is>
          <t>URBAN FEET LTDA.</t>
        </is>
      </c>
    </row>
    <row r="1838">
      <c r="B1838" s="55" t="inlineStr">
        <is>
          <t>46.229.255/0001-21</t>
        </is>
      </c>
      <c r="C1838" t="inlineStr">
        <is>
          <t>NM FIGUEIRA LTDA</t>
        </is>
      </c>
    </row>
    <row r="1839">
      <c r="B1839" s="55" t="inlineStr">
        <is>
          <t>46.229.255/0001-21</t>
        </is>
      </c>
      <c r="C1839" t="inlineStr">
        <is>
          <t>NM FIGUEIRA LTDA</t>
        </is>
      </c>
    </row>
    <row r="1840">
      <c r="B1840" s="55" t="inlineStr">
        <is>
          <t>46.250.852/0001-38</t>
        </is>
      </c>
      <c r="C1840" t="inlineStr">
        <is>
          <t>TECNOLOGIA E PAGAMENTOS KING LTDA</t>
        </is>
      </c>
    </row>
    <row r="1841">
      <c r="B1841" s="55" t="inlineStr">
        <is>
          <t>46.401.065/0001-40</t>
        </is>
      </c>
      <c r="C1841" t="inlineStr">
        <is>
          <t>TERRA FORTE DO NORDESTE COMERCIO DE VEICULOS LTDA</t>
        </is>
      </c>
    </row>
    <row r="1842">
      <c r="B1842" s="55" t="inlineStr">
        <is>
          <t>46.401.065/0001-40</t>
        </is>
      </c>
      <c r="C1842" t="inlineStr">
        <is>
          <t>TERRA FORTE DO NORDESTE COMERCIO DE VEICULOS LTDA</t>
        </is>
      </c>
    </row>
    <row r="1843">
      <c r="B1843" s="55" t="inlineStr">
        <is>
          <t>46.401.065/0001-40</t>
        </is>
      </c>
      <c r="C1843" t="inlineStr">
        <is>
          <t>TERRA FORTE DO NORDESTE COMERCIO DE VEICULOS LTDA</t>
        </is>
      </c>
    </row>
    <row r="1844">
      <c r="B1844" s="55" t="inlineStr">
        <is>
          <t>46.574.475/0001-92</t>
        </is>
      </c>
      <c r="C1844" t="inlineStr">
        <is>
          <t>METRO BH S.A.</t>
        </is>
      </c>
    </row>
    <row r="1845">
      <c r="B1845" s="55" t="inlineStr">
        <is>
          <t>46.574.475/0001-92</t>
        </is>
      </c>
      <c r="C1845" t="inlineStr">
        <is>
          <t>METRO BH S.A.</t>
        </is>
      </c>
    </row>
    <row r="1846">
      <c r="B1846" s="55" t="inlineStr">
        <is>
          <t>46.708.841/0107-07</t>
        </is>
      </c>
      <c r="C1846" t="inlineStr">
        <is>
          <t>VIA BRASIL FASHION COMERCIO DE ROUPAS LTDA</t>
        </is>
      </c>
    </row>
    <row r="1847">
      <c r="B1847" s="55" t="inlineStr">
        <is>
          <t>46.801.973/0020-93</t>
        </is>
      </c>
      <c r="C1847" t="inlineStr">
        <is>
          <t>TEXTIL ABRIL LTDA</t>
        </is>
      </c>
    </row>
    <row r="1848">
      <c r="B1848" s="55" t="inlineStr">
        <is>
          <t>47.100.110/0064-72</t>
        </is>
      </c>
      <c r="C1848" t="inlineStr">
        <is>
          <t>VIA VENETO ROUPAS LTDA</t>
        </is>
      </c>
    </row>
    <row r="1849">
      <c r="B1849" s="55" t="inlineStr">
        <is>
          <t>47.100.110/0064-72</t>
        </is>
      </c>
      <c r="C1849" t="inlineStr">
        <is>
          <t>VIA VENETO ROUPAS LTDA</t>
        </is>
      </c>
    </row>
    <row r="1850">
      <c r="B1850" s="55" t="inlineStr">
        <is>
          <t>47.100.110/0064-72</t>
        </is>
      </c>
      <c r="C1850" t="inlineStr">
        <is>
          <t>VIA VENETO ROUPAS LTDA</t>
        </is>
      </c>
    </row>
    <row r="1851">
      <c r="B1851" s="55" t="inlineStr">
        <is>
          <t>47.161.022/0001-05</t>
        </is>
      </c>
      <c r="C1851" t="inlineStr">
        <is>
          <t>FABRICA DIGITAL MODA E MARKETING LTDA</t>
        </is>
      </c>
    </row>
    <row r="1852">
      <c r="B1852" s="55" t="inlineStr">
        <is>
          <t>47.254.461/0001-54</t>
        </is>
      </c>
      <c r="C1852" t="inlineStr">
        <is>
          <t>CIPATEX IMPREGNADORA DE PAPEIS E TECIDOS LTDA</t>
        </is>
      </c>
    </row>
    <row r="1853">
      <c r="B1853" s="55" t="inlineStr">
        <is>
          <t>47.304.699/0001-47</t>
        </is>
      </c>
      <c r="C1853" t="inlineStr">
        <is>
          <t>HAP HOTELARIA LTDA</t>
        </is>
      </c>
    </row>
    <row r="1854">
      <c r="B1854" s="55" t="inlineStr">
        <is>
          <t>47.304.699/0001-47</t>
        </is>
      </c>
      <c r="C1854" t="inlineStr">
        <is>
          <t>HAP HOTELARIA LTDA</t>
        </is>
      </c>
    </row>
    <row r="1855">
      <c r="B1855" s="55" t="inlineStr">
        <is>
          <t>47.341.599/0001-90</t>
        </is>
      </c>
      <c r="C1855" t="inlineStr">
        <is>
          <t>GPX CALCADOS LTDA</t>
        </is>
      </c>
    </row>
    <row r="1856">
      <c r="B1856" s="55" t="inlineStr">
        <is>
          <t>47.411.018/0001-40</t>
        </is>
      </c>
      <c r="C1856" t="inlineStr">
        <is>
          <t>D F SPAZIO TRANSPORTES E COMERCIO LTDA</t>
        </is>
      </c>
    </row>
    <row r="1857">
      <c r="B1857" s="55" t="inlineStr">
        <is>
          <t>47.430.569/0001-50</t>
        </is>
      </c>
      <c r="C1857" t="inlineStr">
        <is>
          <t>FARMACIA HOMEOPATIA NATURAL LTDA</t>
        </is>
      </c>
    </row>
    <row r="1858">
      <c r="B1858" s="55" t="inlineStr">
        <is>
          <t>47.637.886/0001-42</t>
        </is>
      </c>
      <c r="C1858" t="inlineStr">
        <is>
          <t>VILABON RIO LTDA</t>
        </is>
      </c>
    </row>
    <row r="1859">
      <c r="B1859" s="55" t="inlineStr">
        <is>
          <t>47.639.710/0001-20</t>
        </is>
      </c>
      <c r="C1859" t="inlineStr">
        <is>
          <t>WRB TURISMO LTDA</t>
        </is>
      </c>
    </row>
    <row r="1860">
      <c r="B1860" s="55" t="inlineStr">
        <is>
          <t>48.122.571/0001-25</t>
        </is>
      </c>
      <c r="C1860" t="inlineStr">
        <is>
          <t>ZOUTI TECNOLOGIA LTDA</t>
        </is>
      </c>
    </row>
    <row r="1861">
      <c r="B1861" s="55" t="inlineStr">
        <is>
          <t>48.255.552/0001-77</t>
        </is>
      </c>
      <c r="C1861" t="inlineStr">
        <is>
          <t>NOVO CARACOL E TAINHAS S.A.</t>
        </is>
      </c>
    </row>
    <row r="1862">
      <c r="B1862" s="55" t="inlineStr">
        <is>
          <t>48.255.552/0001-77</t>
        </is>
      </c>
      <c r="C1862" t="inlineStr">
        <is>
          <t>NOVO CARACOL E TAINHAS S.A.</t>
        </is>
      </c>
    </row>
    <row r="1863">
      <c r="B1863" s="55" t="inlineStr">
        <is>
          <t>48.380.188/0001-77</t>
        </is>
      </c>
      <c r="C1863" t="inlineStr">
        <is>
          <t>VIEIRA COMERCIO DE CALCADOS E ACESSORIOS LTDA (baixada)</t>
        </is>
      </c>
    </row>
    <row r="1864">
      <c r="B1864" s="55" t="inlineStr">
        <is>
          <t>48.548.723/0001-56</t>
        </is>
      </c>
      <c r="C1864" t="inlineStr">
        <is>
          <t>TORRES BIJUTERIAS LTDA</t>
        </is>
      </c>
    </row>
    <row r="1865">
      <c r="B1865" s="55" t="inlineStr">
        <is>
          <t>48.548.723/0001-56</t>
        </is>
      </c>
      <c r="C1865" t="inlineStr">
        <is>
          <t>TORRES BIJUTERIAS LTDA</t>
        </is>
      </c>
    </row>
    <row r="1866">
      <c r="B1866" s="55" t="inlineStr">
        <is>
          <t>48.561.826/0002-37</t>
        </is>
      </c>
      <c r="C1866" t="inlineStr">
        <is>
          <t>BF DROGARIAS LTDA</t>
        </is>
      </c>
    </row>
    <row r="1867">
      <c r="B1867" s="55" t="inlineStr">
        <is>
          <t>48.561.826/0002-37</t>
        </is>
      </c>
      <c r="C1867" t="inlineStr">
        <is>
          <t>BF DROGARIAS LTDA</t>
        </is>
      </c>
    </row>
    <row r="1868">
      <c r="B1868" s="55" t="inlineStr">
        <is>
          <t>48.561.826/0004-07</t>
        </is>
      </c>
      <c r="C1868" t="inlineStr">
        <is>
          <t>BF DROGARIAS LTDA</t>
        </is>
      </c>
    </row>
    <row r="1869">
      <c r="B1869" s="55" t="inlineStr">
        <is>
          <t>48.561.826/0004-07</t>
        </is>
      </c>
      <c r="C1869" t="inlineStr">
        <is>
          <t>BF DROGARIAS LTDA</t>
        </is>
      </c>
    </row>
    <row r="1870">
      <c r="B1870" s="55" t="inlineStr">
        <is>
          <t>48.691.701/0001-40</t>
        </is>
      </c>
      <c r="C1870" t="inlineStr">
        <is>
          <t>LUCKY PAY TECNOLOGIA E SOLUCAO FINANCEIRA LTDA (baixada)</t>
        </is>
      </c>
    </row>
    <row r="1871">
      <c r="B1871" s="55" t="inlineStr">
        <is>
          <t>48.890.067/0001-75</t>
        </is>
      </c>
      <c r="C1871" t="inlineStr">
        <is>
          <t>MATTERFLORIS CASA LTDA</t>
        </is>
      </c>
    </row>
    <row r="1872">
      <c r="B1872" s="55" t="inlineStr">
        <is>
          <t>49.058.654/0001-65</t>
        </is>
      </c>
      <c r="C1872" t="inlineStr">
        <is>
          <t>FLEXFORM INDUSTRIA E COMERCIO DE MOVEIS LTDA</t>
        </is>
      </c>
    </row>
    <row r="1873">
      <c r="B1873" s="55" t="inlineStr">
        <is>
          <t>49.058.654/0001-65</t>
        </is>
      </c>
      <c r="C1873" t="inlineStr">
        <is>
          <t>FLEXFORM INDUSTRIA E COMERCIO DE MOVEIS LTDA</t>
        </is>
      </c>
    </row>
    <row r="1874">
      <c r="B1874" s="55" t="inlineStr">
        <is>
          <t>49.058.654/0001-65</t>
        </is>
      </c>
      <c r="C1874" t="inlineStr">
        <is>
          <t>FLEXFORM INDUSTRIA E COMERCIO DE MOVEIS LTDA</t>
        </is>
      </c>
    </row>
    <row r="1875">
      <c r="B1875" s="55" t="inlineStr">
        <is>
          <t>49.397.558/0003-03</t>
        </is>
      </c>
      <c r="C1875" t="inlineStr">
        <is>
          <t>FAST FERRAMENTAS LTDA</t>
        </is>
      </c>
    </row>
    <row r="1876">
      <c r="B1876" s="55" t="inlineStr">
        <is>
          <t>49.397.558/0003-03</t>
        </is>
      </c>
      <c r="C1876" t="inlineStr">
        <is>
          <t>FAST FERRAMENTAS LTDA</t>
        </is>
      </c>
    </row>
    <row r="1877">
      <c r="B1877" s="55" t="inlineStr">
        <is>
          <t>49.464.235/0001-23</t>
        </is>
      </c>
      <c r="C1877" t="inlineStr">
        <is>
          <t>FESTPAY TECH SOLUCOES EM TECNOLOGIA DA INFORMACAO LTDA</t>
        </is>
      </c>
    </row>
    <row r="1878">
      <c r="B1878" s="55" t="inlineStr">
        <is>
          <t>49.507.747/0001-20</t>
        </is>
      </c>
      <c r="C1878" t="inlineStr">
        <is>
          <t>ULTD ACTIVE WEAR ARTIGOS ESPORTIVOS LTDA</t>
        </is>
      </c>
    </row>
    <row r="1879">
      <c r="B1879" s="55" t="inlineStr">
        <is>
          <t>49.579.198/0001-07</t>
        </is>
      </c>
      <c r="C1879" t="inlineStr">
        <is>
          <t>DROGARIA FAMILIA DE INHAUMA LTDA</t>
        </is>
      </c>
    </row>
    <row r="1880">
      <c r="B1880" s="55" t="inlineStr">
        <is>
          <t>49.579.198/0001-07</t>
        </is>
      </c>
      <c r="C1880" t="inlineStr">
        <is>
          <t>DROGARIA FAMILIA DE INHAUMA LTDA</t>
        </is>
      </c>
    </row>
    <row r="1881">
      <c r="B1881" s="55" t="inlineStr">
        <is>
          <t>49.579.198/0001-07</t>
        </is>
      </c>
      <c r="C1881" t="inlineStr">
        <is>
          <t>DROGARIA FAMILIA DE INHAUMA LTDA</t>
        </is>
      </c>
    </row>
    <row r="1882">
      <c r="B1882" s="55" t="inlineStr">
        <is>
          <t>49.587.355/0001-18</t>
        </is>
      </c>
      <c r="C1882" t="inlineStr">
        <is>
          <t>EMPORIO RODRIGO PASCOTO GANSINHO LTDA</t>
        </is>
      </c>
    </row>
    <row r="1883">
      <c r="B1883" s="55" t="inlineStr">
        <is>
          <t>49.587.355/0001-18</t>
        </is>
      </c>
      <c r="C1883" t="inlineStr">
        <is>
          <t>EMPORIO RODRIGO PASCOTO GANSINHO LTDA</t>
        </is>
      </c>
    </row>
    <row r="1884">
      <c r="B1884" s="55" t="inlineStr">
        <is>
          <t>49.679.355/0001-48</t>
        </is>
      </c>
      <c r="C1884" t="inlineStr">
        <is>
          <t>GLORIA COMERCIO DE MEDICAMENTOS LTDA</t>
        </is>
      </c>
    </row>
    <row r="1885">
      <c r="B1885" s="55" t="inlineStr">
        <is>
          <t>49.679.355/0001-48</t>
        </is>
      </c>
      <c r="C1885" t="inlineStr">
        <is>
          <t>GLORIA COMERCIO DE MEDICAMENTOS LTDA</t>
        </is>
      </c>
    </row>
    <row r="1886">
      <c r="B1886" s="55" t="inlineStr">
        <is>
          <t>49.679.355/0001-48</t>
        </is>
      </c>
      <c r="C1886" t="inlineStr">
        <is>
          <t>GLORIA COMERCIO DE MEDICAMENTOS LTDA</t>
        </is>
      </c>
    </row>
    <row r="1887">
      <c r="B1887" s="55" t="inlineStr">
        <is>
          <t>49.679.355/0001-48</t>
        </is>
      </c>
      <c r="C1887" t="inlineStr">
        <is>
          <t>GLORIA COMERCIO DE MEDICAMENTOS LTDA</t>
        </is>
      </c>
    </row>
    <row r="1888">
      <c r="B1888" s="55" t="inlineStr">
        <is>
          <t>49.679.355/0001-48</t>
        </is>
      </c>
      <c r="C1888" t="inlineStr">
        <is>
          <t>GLORIA COMERCIO DE MEDICAMENTOS LTDA</t>
        </is>
      </c>
    </row>
    <row r="1889">
      <c r="B1889" s="55" t="inlineStr">
        <is>
          <t>49.680.560/0001-23</t>
        </is>
      </c>
      <c r="C1889" t="inlineStr">
        <is>
          <t>TFSHOP TECNOLOGIA E SERVICOS LTDA</t>
        </is>
      </c>
    </row>
    <row r="1890">
      <c r="B1890" s="55" t="inlineStr">
        <is>
          <t>49.736.043/0001-29</t>
        </is>
      </c>
      <c r="C1890" t="inlineStr">
        <is>
          <t>CONVERSEPAY LTDA.</t>
        </is>
      </c>
    </row>
    <row r="1891">
      <c r="B1891" s="55" t="inlineStr">
        <is>
          <t>49.944.686/0001-68</t>
        </is>
      </c>
      <c r="C1891" t="inlineStr">
        <is>
          <t>VIVA GESTAO E ADMINISTRACAO DE PROPRIEDADES IMOBILIARIAS S.A.</t>
        </is>
      </c>
    </row>
    <row r="1892">
      <c r="B1892" s="55" t="inlineStr">
        <is>
          <t>49.962.721/0001-71</t>
        </is>
      </c>
      <c r="C1892" t="inlineStr">
        <is>
          <t>FAST TENNIS FRANQUEADORA LTDA</t>
        </is>
      </c>
    </row>
    <row r="1893">
      <c r="B1893" s="55" t="inlineStr">
        <is>
          <t>50.035.354/0001-40</t>
        </is>
      </c>
      <c r="C1893" t="inlineStr">
        <is>
          <t>BMM PROMOCAO DE VENDAS LTDA</t>
        </is>
      </c>
    </row>
    <row r="1894">
      <c r="B1894" s="55" t="inlineStr">
        <is>
          <t>50.035.354/0001-40</t>
        </is>
      </c>
      <c r="C1894" t="inlineStr">
        <is>
          <t>BMM PROMOCAO DE VENDAS LTDA</t>
        </is>
      </c>
    </row>
    <row r="1895">
      <c r="B1895" s="55" t="inlineStr">
        <is>
          <t>50.127.881/0001-84</t>
        </is>
      </c>
      <c r="C1895" t="inlineStr">
        <is>
          <t>C. L. DA SILVEIRA LTDA</t>
        </is>
      </c>
    </row>
    <row r="1896">
      <c r="B1896" s="55" t="inlineStr">
        <is>
          <t>50.127.881/0001-84</t>
        </is>
      </c>
      <c r="C1896" t="inlineStr">
        <is>
          <t>C. L. DA SILVEIRA LTDA</t>
        </is>
      </c>
    </row>
    <row r="1897">
      <c r="B1897" s="55" t="inlineStr">
        <is>
          <t>50.277.157/0001-37</t>
        </is>
      </c>
      <c r="C1897" t="inlineStr">
        <is>
          <t>50.277.157 LUIZ GUSTAVO GAZZOLA SANT ANA</t>
        </is>
      </c>
    </row>
    <row r="1898">
      <c r="B1898" s="55" t="inlineStr">
        <is>
          <t>50.316.222/0001-96</t>
        </is>
      </c>
      <c r="C1898" t="inlineStr">
        <is>
          <t>CENTRO DE SERVICOS CONTORNO LTDA</t>
        </is>
      </c>
    </row>
    <row r="1899">
      <c r="B1899" s="55" t="inlineStr">
        <is>
          <t>50.316.222/0001-96</t>
        </is>
      </c>
      <c r="C1899" t="inlineStr">
        <is>
          <t>CENTRO DE SERVICOS CONTORNO LTDA</t>
        </is>
      </c>
    </row>
    <row r="1900">
      <c r="B1900" s="55" t="inlineStr">
        <is>
          <t>50.316.222/0001-96</t>
        </is>
      </c>
      <c r="C1900" t="inlineStr">
        <is>
          <t>CENTRO DE SERVICOS CONTORNO LTDA</t>
        </is>
      </c>
    </row>
    <row r="1901">
      <c r="B1901" s="55" t="inlineStr">
        <is>
          <t>50.316.222/0001-96</t>
        </is>
      </c>
      <c r="C1901" t="inlineStr">
        <is>
          <t>CENTRO DE SERVICOS CONTORNO LTDA</t>
        </is>
      </c>
    </row>
    <row r="1902">
      <c r="B1902" s="55" t="inlineStr">
        <is>
          <t>50.316.222/0001-96</t>
        </is>
      </c>
      <c r="C1902" t="inlineStr">
        <is>
          <t>CENTRO DE SERVICOS CONTORNO LTDA</t>
        </is>
      </c>
    </row>
    <row r="1903">
      <c r="B1903" s="55" t="inlineStr">
        <is>
          <t>50.342.358/0001-70</t>
        </is>
      </c>
      <c r="C1903" t="inlineStr">
        <is>
          <t>ATOMO PAY LTDA</t>
        </is>
      </c>
    </row>
    <row r="1904">
      <c r="B1904" s="55" t="inlineStr">
        <is>
          <t>50.600.904/0001-26</t>
        </is>
      </c>
      <c r="C1904" t="inlineStr">
        <is>
          <t>PAYZU INSTITUICAO DE PAGAMENTO LTDA</t>
        </is>
      </c>
    </row>
    <row r="1905">
      <c r="B1905" s="55" t="inlineStr">
        <is>
          <t>50.786.467/0001-87</t>
        </is>
      </c>
      <c r="C1905" t="inlineStr">
        <is>
          <t>KARAMELLO RIO ROUPAS LTDA</t>
        </is>
      </c>
    </row>
    <row r="1906">
      <c r="B1906" s="55" t="inlineStr">
        <is>
          <t>50.786.467/0001-87</t>
        </is>
      </c>
      <c r="C1906" t="inlineStr">
        <is>
          <t>KARAMELLO RIO ROUPAS LTDA</t>
        </is>
      </c>
    </row>
    <row r="1907">
      <c r="B1907" s="55" t="inlineStr">
        <is>
          <t>50.948.371/0001-78</t>
        </is>
      </c>
      <c r="C1907" t="inlineStr">
        <is>
          <t>IRMAOS BOA LTDA</t>
        </is>
      </c>
    </row>
    <row r="1908">
      <c r="B1908" s="55" t="inlineStr">
        <is>
          <t>50.948.371/0001-78</t>
        </is>
      </c>
      <c r="C1908" t="inlineStr">
        <is>
          <t>IRMAOS BOA LTDA</t>
        </is>
      </c>
    </row>
    <row r="1909">
      <c r="B1909" s="55" t="inlineStr">
        <is>
          <t>50.948.371/0001-78</t>
        </is>
      </c>
      <c r="C1909" t="inlineStr">
        <is>
          <t>IRMAOS BOA LTDA</t>
        </is>
      </c>
    </row>
    <row r="1910">
      <c r="B1910" s="55" t="inlineStr">
        <is>
          <t>50.948.371/0001-78</t>
        </is>
      </c>
      <c r="C1910" t="inlineStr">
        <is>
          <t>IRMAOS BOA LTDA</t>
        </is>
      </c>
    </row>
    <row r="1911">
      <c r="B1911" s="55" t="inlineStr">
        <is>
          <t>51.131.969/0001-32</t>
        </is>
      </c>
      <c r="C1911" t="inlineStr">
        <is>
          <t>TEC LAB MEDICINA DIAGNOSTICA S/A</t>
        </is>
      </c>
    </row>
    <row r="1912">
      <c r="B1912" s="55" t="inlineStr">
        <is>
          <t>51.131.969/0001-32</t>
        </is>
      </c>
      <c r="C1912" t="inlineStr">
        <is>
          <t>TEC LAB MEDICINA DIAGNOSTICA S/A</t>
        </is>
      </c>
    </row>
    <row r="1913">
      <c r="B1913" s="55" t="inlineStr">
        <is>
          <t>51.131.969/0001-32</t>
        </is>
      </c>
      <c r="C1913" t="inlineStr">
        <is>
          <t>TEC LAB MEDICINA DIAGNOSTICA S/A</t>
        </is>
      </c>
    </row>
    <row r="1914">
      <c r="B1914" s="55" t="inlineStr">
        <is>
          <t>51.146.565/0001-12</t>
        </is>
      </c>
      <c r="C1914" t="inlineStr">
        <is>
          <t>MADEL HOME COMERCIO DE MOVEIS E DECORACOES LTDA</t>
        </is>
      </c>
    </row>
    <row r="1915">
      <c r="B1915" s="55" t="inlineStr">
        <is>
          <t>51.146.565/0001-12</t>
        </is>
      </c>
      <c r="C1915" t="inlineStr">
        <is>
          <t>MADEL HOME COMERCIO DE MOVEIS E DECORACOES LTDA</t>
        </is>
      </c>
    </row>
    <row r="1916">
      <c r="B1916" s="55" t="inlineStr">
        <is>
          <t>51.146.565/0001-12</t>
        </is>
      </c>
      <c r="C1916" t="inlineStr">
        <is>
          <t>MADEL HOME COMERCIO DE MOVEIS E DECORACOES LTDA</t>
        </is>
      </c>
    </row>
    <row r="1917">
      <c r="B1917" s="55" t="inlineStr">
        <is>
          <t>51.179.754/0001-91</t>
        </is>
      </c>
      <c r="C1917" t="inlineStr">
        <is>
          <t>IZY TECNOLOGIA E SOLUCOES DE PAGAMENTOS LTDA</t>
        </is>
      </c>
    </row>
    <row r="1918">
      <c r="B1918" s="55" t="inlineStr">
        <is>
          <t>51.200.038/0017-06</t>
        </is>
      </c>
      <c r="C1918" t="inlineStr">
        <is>
          <t>MAGAZINE MUNDIAL LTDA</t>
        </is>
      </c>
    </row>
    <row r="1919">
      <c r="B1919" s="55" t="inlineStr">
        <is>
          <t>51.283.462/0001-02</t>
        </is>
      </c>
      <c r="C1919" t="inlineStr">
        <is>
          <t>PILARIS BEM ESTAR E SAUDE DOMICILIAR LTDA</t>
        </is>
      </c>
    </row>
    <row r="1920">
      <c r="B1920" s="55" t="inlineStr">
        <is>
          <t>51.283.462/0001-02</t>
        </is>
      </c>
      <c r="C1920" t="inlineStr">
        <is>
          <t>PILARIS BEM ESTAR E SAUDE DOMICILIAR LTDA</t>
        </is>
      </c>
    </row>
    <row r="1921">
      <c r="B1921" s="55" t="inlineStr">
        <is>
          <t>51.359.102/0001-39</t>
        </is>
      </c>
      <c r="C1921" t="inlineStr">
        <is>
          <t>SKC DISTRIBUIDORA DE ELETRONICOS LTDA</t>
        </is>
      </c>
    </row>
    <row r="1922">
      <c r="B1922" s="55" t="inlineStr">
        <is>
          <t>51.371.425/0001-48</t>
        </is>
      </c>
      <c r="C1922" t="inlineStr">
        <is>
          <t>ROGERIO SIMOES SUZANO</t>
        </is>
      </c>
    </row>
    <row r="1923">
      <c r="B1923" s="55" t="inlineStr">
        <is>
          <t>51.409.548/0001-20</t>
        </is>
      </c>
      <c r="C1923" t="inlineStr">
        <is>
          <t>DROGAVAL LTDA</t>
        </is>
      </c>
    </row>
    <row r="1924">
      <c r="B1924" s="55" t="inlineStr">
        <is>
          <t>51.409.548/0001-20</t>
        </is>
      </c>
      <c r="C1924" t="inlineStr">
        <is>
          <t>DROGAVAL LTDA</t>
        </is>
      </c>
    </row>
    <row r="1925">
      <c r="B1925" s="55" t="inlineStr">
        <is>
          <t>51.409.548/0001-20</t>
        </is>
      </c>
      <c r="C1925" t="inlineStr">
        <is>
          <t>DROGAVAL LTDA</t>
        </is>
      </c>
    </row>
    <row r="1926">
      <c r="B1926" s="55" t="inlineStr">
        <is>
          <t>51.532.581/0001-43</t>
        </is>
      </c>
      <c r="C1926" t="inlineStr">
        <is>
          <t>AWS COMERCIO DE PECAS E ACESSORIOS PARA VEICULOS LTDA</t>
        </is>
      </c>
    </row>
    <row r="1927">
      <c r="B1927" s="55" t="inlineStr">
        <is>
          <t>51.685.651/0001-01</t>
        </is>
      </c>
      <c r="C1927" t="inlineStr">
        <is>
          <t>BIP LTDA</t>
        </is>
      </c>
    </row>
    <row r="1928">
      <c r="B1928" s="55" t="inlineStr">
        <is>
          <t>51.804.785/0001-96</t>
        </is>
      </c>
      <c r="C1928" t="inlineStr">
        <is>
          <t>MED SOLUTIONS S.A.</t>
        </is>
      </c>
    </row>
    <row r="1929">
      <c r="B1929" s="55" t="inlineStr">
        <is>
          <t>51.931.954/0001-59</t>
        </is>
      </c>
      <c r="C1929" t="inlineStr">
        <is>
          <t>EP ENGENHARIA DO PROCESSO LTDA.</t>
        </is>
      </c>
    </row>
    <row r="1930">
      <c r="B1930" s="55" t="inlineStr">
        <is>
          <t>51.931.954/0001-59</t>
        </is>
      </c>
      <c r="C1930" t="inlineStr">
        <is>
          <t>EP ENGENHARIA DO PROCESSO LTDA.</t>
        </is>
      </c>
    </row>
    <row r="1931">
      <c r="B1931" s="55" t="inlineStr">
        <is>
          <t>52.133.813/0001-53</t>
        </is>
      </c>
      <c r="C1931" t="inlineStr">
        <is>
          <t>DOURAVITA SUPLEMENTOS LTDA</t>
        </is>
      </c>
    </row>
    <row r="1932">
      <c r="B1932" s="55" t="inlineStr">
        <is>
          <t>52.133.813/0001-53</t>
        </is>
      </c>
      <c r="C1932" t="inlineStr">
        <is>
          <t>DOURAVITA SUPLEMENTOS LTDA</t>
        </is>
      </c>
    </row>
    <row r="1933">
      <c r="B1933" s="55" t="inlineStr">
        <is>
          <t>52.133.813/0001-53</t>
        </is>
      </c>
      <c r="C1933" t="inlineStr">
        <is>
          <t>DOURAVITA SUPLEMENTOS LTDA</t>
        </is>
      </c>
    </row>
    <row r="1934">
      <c r="B1934" s="55" t="inlineStr">
        <is>
          <t>52.226.073/0001-08</t>
        </is>
      </c>
      <c r="C1934" t="inlineStr">
        <is>
          <t>BRASIF S/A EXPORTACAO IMPORTACAO</t>
        </is>
      </c>
    </row>
    <row r="1935">
      <c r="B1935" s="55" t="inlineStr">
        <is>
          <t>52.226.073/0001-08</t>
        </is>
      </c>
      <c r="C1935" t="inlineStr">
        <is>
          <t>BRASIF S/A EXPORTACAO IMPORTACAO</t>
        </is>
      </c>
    </row>
    <row r="1936">
      <c r="B1936" s="55" t="inlineStr">
        <is>
          <t>52.226.073/0001-08</t>
        </is>
      </c>
      <c r="C1936" t="inlineStr">
        <is>
          <t>BRASIF S/A EXPORTACAO IMPORTACAO</t>
        </is>
      </c>
    </row>
    <row r="1937">
      <c r="B1937" s="55" t="inlineStr">
        <is>
          <t>52.226.073/0001-08</t>
        </is>
      </c>
      <c r="C1937" t="inlineStr">
        <is>
          <t>BRASIF S/A EXPORTACAO IMPORTACAO</t>
        </is>
      </c>
    </row>
    <row r="1938">
      <c r="B1938" s="55" t="inlineStr">
        <is>
          <t>52.226.073/0001-08</t>
        </is>
      </c>
      <c r="C1938" t="inlineStr">
        <is>
          <t>BRASIF S/A EXPORTACAO IMPORTACAO</t>
        </is>
      </c>
    </row>
    <row r="1939">
      <c r="B1939" s="55" t="inlineStr">
        <is>
          <t>52.226.073/0001-08</t>
        </is>
      </c>
      <c r="C1939" t="inlineStr">
        <is>
          <t>BRASIF S/A EXPORTACAO IMPORTACAO</t>
        </is>
      </c>
    </row>
    <row r="1940">
      <c r="B1940" s="55" t="inlineStr">
        <is>
          <t>52.284.160/0001-03</t>
        </is>
      </c>
      <c r="C1940" t="inlineStr">
        <is>
          <t>B4 CAPITAL PLATAFORMA EXCHANGE S.A.</t>
        </is>
      </c>
    </row>
    <row r="1941">
      <c r="B1941" s="55" t="inlineStr">
        <is>
          <t>52.711.237/0001-84</t>
        </is>
      </c>
      <c r="C1941" t="inlineStr">
        <is>
          <t>DOM DIGITAL LTDA</t>
        </is>
      </c>
    </row>
    <row r="1942">
      <c r="B1942" s="55" t="inlineStr">
        <is>
          <t>53.024.429/0001-85</t>
        </is>
      </c>
      <c r="C1942" t="inlineStr">
        <is>
          <t>ESQUINAO CONVENIENCIA LTDA</t>
        </is>
      </c>
    </row>
    <row r="1943">
      <c r="B1943" s="55" t="inlineStr">
        <is>
          <t>53.024.429/0001-85</t>
        </is>
      </c>
      <c r="C1943" t="inlineStr">
        <is>
          <t>ESQUINAO CONVENIENCIA LTDA</t>
        </is>
      </c>
    </row>
    <row r="1944">
      <c r="B1944" s="55" t="inlineStr">
        <is>
          <t>53.045.266/0001-17</t>
        </is>
      </c>
      <c r="C1944" t="inlineStr">
        <is>
          <t>JAD ZOGHEIB &amp; CIA LTDA</t>
        </is>
      </c>
    </row>
    <row r="1945">
      <c r="B1945" s="55" t="inlineStr">
        <is>
          <t>53.045.266/0001-17</t>
        </is>
      </c>
      <c r="C1945" t="inlineStr">
        <is>
          <t>JAD ZOGHEIB &amp; CIA LTDA</t>
        </is>
      </c>
    </row>
    <row r="1946">
      <c r="B1946" s="55" t="inlineStr">
        <is>
          <t>53.045.266/0001-17</t>
        </is>
      </c>
      <c r="C1946" t="inlineStr">
        <is>
          <t>JAD ZOGHEIB &amp; CIA LTDA</t>
        </is>
      </c>
    </row>
    <row r="1947">
      <c r="B1947" s="55" t="inlineStr">
        <is>
          <t>53.045.266/0001-17</t>
        </is>
      </c>
      <c r="C1947" t="inlineStr">
        <is>
          <t>JAD ZOGHEIB &amp; CIA LTDA</t>
        </is>
      </c>
    </row>
    <row r="1948">
      <c r="B1948" s="55" t="inlineStr">
        <is>
          <t>53.091.203/0001-05</t>
        </is>
      </c>
      <c r="C1948" t="inlineStr">
        <is>
          <t>CASA FERNANDES MATERIAIS PARA CONSTRUCAO LTDA</t>
        </is>
      </c>
    </row>
    <row r="1949">
      <c r="B1949" s="55" t="inlineStr">
        <is>
          <t>53.091.203/0001-05</t>
        </is>
      </c>
      <c r="C1949" t="inlineStr">
        <is>
          <t>CASA FERNANDES MATERIAIS PARA CONSTRUCAO LTDA</t>
        </is>
      </c>
    </row>
    <row r="1950">
      <c r="B1950" s="55" t="inlineStr">
        <is>
          <t>53.091.203/0001-05</t>
        </is>
      </c>
      <c r="C1950" t="inlineStr">
        <is>
          <t>CASA FERNANDES MATERIAIS PARA CONSTRUCAO LTDA</t>
        </is>
      </c>
    </row>
    <row r="1951">
      <c r="B1951" s="55" t="inlineStr">
        <is>
          <t>53.146.760/0001-78</t>
        </is>
      </c>
      <c r="C1951" t="inlineStr">
        <is>
          <t>PRATAPETES JOE COMERCIO DE TAPETES LTDA</t>
        </is>
      </c>
    </row>
    <row r="1952">
      <c r="B1952" s="55" t="inlineStr">
        <is>
          <t>53.153.938/0016-94</t>
        </is>
      </c>
      <c r="C1952" t="inlineStr">
        <is>
          <t>COBASI COMERCIO DE PRODUTOS BASICOS E INDUSTRIALIZADOS S.A.</t>
        </is>
      </c>
    </row>
    <row r="1953">
      <c r="B1953" s="55" t="inlineStr">
        <is>
          <t>53.153.938/0016-94</t>
        </is>
      </c>
      <c r="C1953" t="inlineStr">
        <is>
          <t>COBASI COMERCIO DE PRODUTOS BASICOS E INDUSTRIALIZADOS S.A.</t>
        </is>
      </c>
    </row>
    <row r="1954">
      <c r="B1954" s="55" t="inlineStr">
        <is>
          <t>53.153.938/0016-94</t>
        </is>
      </c>
      <c r="C1954" t="inlineStr">
        <is>
          <t>COBASI COMERCIO DE PRODUTOS BASICOS E INDUSTRIALIZADOS S.A.</t>
        </is>
      </c>
    </row>
    <row r="1955">
      <c r="B1955" s="55" t="inlineStr">
        <is>
          <t>53.258.117/0029-37</t>
        </is>
      </c>
      <c r="C1955" t="inlineStr">
        <is>
          <t>KHELF - MODAS LTDA</t>
        </is>
      </c>
    </row>
    <row r="1956">
      <c r="B1956" s="55" t="inlineStr">
        <is>
          <t>53.258.117/0029-37</t>
        </is>
      </c>
      <c r="C1956" t="inlineStr">
        <is>
          <t>KHELF - MODAS LTDA</t>
        </is>
      </c>
    </row>
    <row r="1957">
      <c r="B1957" s="55" t="inlineStr">
        <is>
          <t>53.258.117/0029-37</t>
        </is>
      </c>
      <c r="C1957" t="inlineStr">
        <is>
          <t>KHELF - MODAS LTDA</t>
        </is>
      </c>
    </row>
    <row r="1958">
      <c r="B1958" s="55" t="inlineStr">
        <is>
          <t>53.258.843/0001-59</t>
        </is>
      </c>
      <c r="C1958" t="inlineStr">
        <is>
          <t>BOXPHARMA 150 LTDA</t>
        </is>
      </c>
    </row>
    <row r="1959">
      <c r="B1959" s="55" t="inlineStr">
        <is>
          <t>53.258.843/0001-59</t>
        </is>
      </c>
      <c r="C1959" t="inlineStr">
        <is>
          <t>BOXPHARMA 150 LTDA</t>
        </is>
      </c>
    </row>
    <row r="1960">
      <c r="B1960" s="55" t="inlineStr">
        <is>
          <t>53.380.285/0001-08</t>
        </is>
      </c>
      <c r="C1960" t="inlineStr">
        <is>
          <t>DIGITAL BEST SELLER LTDA</t>
        </is>
      </c>
    </row>
    <row r="1961">
      <c r="B1961" s="55" t="inlineStr">
        <is>
          <t>53.424.594/0001-24</t>
        </is>
      </c>
      <c r="C1961" t="inlineStr">
        <is>
          <t>IND E COM DE COLCHOES CASTOR LTDA</t>
        </is>
      </c>
    </row>
    <row r="1962">
      <c r="B1962" s="55" t="inlineStr">
        <is>
          <t>53.471.075/0001-17</t>
        </is>
      </c>
      <c r="C1962" t="inlineStr">
        <is>
          <t>PIXINTEGRA SOLUCAO E INTERMEDIACAO DE NEGOCIOS LTDA</t>
        </is>
      </c>
    </row>
    <row r="1963">
      <c r="B1963" s="55" t="inlineStr">
        <is>
          <t>53.471.075/0001-17</t>
        </is>
      </c>
      <c r="C1963" t="inlineStr">
        <is>
          <t>PIXINTEGRA SOLUCAO E INTERMEDIACAO DE NEGOCIOS LTDA</t>
        </is>
      </c>
    </row>
    <row r="1964">
      <c r="B1964" s="55" t="inlineStr">
        <is>
          <t>53.471.075/0001-17</t>
        </is>
      </c>
      <c r="C1964" t="inlineStr">
        <is>
          <t>PIXINTEGRA SOLUCAO E INTERMEDIACAO DE NEGOCIOS LTDA</t>
        </is>
      </c>
    </row>
    <row r="1965">
      <c r="B1965" s="55" t="inlineStr">
        <is>
          <t>53.512.848/0001-66</t>
        </is>
      </c>
      <c r="C1965" t="inlineStr">
        <is>
          <t>ALIGNER SOLUTIONS LTDA</t>
        </is>
      </c>
    </row>
    <row r="1966">
      <c r="B1966" s="55" t="inlineStr">
        <is>
          <t>53.512.848/0001-66</t>
        </is>
      </c>
      <c r="C1966" t="inlineStr">
        <is>
          <t>ALIGNER SOLUTIONS LTDA</t>
        </is>
      </c>
    </row>
    <row r="1967">
      <c r="B1967" s="55" t="inlineStr">
        <is>
          <t>53.726.546/0001-90</t>
        </is>
      </c>
      <c r="C1967" t="inlineStr">
        <is>
          <t>LAR DOCE LAR COMERCIO DE MATERIAL DE CONSTRUCAO LTDA</t>
        </is>
      </c>
    </row>
    <row r="1968">
      <c r="B1968" s="55" t="inlineStr">
        <is>
          <t>53.768.953/0001-60</t>
        </is>
      </c>
      <c r="C1968" t="inlineStr">
        <is>
          <t>VENTUREPAV SISTEMAS LTDA</t>
        </is>
      </c>
    </row>
    <row r="1969">
      <c r="B1969" s="55" t="inlineStr">
        <is>
          <t>53.816.563/0001-19</t>
        </is>
      </c>
      <c r="C1969" t="inlineStr">
        <is>
          <t>MONACO PECAS LTDA</t>
        </is>
      </c>
    </row>
    <row r="1970">
      <c r="B1970" s="55" t="inlineStr">
        <is>
          <t>53.816.563/0001-19</t>
        </is>
      </c>
      <c r="C1970" t="inlineStr">
        <is>
          <t>MONACO PECAS LTDA</t>
        </is>
      </c>
    </row>
    <row r="1971">
      <c r="B1971" s="55" t="inlineStr">
        <is>
          <t>53.816.563/0001-19</t>
        </is>
      </c>
      <c r="C1971" t="inlineStr">
        <is>
          <t>MONACO PECAS LTDA</t>
        </is>
      </c>
    </row>
    <row r="1972">
      <c r="B1972" s="55" t="inlineStr">
        <is>
          <t>53.816.563/0001-19</t>
        </is>
      </c>
      <c r="C1972" t="inlineStr">
        <is>
          <t>MONACO PECAS LTDA</t>
        </is>
      </c>
    </row>
    <row r="1973">
      <c r="B1973" s="55" t="inlineStr">
        <is>
          <t>53.889.242/0001-44</t>
        </is>
      </c>
      <c r="C1973" t="inlineStr">
        <is>
          <t>DROGARIA DROGAPLIS LTDA</t>
        </is>
      </c>
    </row>
    <row r="1974">
      <c r="B1974" s="55" t="inlineStr">
        <is>
          <t>53.889.242/0001-44</t>
        </is>
      </c>
      <c r="C1974" t="inlineStr">
        <is>
          <t>DROGARIA DROGAPLIS LTDA</t>
        </is>
      </c>
    </row>
    <row r="1975">
      <c r="B1975" s="55" t="inlineStr">
        <is>
          <t>53.889.242/0001-44</t>
        </is>
      </c>
      <c r="C1975" t="inlineStr">
        <is>
          <t>DROGARIA DROGAPLIS LTDA</t>
        </is>
      </c>
    </row>
    <row r="1976">
      <c r="B1976" s="55" t="inlineStr">
        <is>
          <t>53.899.320/0001-91</t>
        </is>
      </c>
      <c r="C1976" t="inlineStr">
        <is>
          <t>53.899.320 GIOVANI LUIS ROMAN</t>
        </is>
      </c>
    </row>
    <row r="1977">
      <c r="B1977" s="55" t="inlineStr">
        <is>
          <t>53.977.021/0001-28</t>
        </is>
      </c>
      <c r="C1977" t="inlineStr">
        <is>
          <t>PHB ELETRONICA LTDA</t>
        </is>
      </c>
    </row>
    <row r="1978">
      <c r="B1978" s="55" t="inlineStr">
        <is>
          <t>53.979.097/0001-92</t>
        </is>
      </c>
      <c r="C1978" t="inlineStr">
        <is>
          <t>FUPII MOBILIDADE E SERVICOS LTDA</t>
        </is>
      </c>
    </row>
    <row r="1979">
      <c r="B1979" s="55" t="inlineStr">
        <is>
          <t>54.069.380/0001-40</t>
        </is>
      </c>
      <c r="C1979" t="inlineStr">
        <is>
          <t>FUNDACAO EDITORA DA UNESP</t>
        </is>
      </c>
    </row>
    <row r="1980">
      <c r="B1980" s="55" t="inlineStr">
        <is>
          <t>54.114.128/0001-05</t>
        </is>
      </c>
      <c r="C1980" t="inlineStr">
        <is>
          <t>FARMABELA LTDA</t>
        </is>
      </c>
    </row>
    <row r="1981">
      <c r="B1981" s="55" t="inlineStr">
        <is>
          <t>54.114.128/0001-05</t>
        </is>
      </c>
      <c r="C1981" t="inlineStr">
        <is>
          <t>FARMABELA LTDA</t>
        </is>
      </c>
    </row>
    <row r="1982">
      <c r="B1982" s="55" t="inlineStr">
        <is>
          <t>54.114.128/0001-05</t>
        </is>
      </c>
      <c r="C1982" t="inlineStr">
        <is>
          <t>FARMABELA LTDA</t>
        </is>
      </c>
    </row>
    <row r="1983">
      <c r="B1983" s="55" t="inlineStr">
        <is>
          <t>54.184.076/0001-43</t>
        </is>
      </c>
      <c r="C1983" t="inlineStr">
        <is>
          <t>CLICKPAY SOLUCOES TECNOLOGICAS LTDA</t>
        </is>
      </c>
    </row>
    <row r="1984">
      <c r="B1984" s="55" t="inlineStr">
        <is>
          <t>54.345.860/0001-96</t>
        </is>
      </c>
      <c r="C1984" t="inlineStr">
        <is>
          <t>CMR DISTRIBUIDORA DE MEDICAMENTOS E PRODUTOS VETERINARIOS LTDA</t>
        </is>
      </c>
    </row>
    <row r="1985">
      <c r="B1985" s="55" t="inlineStr">
        <is>
          <t>54.360.623/0062-16</t>
        </is>
      </c>
      <c r="C1985" t="inlineStr">
        <is>
          <t>VIACAO PIRACICABANA S.A.</t>
        </is>
      </c>
    </row>
    <row r="1986">
      <c r="B1986" s="55" t="inlineStr">
        <is>
          <t>54.360.623/0062-16</t>
        </is>
      </c>
      <c r="C1986" t="inlineStr">
        <is>
          <t>VIACAO PIRACICABANA S.A.</t>
        </is>
      </c>
    </row>
    <row r="1987">
      <c r="B1987" s="55" t="inlineStr">
        <is>
          <t>54.375.647/0066-72</t>
        </is>
      </c>
      <c r="C1987" t="inlineStr">
        <is>
          <t>DROGAL FARMACEUTICA LTDA</t>
        </is>
      </c>
    </row>
    <row r="1988">
      <c r="B1988" s="55" t="inlineStr">
        <is>
          <t>54.375.647/0066-72</t>
        </is>
      </c>
      <c r="C1988" t="inlineStr">
        <is>
          <t>DROGAL FARMACEUTICA LTDA</t>
        </is>
      </c>
    </row>
    <row r="1989">
      <c r="B1989" s="55" t="inlineStr">
        <is>
          <t>54.375.647/0066-72</t>
        </is>
      </c>
      <c r="C1989" t="inlineStr">
        <is>
          <t>DROGAL FARMACEUTICA LTDA</t>
        </is>
      </c>
    </row>
    <row r="1990">
      <c r="B1990" s="55" t="inlineStr">
        <is>
          <t>54.375.647/0066-72</t>
        </is>
      </c>
      <c r="C1990" t="inlineStr">
        <is>
          <t>DROGAL FARMACEUTICA LTDA</t>
        </is>
      </c>
    </row>
    <row r="1991">
      <c r="B1991" s="55" t="inlineStr">
        <is>
          <t>54.375.647/0066-72</t>
        </is>
      </c>
      <c r="C1991" t="inlineStr">
        <is>
          <t>DROGAL FARMACEUTICA LTDA</t>
        </is>
      </c>
    </row>
    <row r="1992">
      <c r="B1992" s="55" t="inlineStr">
        <is>
          <t>54.375.647/0066-72</t>
        </is>
      </c>
      <c r="C1992" t="inlineStr">
        <is>
          <t>DROGAL FARMACEUTICA LTDA</t>
        </is>
      </c>
    </row>
    <row r="1993">
      <c r="B1993" s="55" t="inlineStr">
        <is>
          <t>54.375.647/0066-72</t>
        </is>
      </c>
      <c r="C1993" t="inlineStr">
        <is>
          <t>DROGAL FARMACEUTICA LTDA</t>
        </is>
      </c>
    </row>
    <row r="1994">
      <c r="B1994" s="55" t="inlineStr">
        <is>
          <t>54.395.822/0001-48</t>
        </is>
      </c>
      <c r="C1994" t="inlineStr">
        <is>
          <t>BYTE CASH PAGAMENTOS ONLINE LTDA</t>
        </is>
      </c>
    </row>
    <row r="1995">
      <c r="B1995" s="55" t="inlineStr">
        <is>
          <t>54.518.466/0001-02</t>
        </is>
      </c>
      <c r="C1995" t="inlineStr">
        <is>
          <t>RJ SISTEMA E PLATAFORMA EM SAUDE LTDA</t>
        </is>
      </c>
    </row>
    <row r="1996">
      <c r="B1996" s="55" t="inlineStr">
        <is>
          <t>54.536.154/0001-21</t>
        </is>
      </c>
      <c r="C1996" t="inlineStr">
        <is>
          <t>PEDROSOFT FABRICA DE SOFTWARE LTDA.</t>
        </is>
      </c>
    </row>
    <row r="1997">
      <c r="B1997" s="55" t="inlineStr">
        <is>
          <t>54.651.344/0001-90</t>
        </is>
      </c>
      <c r="C1997" t="inlineStr">
        <is>
          <t>3 X PRODUTOS QUIMICOS LTDA</t>
        </is>
      </c>
    </row>
    <row r="1998">
      <c r="B1998" s="55" t="inlineStr">
        <is>
          <t>54.709.015/0001-52</t>
        </is>
      </c>
      <c r="C1998" t="inlineStr">
        <is>
          <t>ELO CONSULTORIA E SOLUCOES LTDA</t>
        </is>
      </c>
    </row>
    <row r="1999">
      <c r="B1999" s="55" t="inlineStr">
        <is>
          <t>54.721.146/0001-55</t>
        </is>
      </c>
      <c r="C1999" t="inlineStr">
        <is>
          <t>PAY PAGAMENTOS SEGURO LTDA</t>
        </is>
      </c>
    </row>
    <row r="2000">
      <c r="B2000" s="55" t="inlineStr">
        <is>
          <t>54.721.146/0001-55</t>
        </is>
      </c>
      <c r="C2000" t="inlineStr">
        <is>
          <t>PAY PAGAMENTOS SEGURO LTDA</t>
        </is>
      </c>
    </row>
    <row r="2001">
      <c r="B2001" s="55" t="inlineStr">
        <is>
          <t>54.792.038/0001-73</t>
        </is>
      </c>
      <c r="C2001" t="inlineStr">
        <is>
          <t>A55 PAYMENTS LTDA</t>
        </is>
      </c>
    </row>
    <row r="2002">
      <c r="B2002" s="55" t="inlineStr">
        <is>
          <t>54.792.038/0001-73</t>
        </is>
      </c>
      <c r="C2002" t="inlineStr">
        <is>
          <t>A55 PAYMENTS LTDA</t>
        </is>
      </c>
    </row>
    <row r="2003">
      <c r="B2003" s="55" t="inlineStr">
        <is>
          <t>54.795.314/0001-57</t>
        </is>
      </c>
      <c r="C2003" t="inlineStr">
        <is>
          <t>FITEX INDUSTRIAL DE MODA LTDA</t>
        </is>
      </c>
    </row>
    <row r="2004">
      <c r="B2004" s="55" t="inlineStr">
        <is>
          <t>54.795.314/0001-57</t>
        </is>
      </c>
      <c r="C2004" t="inlineStr">
        <is>
          <t>FITEX INDUSTRIAL DE MODA LTDA</t>
        </is>
      </c>
    </row>
    <row r="2005">
      <c r="B2005" s="55" t="inlineStr">
        <is>
          <t>54.795.857/0001-74</t>
        </is>
      </c>
      <c r="C2005" t="inlineStr">
        <is>
          <t>SH ELETRONICOS LTDA</t>
        </is>
      </c>
    </row>
    <row r="2006">
      <c r="B2006" s="55" t="inlineStr">
        <is>
          <t>54.801.384/0001-70</t>
        </is>
      </c>
      <c r="C2006" t="inlineStr">
        <is>
          <t>MEEXPAY SERVICOS LTDA</t>
        </is>
      </c>
    </row>
    <row r="2007">
      <c r="B2007" s="55" t="inlineStr">
        <is>
          <t>54.823.600/0001-89</t>
        </is>
      </c>
      <c r="C2007" t="inlineStr">
        <is>
          <t>ACELERAI CONTEUDO E COMUNICACAO LTDA</t>
        </is>
      </c>
    </row>
    <row r="2008">
      <c r="B2008" s="55" t="inlineStr">
        <is>
          <t>54.823.600/0001-89</t>
        </is>
      </c>
      <c r="C2008" t="inlineStr">
        <is>
          <t>ACELERAI CONTEUDO E COMUNICACAO LTDA</t>
        </is>
      </c>
    </row>
    <row r="2009">
      <c r="B2009" s="55" t="inlineStr">
        <is>
          <t>54.829.250/0001-68</t>
        </is>
      </c>
      <c r="C2009" t="inlineStr">
        <is>
          <t>FARMACIA MAGISTRAL DA AMAZONIA LTDA</t>
        </is>
      </c>
    </row>
    <row r="2010">
      <c r="B2010" s="55" t="inlineStr">
        <is>
          <t>54.851.459/0001-28</t>
        </is>
      </c>
      <c r="C2010" t="inlineStr">
        <is>
          <t>ASSOCIACAO DEFESA E APOIO AOS PACIENTES TRATAMENTO COM CANNABIS</t>
        </is>
      </c>
    </row>
    <row r="2011">
      <c r="B2011" s="55" t="inlineStr">
        <is>
          <t>54.851.459/0001-28</t>
        </is>
      </c>
      <c r="C2011" t="inlineStr">
        <is>
          <t>ASSOCIACAO DEFESA E APOIO AOS PACIENTES TRATAMENTO COM CANNABIS</t>
        </is>
      </c>
    </row>
    <row r="2012">
      <c r="B2012" s="55" t="inlineStr">
        <is>
          <t>55.245.500/0001-85</t>
        </is>
      </c>
      <c r="C2012" t="inlineStr">
        <is>
          <t>SCARFACE INDUSTRIA E COMERCIO DE CONFECCOES LTDA</t>
        </is>
      </c>
    </row>
    <row r="2013">
      <c r="B2013" s="55" t="inlineStr">
        <is>
          <t>55.316.324/0001-25</t>
        </is>
      </c>
      <c r="C2013" t="inlineStr">
        <is>
          <t>GF LOJAS COMERCIO DE FLORES E PRESENTES LTDA</t>
        </is>
      </c>
    </row>
    <row r="2014">
      <c r="B2014" s="55" t="inlineStr">
        <is>
          <t>55.377.688/0001-15</t>
        </is>
      </c>
      <c r="C2014" t="inlineStr">
        <is>
          <t>PSIU CLASS LTDA</t>
        </is>
      </c>
    </row>
    <row r="2015">
      <c r="B2015" s="55" t="inlineStr">
        <is>
          <t>55.377.688/0001-15</t>
        </is>
      </c>
      <c r="C2015" t="inlineStr">
        <is>
          <t>PSIU CLASS LTDA</t>
        </is>
      </c>
    </row>
    <row r="2016">
      <c r="B2016" s="55" t="inlineStr">
        <is>
          <t>55.386.577/0001-75</t>
        </is>
      </c>
      <c r="C2016" t="inlineStr">
        <is>
          <t>DIBS MODAS LTDA</t>
        </is>
      </c>
    </row>
    <row r="2017">
      <c r="B2017" s="55" t="inlineStr">
        <is>
          <t>55.395.735/0001-53</t>
        </is>
      </c>
      <c r="C2017" t="inlineStr">
        <is>
          <t>MAZZAROPI HOTEIS E SERVICOS LTDA</t>
        </is>
      </c>
    </row>
    <row r="2018">
      <c r="B2018" s="55" t="inlineStr">
        <is>
          <t>55.395.735/0001-53</t>
        </is>
      </c>
      <c r="C2018" t="inlineStr">
        <is>
          <t>MAZZAROPI HOTEIS E SERVICOS LTDA</t>
        </is>
      </c>
    </row>
    <row r="2019">
      <c r="B2019" s="55" t="inlineStr">
        <is>
          <t>55.619.671/0001-27</t>
        </is>
      </c>
      <c r="C2019" t="inlineStr">
        <is>
          <t>MEDUSA HUB SOLUCOES DE PAGAMENTOS LTDA</t>
        </is>
      </c>
    </row>
    <row r="2020">
      <c r="B2020" s="55" t="inlineStr">
        <is>
          <t>55.862.551/0001-56</t>
        </is>
      </c>
      <c r="C2020" t="inlineStr">
        <is>
          <t>DROGARIA SANTA RITA DE OLIMPIA LTDA</t>
        </is>
      </c>
    </row>
    <row r="2021">
      <c r="B2021" s="55" t="inlineStr">
        <is>
          <t>55.862.551/0001-56</t>
        </is>
      </c>
      <c r="C2021" t="inlineStr">
        <is>
          <t>DROGARIA SANTA RITA DE OLIMPIA LTDA</t>
        </is>
      </c>
    </row>
    <row r="2022">
      <c r="B2022" s="55" t="inlineStr">
        <is>
          <t>55.979.736/0001-45</t>
        </is>
      </c>
      <c r="C2022" t="inlineStr">
        <is>
          <t>ALLIAGE S/A INDUSTRIAS MEDICO ODONTOLOGICA</t>
        </is>
      </c>
    </row>
    <row r="2023">
      <c r="B2023" s="55" t="inlineStr">
        <is>
          <t>55.979.736/0001-45</t>
        </is>
      </c>
      <c r="C2023" t="inlineStr">
        <is>
          <t>ALLIAGE S/A INDUSTRIAS MEDICO ODONTOLOGICA</t>
        </is>
      </c>
    </row>
    <row r="2024">
      <c r="B2024" s="55" t="inlineStr">
        <is>
          <t>55.979.736/0001-45</t>
        </is>
      </c>
      <c r="C2024" t="inlineStr">
        <is>
          <t>ALLIAGE S/A INDUSTRIAS MEDICO ODONTOLOGICA</t>
        </is>
      </c>
    </row>
    <row r="2025">
      <c r="B2025" s="55" t="inlineStr">
        <is>
          <t>55.979.736/0001-45</t>
        </is>
      </c>
      <c r="C2025" t="inlineStr">
        <is>
          <t>ALLIAGE S/A INDUSTRIAS MEDICO ODONTOLOGICA</t>
        </is>
      </c>
    </row>
    <row r="2026">
      <c r="B2026" s="55" t="inlineStr">
        <is>
          <t>56.121.815/0001-83</t>
        </is>
      </c>
      <c r="C2026" t="inlineStr">
        <is>
          <t>MCB DISTRIBUIDORA DE AUTOPECAS LTDA</t>
        </is>
      </c>
    </row>
    <row r="2027">
      <c r="B2027" s="55" t="inlineStr">
        <is>
          <t>56.148.687/0001-61</t>
        </is>
      </c>
      <c r="C2027" t="inlineStr">
        <is>
          <t>FARMACIA BRESCIANI LTDA</t>
        </is>
      </c>
    </row>
    <row r="2028">
      <c r="B2028" s="55" t="inlineStr">
        <is>
          <t>56.148.687/0001-61</t>
        </is>
      </c>
      <c r="C2028" t="inlineStr">
        <is>
          <t>FARMACIA BRESCIANI LTDA</t>
        </is>
      </c>
    </row>
    <row r="2029">
      <c r="B2029" s="55" t="inlineStr">
        <is>
          <t>56.148.687/0001-61</t>
        </is>
      </c>
      <c r="C2029" t="inlineStr">
        <is>
          <t>FARMACIA BRESCIANI LTDA</t>
        </is>
      </c>
    </row>
    <row r="2030">
      <c r="B2030" s="55" t="inlineStr">
        <is>
          <t>57.107.609/0001-81</t>
        </is>
      </c>
      <c r="C2030" t="inlineStr">
        <is>
          <t>RUY R DA ROCHA PRODUTOS CERAMICOS LTDA</t>
        </is>
      </c>
    </row>
    <row r="2031">
      <c r="B2031" s="55" t="inlineStr">
        <is>
          <t>57.225.538/0001-11</t>
        </is>
      </c>
      <c r="C2031" t="inlineStr">
        <is>
          <t>PAYOUT PAGAMENTOS INTELIGENTES LTDA</t>
        </is>
      </c>
    </row>
    <row r="2032">
      <c r="B2032" s="55" t="inlineStr">
        <is>
          <t>57.225.538/0001-11</t>
        </is>
      </c>
      <c r="C2032" t="inlineStr">
        <is>
          <t>PAYOUT PAGAMENTOS INTELIGENTES LTDA</t>
        </is>
      </c>
    </row>
    <row r="2033">
      <c r="B2033" s="55" t="inlineStr">
        <is>
          <t>57.225.538/0001-11</t>
        </is>
      </c>
      <c r="C2033" t="inlineStr">
        <is>
          <t>PAYOUT PAGAMENTOS INTELIGENTES LTDA</t>
        </is>
      </c>
    </row>
    <row r="2034">
      <c r="B2034" s="55" t="inlineStr">
        <is>
          <t>57.315.333/0001-27</t>
        </is>
      </c>
      <c r="C2034" t="inlineStr">
        <is>
          <t>FRUITFY INTERMEDIACOES E PAGAMENTOS LTDA</t>
        </is>
      </c>
    </row>
    <row r="2035">
      <c r="B2035" s="55" t="inlineStr">
        <is>
          <t>57.315.333/0001-27</t>
        </is>
      </c>
      <c r="C2035" t="inlineStr">
        <is>
          <t>FRUITFY INTERMEDIACOES E PAGAMENTOS LTDA</t>
        </is>
      </c>
    </row>
    <row r="2036">
      <c r="B2036" s="55" t="inlineStr">
        <is>
          <t>57.569.304/0001-91</t>
        </is>
      </c>
      <c r="C2036" t="inlineStr">
        <is>
          <t>CLINIQUE LUMIERE ET SANTE LTDA (baixada)</t>
        </is>
      </c>
    </row>
    <row r="2037">
      <c r="B2037" s="55" t="inlineStr">
        <is>
          <t>57.627.806/0001-21</t>
        </is>
      </c>
      <c r="C2037" t="inlineStr">
        <is>
          <t>MARKETPLACE ATIVO LTDA</t>
        </is>
      </c>
    </row>
    <row r="2038">
      <c r="B2038" s="55" t="inlineStr">
        <is>
          <t>57.627.806/0001-21</t>
        </is>
      </c>
      <c r="C2038" t="inlineStr">
        <is>
          <t>MARKETPLACE ATIVO LTDA</t>
        </is>
      </c>
    </row>
    <row r="2039">
      <c r="B2039" s="55" t="inlineStr">
        <is>
          <t>57.633.414/0001-75</t>
        </is>
      </c>
      <c r="C2039" t="inlineStr">
        <is>
          <t>THERMOVAL INDUSTRIA DE VALVULAS LTDA</t>
        </is>
      </c>
    </row>
    <row r="2040">
      <c r="B2040" s="55" t="inlineStr">
        <is>
          <t>57.655.449/0001-05</t>
        </is>
      </c>
      <c r="C2040" t="inlineStr">
        <is>
          <t>SC MAIOLO EQUIPAMENTOS COMERCIAIS LTDA</t>
        </is>
      </c>
    </row>
    <row r="2041">
      <c r="B2041" s="55" t="inlineStr">
        <is>
          <t>57.655.449/0001-05</t>
        </is>
      </c>
      <c r="C2041" t="inlineStr">
        <is>
          <t>SC MAIOLO EQUIPAMENTOS COMERCIAIS LTDA</t>
        </is>
      </c>
    </row>
    <row r="2042">
      <c r="B2042" s="55" t="inlineStr">
        <is>
          <t>57.680.196/0001-20</t>
        </is>
      </c>
      <c r="C2042" t="inlineStr">
        <is>
          <t>EMX FINANCE LTDA</t>
        </is>
      </c>
    </row>
    <row r="2043">
      <c r="B2043" s="55" t="inlineStr">
        <is>
          <t>57.836.156/0001-24</t>
        </is>
      </c>
      <c r="C2043" t="inlineStr">
        <is>
          <t>HOAD PERFORMANCE LTDA</t>
        </is>
      </c>
    </row>
    <row r="2044">
      <c r="B2044" s="55" t="inlineStr">
        <is>
          <t>57.836.156/0001-24</t>
        </is>
      </c>
      <c r="C2044" t="inlineStr">
        <is>
          <t>HOAD PERFORMANCE LTDA</t>
        </is>
      </c>
    </row>
    <row r="2045">
      <c r="B2045" s="55" t="inlineStr">
        <is>
          <t>57.875.492/0001-86</t>
        </is>
      </c>
      <c r="C2045" t="inlineStr">
        <is>
          <t>NURIT ALIMENTOS E PRODUTOS LTDA</t>
        </is>
      </c>
    </row>
    <row r="2046">
      <c r="B2046" s="55" t="inlineStr">
        <is>
          <t>57.897.464/0001-60</t>
        </is>
      </c>
      <c r="C2046" t="inlineStr">
        <is>
          <t>VITAL FARMA ITAPEVA LTDA.</t>
        </is>
      </c>
    </row>
    <row r="2047">
      <c r="B2047" s="55" t="inlineStr">
        <is>
          <t>57.897.464/0001-60</t>
        </is>
      </c>
      <c r="C2047" t="inlineStr">
        <is>
          <t>VITAL FARMA ITAPEVA LTDA.</t>
        </is>
      </c>
    </row>
    <row r="2048">
      <c r="B2048" s="55" t="inlineStr">
        <is>
          <t>57.897.464/0001-60</t>
        </is>
      </c>
      <c r="C2048" t="inlineStr">
        <is>
          <t>VITAL FARMA ITAPEVA LTDA.</t>
        </is>
      </c>
    </row>
    <row r="2049">
      <c r="B2049" s="55" t="inlineStr">
        <is>
          <t>57.966.747/0001-16</t>
        </is>
      </c>
      <c r="C2049" t="inlineStr">
        <is>
          <t>VINCI LABORATORIO MEDICO LTDA</t>
        </is>
      </c>
    </row>
    <row r="2050">
      <c r="B2050" s="55" t="inlineStr">
        <is>
          <t>58.032.423/0001-73</t>
        </is>
      </c>
      <c r="C2050" t="inlineStr">
        <is>
          <t>FINTRAVEL TECNOLOGIA E SERVICOS LTDA</t>
        </is>
      </c>
    </row>
    <row r="2051">
      <c r="B2051" s="55" t="inlineStr">
        <is>
          <t>58.113.812/0001-23</t>
        </is>
      </c>
      <c r="C2051" t="inlineStr">
        <is>
          <t>EMBRACON ADMINISTRADORA DE CONSORCIO LTDA</t>
        </is>
      </c>
    </row>
    <row r="2052">
      <c r="B2052" s="55" t="inlineStr">
        <is>
          <t>58.113.812/0001-23</t>
        </is>
      </c>
      <c r="C2052" t="inlineStr">
        <is>
          <t>EMBRACON ADMINISTRADORA DE CONSORCIO LTDA</t>
        </is>
      </c>
    </row>
    <row r="2053">
      <c r="B2053" s="55" t="inlineStr">
        <is>
          <t>58.113.812/0001-23</t>
        </is>
      </c>
      <c r="C2053" t="inlineStr">
        <is>
          <t>EMBRACON ADMINISTRADORA DE CONSORCIO LTDA</t>
        </is>
      </c>
    </row>
    <row r="2054">
      <c r="B2054" s="55" t="inlineStr">
        <is>
          <t>58.248.352/0001-40</t>
        </is>
      </c>
      <c r="C2054" t="inlineStr">
        <is>
          <t>COBRA ROLAMENTOS E AUTOPECAS S.A.</t>
        </is>
      </c>
    </row>
    <row r="2055">
      <c r="B2055" s="55" t="inlineStr">
        <is>
          <t>58.248.352/0001-40</t>
        </is>
      </c>
      <c r="C2055" t="inlineStr">
        <is>
          <t>COBRA ROLAMENTOS E AUTOPECAS S.A.</t>
        </is>
      </c>
    </row>
    <row r="2056">
      <c r="B2056" s="55" t="inlineStr">
        <is>
          <t>58.282.544/0001-73</t>
        </is>
      </c>
      <c r="C2056" t="inlineStr">
        <is>
          <t>SUPERANGRA TECNOLOGIA LTDA</t>
        </is>
      </c>
    </row>
    <row r="2057">
      <c r="B2057" s="55" t="inlineStr">
        <is>
          <t>58.368.104/0001-33</t>
        </is>
      </c>
      <c r="C2057" t="inlineStr">
        <is>
          <t>SOLAR GARDEN COMERCIO E IMPORTACOES LTDA</t>
        </is>
      </c>
    </row>
    <row r="2058">
      <c r="B2058" s="55" t="inlineStr">
        <is>
          <t>58.368.104/0001-33</t>
        </is>
      </c>
      <c r="C2058" t="inlineStr">
        <is>
          <t>SOLAR GARDEN COMERCIO E IMPORTACOES LTDA</t>
        </is>
      </c>
    </row>
    <row r="2059">
      <c r="B2059" s="55" t="inlineStr">
        <is>
          <t>58.403.242/0001-06</t>
        </is>
      </c>
      <c r="C2059" t="inlineStr">
        <is>
          <t>VANGUARD FARMA LTDA</t>
        </is>
      </c>
    </row>
    <row r="2060">
      <c r="B2060" s="55" t="inlineStr">
        <is>
          <t>58.403.242/0001-06</t>
        </is>
      </c>
      <c r="C2060" t="inlineStr">
        <is>
          <t>VANGUARD FARMA LTDA</t>
        </is>
      </c>
    </row>
    <row r="2061">
      <c r="B2061" s="55" t="inlineStr">
        <is>
          <t>58.450.630/0001-48</t>
        </is>
      </c>
      <c r="C2061" t="inlineStr">
        <is>
          <t>AFTERCLICK SERVICOS INTEGRADOS LTDA</t>
        </is>
      </c>
    </row>
    <row r="2062">
      <c r="B2062" s="55" t="inlineStr">
        <is>
          <t>58.664.982/0001-04</t>
        </is>
      </c>
      <c r="C2062" t="inlineStr">
        <is>
          <t>NOVA TECH SERVICOS TECNOLOGICOS LTDA</t>
        </is>
      </c>
    </row>
    <row r="2063">
      <c r="B2063" s="55" t="inlineStr">
        <is>
          <t>58.664.982/0001-04</t>
        </is>
      </c>
      <c r="C2063" t="inlineStr">
        <is>
          <t>NOVA TECH SERVICOS TECNOLOGICOS LTDA</t>
        </is>
      </c>
    </row>
    <row r="2064">
      <c r="B2064" s="55" t="inlineStr">
        <is>
          <t>58.763.538/0001-38</t>
        </is>
      </c>
      <c r="C2064" t="inlineStr">
        <is>
          <t>VIBRE MAIS COMERCIO DE ARTIGOS LTDA</t>
        </is>
      </c>
    </row>
    <row r="2065">
      <c r="B2065" s="55" t="inlineStr">
        <is>
          <t>58.763.538/0001-38</t>
        </is>
      </c>
      <c r="C2065" t="inlineStr">
        <is>
          <t>VIBRE MAIS COMERCIO DE ARTIGOS LTDA</t>
        </is>
      </c>
    </row>
    <row r="2066">
      <c r="B2066" s="55" t="inlineStr">
        <is>
          <t>58.941.622/0001-02</t>
        </is>
      </c>
      <c r="C2066" t="inlineStr">
        <is>
          <t>THE NEXTSHOP LTDA</t>
        </is>
      </c>
    </row>
    <row r="2067">
      <c r="B2067" s="55" t="inlineStr">
        <is>
          <t>59.059.448/0001-23</t>
        </is>
      </c>
      <c r="C2067" t="inlineStr">
        <is>
          <t>EDUCACAO MINERVA EDITORA LTDA</t>
        </is>
      </c>
    </row>
    <row r="2068">
      <c r="B2068" s="55" t="inlineStr">
        <is>
          <t>59.078.413/0001-31</t>
        </is>
      </c>
      <c r="C2068" t="inlineStr">
        <is>
          <t>APP MESA LTDA</t>
        </is>
      </c>
    </row>
    <row r="2069">
      <c r="B2069" s="55" t="inlineStr">
        <is>
          <t>59.152.240/0001-54</t>
        </is>
      </c>
      <c r="C2069" t="inlineStr">
        <is>
          <t>ASHOU AQUI ANUNCIOS LTDA</t>
        </is>
      </c>
    </row>
    <row r="2070">
      <c r="B2070" s="55" t="inlineStr">
        <is>
          <t>59.264.040/0001-93</t>
        </is>
      </c>
      <c r="C2070" t="inlineStr">
        <is>
          <t>OUTLET 55 LTDA</t>
        </is>
      </c>
    </row>
    <row r="2071">
      <c r="B2071" s="55" t="inlineStr">
        <is>
          <t>59.264.040/0001-93</t>
        </is>
      </c>
      <c r="C2071" t="inlineStr">
        <is>
          <t>OUTLET 55 LTDA</t>
        </is>
      </c>
    </row>
    <row r="2072">
      <c r="B2072" s="55" t="inlineStr">
        <is>
          <t>59.264.684/0001-81</t>
        </is>
      </c>
      <c r="C2072" t="inlineStr">
        <is>
          <t>AROUND FIT WEAR COMERCIO VAREJISTA DE ARTIGOS DO VESTUARIO LTDA</t>
        </is>
      </c>
    </row>
    <row r="2073">
      <c r="B2073" s="55" t="inlineStr">
        <is>
          <t>59.387.728/0001-60</t>
        </is>
      </c>
      <c r="C2073" t="inlineStr">
        <is>
          <t>ACB GIFTS E DECOR LTDA</t>
        </is>
      </c>
    </row>
    <row r="2074">
      <c r="B2074" s="55" t="inlineStr">
        <is>
          <t>59.387.728/0001-60</t>
        </is>
      </c>
      <c r="C2074" t="inlineStr">
        <is>
          <t>ACB GIFTS E DECOR LTDA</t>
        </is>
      </c>
    </row>
    <row r="2075">
      <c r="B2075" s="55" t="inlineStr">
        <is>
          <t>59.392.035/0001-66</t>
        </is>
      </c>
      <c r="C2075" t="inlineStr">
        <is>
          <t>SOCIEDADE BRASILEIRA DE CIRURGIA DERMATOLOGICA</t>
        </is>
      </c>
    </row>
    <row r="2076">
      <c r="B2076" s="55" t="inlineStr">
        <is>
          <t>59.515.022/0001-37</t>
        </is>
      </c>
      <c r="C2076" t="inlineStr">
        <is>
          <t>INOVE ONLINE LTDA</t>
        </is>
      </c>
    </row>
    <row r="2077">
      <c r="B2077" s="55" t="inlineStr">
        <is>
          <t>59.546.515/0001-34</t>
        </is>
      </c>
      <c r="C2077" t="inlineStr">
        <is>
          <t>FISIA COMERCIO DE PRODUTOS ESPORTIVOS S.A.</t>
        </is>
      </c>
    </row>
    <row r="2078">
      <c r="B2078" s="55" t="inlineStr">
        <is>
          <t>59.546.515/0001-34</t>
        </is>
      </c>
      <c r="C2078" t="inlineStr">
        <is>
          <t>FISIA COMERCIO DE PRODUTOS ESPORTIVOS S.A.</t>
        </is>
      </c>
    </row>
    <row r="2079">
      <c r="B2079" s="55" t="inlineStr">
        <is>
          <t>59.557.054/0001-03</t>
        </is>
      </c>
      <c r="C2079" t="inlineStr">
        <is>
          <t>VOLTATTO SUPRIMENTOS LTDA</t>
        </is>
      </c>
    </row>
    <row r="2080">
      <c r="B2080" s="55" t="inlineStr">
        <is>
          <t>59.557.054/0001-03</t>
        </is>
      </c>
      <c r="C2080" t="inlineStr">
        <is>
          <t>VOLTATTO SUPRIMENTOS LTDA</t>
        </is>
      </c>
    </row>
    <row r="2081">
      <c r="B2081" s="55" t="inlineStr">
        <is>
          <t>59.557.054/0001-03</t>
        </is>
      </c>
      <c r="C2081" t="inlineStr">
        <is>
          <t>VOLTATTO SUPRIMENTOS LTDA</t>
        </is>
      </c>
    </row>
    <row r="2082">
      <c r="B2082" s="55" t="inlineStr">
        <is>
          <t>59.557.054/0001-03</t>
        </is>
      </c>
      <c r="C2082" t="inlineStr">
        <is>
          <t>VOLTATTO SUPRIMENTOS LTDA</t>
        </is>
      </c>
    </row>
    <row r="2083">
      <c r="B2083" s="55" t="inlineStr">
        <is>
          <t>59.557.054/0001-03</t>
        </is>
      </c>
      <c r="C2083" t="inlineStr">
        <is>
          <t>VOLTATTO SUPRIMENTOS LTDA</t>
        </is>
      </c>
    </row>
    <row r="2084">
      <c r="B2084" s="55" t="inlineStr">
        <is>
          <t>59.627.567/0001-35</t>
        </is>
      </c>
      <c r="C2084" t="inlineStr">
        <is>
          <t>REBORN TECNOLOGIA E SERVICOS LTDA</t>
        </is>
      </c>
    </row>
    <row r="2085">
      <c r="B2085" s="55" t="inlineStr">
        <is>
          <t>59.753.202/0001-57</t>
        </is>
      </c>
      <c r="C2085" t="inlineStr">
        <is>
          <t>COMERCIAL GIORDANO DE PRESENTES LTDA</t>
        </is>
      </c>
    </row>
    <row r="2086">
      <c r="B2086" s="55" t="inlineStr">
        <is>
          <t>59.753.202/0001-57</t>
        </is>
      </c>
      <c r="C2086" t="inlineStr">
        <is>
          <t>COMERCIAL GIORDANO DE PRESENTES LTDA</t>
        </is>
      </c>
    </row>
    <row r="2087">
      <c r="B2087" s="55" t="inlineStr">
        <is>
          <t>59.769.329/0001-64</t>
        </is>
      </c>
      <c r="C2087" t="inlineStr">
        <is>
          <t>MIC INDUSTRIA DE CONFECCAO LTDA</t>
        </is>
      </c>
    </row>
    <row r="2088">
      <c r="B2088" s="55" t="inlineStr">
        <is>
          <t>59.769.329/0001-64</t>
        </is>
      </c>
      <c r="C2088" t="inlineStr">
        <is>
          <t>MIC INDUSTRIA DE CONFECCAO LTDA</t>
        </is>
      </c>
    </row>
    <row r="2089">
      <c r="B2089" s="55" t="inlineStr">
        <is>
          <t>59.846.116/0001-99</t>
        </is>
      </c>
      <c r="C2089" t="inlineStr">
        <is>
          <t>STEEL GYM ECOMMERCE E DISTRIBUICAO LTDA</t>
        </is>
      </c>
    </row>
    <row r="2090">
      <c r="B2090" s="55" t="inlineStr">
        <is>
          <t>59.846.116/0001-99</t>
        </is>
      </c>
      <c r="C2090" t="inlineStr">
        <is>
          <t>STEEL GYM ECOMMERCE E DISTRIBUICAO LTDA</t>
        </is>
      </c>
    </row>
    <row r="2091">
      <c r="B2091" s="55" t="inlineStr">
        <is>
          <t>59.846.116/0001-99</t>
        </is>
      </c>
      <c r="C2091" t="inlineStr">
        <is>
          <t>STEEL GYM ECOMMERCE E DISTRIBUICAO LTDA</t>
        </is>
      </c>
    </row>
    <row r="2092">
      <c r="B2092" s="55" t="inlineStr">
        <is>
          <t>59.846.116/0001-99</t>
        </is>
      </c>
      <c r="C2092" t="inlineStr">
        <is>
          <t>STEEL GYM ECOMMERCE E DISTRIBUICAO LTDA</t>
        </is>
      </c>
    </row>
    <row r="2093">
      <c r="B2093" s="55" t="inlineStr">
        <is>
          <t>59.846.116/0001-99</t>
        </is>
      </c>
      <c r="C2093" t="inlineStr">
        <is>
          <t>STEEL GYM ECOMMERCE E DISTRIBUICAO LTDA</t>
        </is>
      </c>
    </row>
    <row r="2094">
      <c r="B2094" s="55" t="inlineStr">
        <is>
          <t>59.935.351/0001-37</t>
        </is>
      </c>
      <c r="C2094" t="inlineStr">
        <is>
          <t>ALLUMAIS LTDA</t>
        </is>
      </c>
    </row>
    <row r="2095">
      <c r="B2095" s="55" t="inlineStr">
        <is>
          <t>60.022.921/0001-87</t>
        </is>
      </c>
      <c r="C2095" t="inlineStr">
        <is>
          <t>GOD FIRE INTERMEDIACAO E AGENCIAMENTOS LTDA</t>
        </is>
      </c>
    </row>
    <row r="2096">
      <c r="B2096" s="55" t="inlineStr">
        <is>
          <t>60.022.921/0001-87</t>
        </is>
      </c>
      <c r="C2096" t="inlineStr">
        <is>
          <t>GOD FIRE INTERMEDIACAO E AGENCIAMENTOS LTDA</t>
        </is>
      </c>
    </row>
    <row r="2097">
      <c r="B2097" s="55" t="inlineStr">
        <is>
          <t>60.047.743/0001-49</t>
        </is>
      </c>
      <c r="C2097" t="inlineStr">
        <is>
          <t>EDITORA E LIVRARIA SEFER LTDA</t>
        </is>
      </c>
    </row>
    <row r="2098">
      <c r="B2098" s="55" t="inlineStr">
        <is>
          <t>60.047.743/0001-49</t>
        </is>
      </c>
      <c r="C2098" t="inlineStr">
        <is>
          <t>EDITORA E LIVRARIA SEFER LTDA</t>
        </is>
      </c>
    </row>
    <row r="2099">
      <c r="B2099" s="55" t="inlineStr">
        <is>
          <t>60.061.751/0001-40</t>
        </is>
      </c>
      <c r="C2099" t="inlineStr">
        <is>
          <t>EPICE IMPORTACAO COMERCIO E REPRESENTACOES LTDA</t>
        </is>
      </c>
    </row>
    <row r="2100">
      <c r="B2100" s="55" t="inlineStr">
        <is>
          <t>60.061.751/0001-40</t>
        </is>
      </c>
      <c r="C2100" t="inlineStr">
        <is>
          <t>EPICE IMPORTACAO COMERCIO E REPRESENTACOES LTDA</t>
        </is>
      </c>
    </row>
    <row r="2101">
      <c r="B2101" s="55" t="inlineStr">
        <is>
          <t>60.061.751/0001-40</t>
        </is>
      </c>
      <c r="C2101" t="inlineStr">
        <is>
          <t>EPICE IMPORTACAO COMERCIO E REPRESENTACOES LTDA</t>
        </is>
      </c>
    </row>
    <row r="2102">
      <c r="B2102" s="55" t="inlineStr">
        <is>
          <t>60.170.107/0001-00</t>
        </is>
      </c>
      <c r="C2102" t="inlineStr">
        <is>
          <t>FOCCUS UNIFORMES ESCOLARES E PROFISSIONAIS LTDA</t>
        </is>
      </c>
    </row>
    <row r="2103">
      <c r="B2103" s="55" t="inlineStr">
        <is>
          <t>60.219.112/0001-60</t>
        </is>
      </c>
      <c r="C2103" t="inlineStr">
        <is>
          <t>HOLI4U LTDA</t>
        </is>
      </c>
    </row>
    <row r="2104">
      <c r="B2104" s="55" t="inlineStr">
        <is>
          <t>60.219.112/0001-60</t>
        </is>
      </c>
      <c r="C2104" t="inlineStr">
        <is>
          <t>HOLI4U LTDA</t>
        </is>
      </c>
    </row>
    <row r="2105">
      <c r="B2105" s="55" t="inlineStr">
        <is>
          <t>60.325.660/0001-74</t>
        </is>
      </c>
      <c r="C2105" t="inlineStr">
        <is>
          <t>AMZ COMERCIO DE JOIAS E ACESSORIOS LTDA</t>
        </is>
      </c>
    </row>
    <row r="2106">
      <c r="B2106" s="55" t="inlineStr">
        <is>
          <t>60.325.660/0001-74</t>
        </is>
      </c>
      <c r="C2106" t="inlineStr">
        <is>
          <t>AMZ COMERCIO DE JOIAS E ACESSORIOS LTDA</t>
        </is>
      </c>
    </row>
    <row r="2107">
      <c r="B2107" s="55" t="inlineStr">
        <is>
          <t>60.403.110/0001-26</t>
        </is>
      </c>
      <c r="C2107" t="inlineStr">
        <is>
          <t>NICOM COMERCIO DE MATERIAIS PARA CONSTRUCOES LTDA</t>
        </is>
      </c>
    </row>
    <row r="2108">
      <c r="B2108" s="55" t="inlineStr">
        <is>
          <t>60.403.110/0001-26</t>
        </is>
      </c>
      <c r="C2108" t="inlineStr">
        <is>
          <t>NICOM COMERCIO DE MATERIAIS PARA CONSTRUCOES LTDA</t>
        </is>
      </c>
    </row>
    <row r="2109">
      <c r="B2109" s="55" t="inlineStr">
        <is>
          <t>60.403.110/0001-26</t>
        </is>
      </c>
      <c r="C2109" t="inlineStr">
        <is>
          <t>NICOM COMERCIO DE MATERIAIS PARA CONSTRUCOES LTDA</t>
        </is>
      </c>
    </row>
    <row r="2110">
      <c r="B2110" s="55" t="inlineStr">
        <is>
          <t>60.414.703/0001-98</t>
        </is>
      </c>
      <c r="C2110" t="inlineStr">
        <is>
          <t>FARMACIA CENTRAL DE GUARULHOS LTDA</t>
        </is>
      </c>
    </row>
    <row r="2111">
      <c r="B2111" s="55" t="inlineStr">
        <is>
          <t>60.628.807/0001-03</t>
        </is>
      </c>
      <c r="C2111" t="inlineStr">
        <is>
          <t>STROEBEL &amp; CIA LTDA</t>
        </is>
      </c>
    </row>
    <row r="2112">
      <c r="B2112" s="55" t="inlineStr">
        <is>
          <t>60.657.574/0001-69</t>
        </is>
      </c>
      <c r="C2112" t="inlineStr">
        <is>
          <t>EDITORA DO BRASIL SA</t>
        </is>
      </c>
    </row>
    <row r="2113">
      <c r="B2113" s="55" t="inlineStr">
        <is>
          <t>60.657.574/0001-69</t>
        </is>
      </c>
      <c r="C2113" t="inlineStr">
        <is>
          <t>EDITORA DO BRASIL SA</t>
        </is>
      </c>
    </row>
    <row r="2114">
      <c r="B2114" s="55" t="inlineStr">
        <is>
          <t>60.657.574/0001-69</t>
        </is>
      </c>
      <c r="C2114" t="inlineStr">
        <is>
          <t>EDITORA DO BRASIL SA</t>
        </is>
      </c>
    </row>
    <row r="2115">
      <c r="B2115" s="55" t="inlineStr">
        <is>
          <t>60.711.443/0001-12</t>
        </is>
      </c>
      <c r="C2115" t="inlineStr">
        <is>
          <t>AKKAR MOTORS E NAUTICA LTDA</t>
        </is>
      </c>
    </row>
    <row r="2116">
      <c r="B2116" s="55" t="inlineStr">
        <is>
          <t>60.711.443/0001-12</t>
        </is>
      </c>
      <c r="C2116" t="inlineStr">
        <is>
          <t>AKKAR MOTORS E NAUTICA LTDA</t>
        </is>
      </c>
    </row>
    <row r="2117">
      <c r="B2117" s="55" t="inlineStr">
        <is>
          <t>60.829.684/0001-60</t>
        </is>
      </c>
      <c r="C2117" t="inlineStr">
        <is>
          <t>TRANZZY INTERMEDIACOES LTDA</t>
        </is>
      </c>
    </row>
    <row r="2118">
      <c r="B2118" s="55" t="inlineStr">
        <is>
          <t>60.829.684/0001-60</t>
        </is>
      </c>
      <c r="C2118" t="inlineStr">
        <is>
          <t>TRANZZY INTERMEDIACOES LTDA</t>
        </is>
      </c>
    </row>
    <row r="2119">
      <c r="B2119" s="55" t="inlineStr">
        <is>
          <t>60.858.673/0001-09</t>
        </is>
      </c>
      <c r="C2119" t="inlineStr">
        <is>
          <t>TARASA BRASIL IMPORTACAO E COMERCIALIZACAO DE BEBIDAS LTDA</t>
        </is>
      </c>
    </row>
    <row r="2120">
      <c r="B2120" s="55" t="inlineStr">
        <is>
          <t>60.858.673/0001-09</t>
        </is>
      </c>
      <c r="C2120" t="inlineStr">
        <is>
          <t>TARASA BRASIL IMPORTACAO E COMERCIALIZACAO DE BEBIDAS LTDA</t>
        </is>
      </c>
    </row>
    <row r="2121">
      <c r="B2121" s="55" t="inlineStr">
        <is>
          <t>60.859.119/0001-46</t>
        </is>
      </c>
      <c r="C2121" t="inlineStr">
        <is>
          <t>TAKAMIYA COMERCIO DE MEDICAMENTOS LTDA</t>
        </is>
      </c>
    </row>
    <row r="2122">
      <c r="B2122" s="55" t="inlineStr">
        <is>
          <t>60.859.119/0001-46</t>
        </is>
      </c>
      <c r="C2122" t="inlineStr">
        <is>
          <t>TAKAMIYA COMERCIO DE MEDICAMENTOS LTDA</t>
        </is>
      </c>
    </row>
    <row r="2123">
      <c r="B2123" s="55" t="inlineStr">
        <is>
          <t>60.859.119/0001-46</t>
        </is>
      </c>
      <c r="C2123" t="inlineStr">
        <is>
          <t>TAKAMIYA COMERCIO DE MEDICAMENTOS LTDA</t>
        </is>
      </c>
    </row>
    <row r="2124">
      <c r="B2124" s="55" t="inlineStr">
        <is>
          <t>61.069.373/0001-03</t>
        </is>
      </c>
      <c r="C2124" t="inlineStr">
        <is>
          <t>LEO S.A.</t>
        </is>
      </c>
    </row>
    <row r="2125">
      <c r="B2125" s="55" t="inlineStr">
        <is>
          <t>61.069.373/0001-03</t>
        </is>
      </c>
      <c r="C2125" t="inlineStr">
        <is>
          <t>LEO S.A.</t>
        </is>
      </c>
    </row>
    <row r="2126">
      <c r="B2126" s="55" t="inlineStr">
        <is>
          <t>61.084.342/0001-21</t>
        </is>
      </c>
      <c r="C2126" t="inlineStr">
        <is>
          <t>ALLPES SOLUCOES DE PAGAMENTOS LTDA</t>
        </is>
      </c>
    </row>
    <row r="2127">
      <c r="B2127" s="55" t="inlineStr">
        <is>
          <t>61.118.045/0001-50</t>
        </is>
      </c>
      <c r="C2127" t="inlineStr">
        <is>
          <t>VAI DE PROMO VIAGENS E TURISMO LTDA</t>
        </is>
      </c>
    </row>
    <row r="2128">
      <c r="B2128" s="55" t="inlineStr">
        <is>
          <t>61.118.045/0001-50</t>
        </is>
      </c>
      <c r="C2128" t="inlineStr">
        <is>
          <t>VAI DE PROMO VIAGENS E TURISMO LTDA</t>
        </is>
      </c>
    </row>
    <row r="2129">
      <c r="B2129" s="55" t="inlineStr">
        <is>
          <t>61.118.045/0001-50</t>
        </is>
      </c>
      <c r="C2129" t="inlineStr">
        <is>
          <t>VAI DE PROMO VIAGENS E TURISMO LTDA</t>
        </is>
      </c>
    </row>
    <row r="2130">
      <c r="B2130" s="55" t="inlineStr">
        <is>
          <t>61.136.701/0001-47</t>
        </is>
      </c>
      <c r="C2130" t="inlineStr">
        <is>
          <t>JAHU BORRACHAS E AUTOPECAS LTDA</t>
        </is>
      </c>
    </row>
    <row r="2131">
      <c r="B2131" s="55" t="inlineStr">
        <is>
          <t>61.139.911/0001-99</t>
        </is>
      </c>
      <c r="C2131" t="inlineStr">
        <is>
          <t>ASSOCIACAO BRASILEIRA A HEBRAICA DE SAO PAULO</t>
        </is>
      </c>
    </row>
    <row r="2132">
      <c r="B2132" s="55" t="inlineStr">
        <is>
          <t>61.139.911/0001-99</t>
        </is>
      </c>
      <c r="C2132" t="inlineStr">
        <is>
          <t>ASSOCIACAO BRASILEIRA A HEBRAICA DE SAO PAULO</t>
        </is>
      </c>
    </row>
    <row r="2133">
      <c r="B2133" s="55" t="inlineStr">
        <is>
          <t>61.151.759/0001-60</t>
        </is>
      </c>
      <c r="C2133" t="inlineStr">
        <is>
          <t>NOVAK &amp; GOUVEIA LTDA</t>
        </is>
      </c>
    </row>
    <row r="2134">
      <c r="B2134" s="55" t="inlineStr">
        <is>
          <t>61.231.446/0001-11</t>
        </is>
      </c>
      <c r="C2134" t="inlineStr">
        <is>
          <t>61.231.446 PATRIK DA SILVA PERPETUA</t>
        </is>
      </c>
    </row>
    <row r="2135">
      <c r="B2135" s="55" t="inlineStr">
        <is>
          <t>61.231.446/0001-11</t>
        </is>
      </c>
      <c r="C2135" t="inlineStr">
        <is>
          <t>61.231.446 PATRIK DA SILVA PERPETUA</t>
        </is>
      </c>
    </row>
    <row r="2136">
      <c r="B2136" s="55" t="inlineStr">
        <is>
          <t>61.233.151/0005-08</t>
        </is>
      </c>
      <c r="C2136" t="inlineStr">
        <is>
          <t>COVABRA SUPERMERCADOS LTDA</t>
        </is>
      </c>
    </row>
    <row r="2137">
      <c r="B2137" s="55" t="inlineStr">
        <is>
          <t>61.233.151/0005-08</t>
        </is>
      </c>
      <c r="C2137" t="inlineStr">
        <is>
          <t>COVABRA SUPERMERCADOS LTDA</t>
        </is>
      </c>
    </row>
    <row r="2138">
      <c r="B2138" s="55" t="inlineStr">
        <is>
          <t>61.233.151/0005-08</t>
        </is>
      </c>
      <c r="C2138" t="inlineStr">
        <is>
          <t>COVABRA SUPERMERCADOS LTDA</t>
        </is>
      </c>
    </row>
    <row r="2139">
      <c r="B2139" s="55" t="inlineStr">
        <is>
          <t>61.233.151/0005-08</t>
        </is>
      </c>
      <c r="C2139" t="inlineStr">
        <is>
          <t>COVABRA SUPERMERCADOS LTDA</t>
        </is>
      </c>
    </row>
    <row r="2140">
      <c r="B2140" s="55" t="inlineStr">
        <is>
          <t>61.233.151/0005-08</t>
        </is>
      </c>
      <c r="C2140" t="inlineStr">
        <is>
          <t>COVABRA SUPERMERCADOS LTDA</t>
        </is>
      </c>
    </row>
    <row r="2141">
      <c r="B2141" s="55" t="inlineStr">
        <is>
          <t>61.233.151/0005-08</t>
        </is>
      </c>
      <c r="C2141" t="inlineStr">
        <is>
          <t>COVABRA SUPERMERCADOS LTDA</t>
        </is>
      </c>
    </row>
    <row r="2142">
      <c r="B2142" s="55" t="inlineStr">
        <is>
          <t>61.256.522/0001-43</t>
        </is>
      </c>
      <c r="C2142" t="inlineStr">
        <is>
          <t>ROOTS WELLNESS &amp; PERFORMANCE LTDA.</t>
        </is>
      </c>
    </row>
    <row r="2143">
      <c r="B2143" s="55" t="inlineStr">
        <is>
          <t>61.256.522/0001-43</t>
        </is>
      </c>
      <c r="C2143" t="inlineStr">
        <is>
          <t>ROOTS WELLNESS &amp; PERFORMANCE LTDA.</t>
        </is>
      </c>
    </row>
    <row r="2144">
      <c r="B2144" s="55" t="inlineStr">
        <is>
          <t>61.272.227/0001-80</t>
        </is>
      </c>
      <c r="C2144" t="inlineStr">
        <is>
          <t>BR PAY SOLUCOES DE PAGAMENTOS DIGITAIS LTDA</t>
        </is>
      </c>
    </row>
    <row r="2145">
      <c r="B2145" s="55" t="inlineStr">
        <is>
          <t>61.272.227/0001-80</t>
        </is>
      </c>
      <c r="C2145" t="inlineStr">
        <is>
          <t>BR PAY SOLUCOES DE PAGAMENTOS DIGITAIS LTDA</t>
        </is>
      </c>
    </row>
    <row r="2146">
      <c r="B2146" s="55" t="inlineStr">
        <is>
          <t>61.272.227/0001-80</t>
        </is>
      </c>
      <c r="C2146" t="inlineStr">
        <is>
          <t>BR PAY SOLUCOES DE PAGAMENTOS DIGITAIS LTDA</t>
        </is>
      </c>
    </row>
    <row r="2147">
      <c r="B2147" s="55" t="inlineStr">
        <is>
          <t>61.351.403/0001-70</t>
        </is>
      </c>
      <c r="C2147" t="inlineStr">
        <is>
          <t>VST SOFTWARE LTDA</t>
        </is>
      </c>
    </row>
    <row r="2148">
      <c r="B2148" s="55" t="inlineStr">
        <is>
          <t>61.351.403/0001-70</t>
        </is>
      </c>
      <c r="C2148" t="inlineStr">
        <is>
          <t>VST SOFTWARE LTDA</t>
        </is>
      </c>
    </row>
    <row r="2149">
      <c r="B2149" s="55" t="inlineStr">
        <is>
          <t>61.486.650/0001-83</t>
        </is>
      </c>
      <c r="C2149" t="inlineStr">
        <is>
          <t>DIAGNOSTICOS DA AMERICA S.A .</t>
        </is>
      </c>
    </row>
    <row r="2150">
      <c r="B2150" s="55" t="inlineStr">
        <is>
          <t>61.486.650/0001-83</t>
        </is>
      </c>
      <c r="C2150" t="inlineStr">
        <is>
          <t>DIAGNOSTICOS DA AMERICA S.A .</t>
        </is>
      </c>
    </row>
    <row r="2151">
      <c r="B2151" s="55" t="inlineStr">
        <is>
          <t>61.486.650/0001-83</t>
        </is>
      </c>
      <c r="C2151" t="inlineStr">
        <is>
          <t>DIAGNOSTICOS DA AMERICA S.A .</t>
        </is>
      </c>
    </row>
    <row r="2152">
      <c r="B2152" s="55" t="inlineStr">
        <is>
          <t>61.490.561/0001-00</t>
        </is>
      </c>
      <c r="C2152" t="inlineStr">
        <is>
          <t>DISTRIBUIDORA AUTOMOTIVA S.A.</t>
        </is>
      </c>
    </row>
    <row r="2153">
      <c r="B2153" s="55" t="inlineStr">
        <is>
          <t>61.518.366/0001-41</t>
        </is>
      </c>
      <c r="C2153" t="inlineStr">
        <is>
          <t>ALLECOMM COMERCIO DE ARTIGOS DO VESTUARIO LTDA</t>
        </is>
      </c>
    </row>
    <row r="2154">
      <c r="B2154" s="55" t="inlineStr">
        <is>
          <t>61.518.366/0001-41</t>
        </is>
      </c>
      <c r="C2154" t="inlineStr">
        <is>
          <t>ALLECOMM COMERCIO DE ARTIGOS DO VESTUARIO LTDA</t>
        </is>
      </c>
    </row>
    <row r="2155">
      <c r="B2155" s="55" t="inlineStr">
        <is>
          <t>61.551.778/0001-83</t>
        </is>
      </c>
      <c r="C2155" t="inlineStr">
        <is>
          <t>PRESTOFARMA DROGARIA E PERFUMARIA LTDA</t>
        </is>
      </c>
    </row>
    <row r="2156">
      <c r="B2156" s="55" t="inlineStr">
        <is>
          <t>61.551.778/0001-83</t>
        </is>
      </c>
      <c r="C2156" t="inlineStr">
        <is>
          <t>PRESTOFARMA DROGARIA E PERFUMARIA LTDA</t>
        </is>
      </c>
    </row>
    <row r="2157">
      <c r="B2157" s="55" t="inlineStr">
        <is>
          <t>61.551.778/0001-83</t>
        </is>
      </c>
      <c r="C2157" t="inlineStr">
        <is>
          <t>PRESTOFARMA DROGARIA E PERFUMARIA LTDA</t>
        </is>
      </c>
    </row>
    <row r="2158">
      <c r="B2158" s="55" t="inlineStr">
        <is>
          <t>61.565.222/0001-46</t>
        </is>
      </c>
      <c r="C2158" t="inlineStr">
        <is>
          <t>PARAMOUNT TEXTEIS INDUSTRIA E COMERCIO SA</t>
        </is>
      </c>
    </row>
    <row r="2159">
      <c r="B2159" s="55" t="inlineStr">
        <is>
          <t>61.565.222/0001-46</t>
        </is>
      </c>
      <c r="C2159" t="inlineStr">
        <is>
          <t>PARAMOUNT TEXTEIS INDUSTRIA E COMERCIO SA</t>
        </is>
      </c>
    </row>
    <row r="2160">
      <c r="B2160" s="55" t="inlineStr">
        <is>
          <t>61.665.254/0001-13</t>
        </is>
      </c>
      <c r="C2160" t="inlineStr">
        <is>
          <t>TRICKY COMERCIO DE ALIMENTOS LTDA</t>
        </is>
      </c>
    </row>
    <row r="2161">
      <c r="B2161" s="55" t="inlineStr">
        <is>
          <t>61.669.313/0001-21</t>
        </is>
      </c>
      <c r="C2161" t="inlineStr">
        <is>
          <t>FEDERACAO DOS EMPREGADOS NO COMERCIO DO ESTAD SAO PAULO</t>
        </is>
      </c>
    </row>
    <row r="2162">
      <c r="B2162" s="55" t="inlineStr">
        <is>
          <t>61.742.336/0001-14</t>
        </is>
      </c>
      <c r="C2162" t="inlineStr">
        <is>
          <t>CODIGO TARIFARIO VIAGENS LTDA</t>
        </is>
      </c>
    </row>
    <row r="2163">
      <c r="B2163" s="55" t="inlineStr">
        <is>
          <t>61.777.009/0067-24</t>
        </is>
      </c>
      <c r="C2163" t="inlineStr">
        <is>
          <t>LE SAC COMERCIAL CENTER COUROS LTDA EM RECUPERACAO JUDICIAL</t>
        </is>
      </c>
    </row>
    <row r="2164">
      <c r="B2164" s="55" t="inlineStr">
        <is>
          <t>61.777.009/0067-24</t>
        </is>
      </c>
      <c r="C2164" t="inlineStr">
        <is>
          <t>LE SAC COMERCIAL CENTER COUROS LTDA EM RECUPERACAO JUDICIAL</t>
        </is>
      </c>
    </row>
    <row r="2165">
      <c r="B2165" s="55" t="inlineStr">
        <is>
          <t>61.784.746/0001-28</t>
        </is>
      </c>
      <c r="C2165" t="inlineStr">
        <is>
          <t>CUSTOM LAB PRODUTOS PERSONALIZADOS LTDA</t>
        </is>
      </c>
    </row>
    <row r="2166">
      <c r="B2166" s="55" t="inlineStr">
        <is>
          <t>61.914.070/0001-40</t>
        </is>
      </c>
      <c r="C2166" t="inlineStr">
        <is>
          <t>LOWIFY PAGAMENTO SEGURO LTDA</t>
        </is>
      </c>
    </row>
    <row r="2167">
      <c r="B2167" s="55" t="inlineStr">
        <is>
          <t>61.914.070/0001-40</t>
        </is>
      </c>
      <c r="C2167" t="inlineStr">
        <is>
          <t>LOWIFY PAGAMENTO SEGURO LTDA</t>
        </is>
      </c>
    </row>
    <row r="2168">
      <c r="B2168" s="55" t="inlineStr">
        <is>
          <t>61.914.070/0001-40</t>
        </is>
      </c>
      <c r="C2168" t="inlineStr">
        <is>
          <t>LOWIFY PAGAMENTO SEGURO LTDA</t>
        </is>
      </c>
    </row>
    <row r="2169">
      <c r="B2169" s="55" t="inlineStr">
        <is>
          <t>61.919.643/0001-28</t>
        </is>
      </c>
      <c r="C2169" t="inlineStr">
        <is>
          <t>CONSELHO FEDERAL DE ODONTOLOGIA</t>
        </is>
      </c>
    </row>
    <row r="2170">
      <c r="B2170" s="55" t="inlineStr">
        <is>
          <t>61.919.643/0001-28</t>
        </is>
      </c>
      <c r="C2170" t="inlineStr">
        <is>
          <t>CONSELHO FEDERAL DE ODONTOLOGIA</t>
        </is>
      </c>
    </row>
    <row r="2171">
      <c r="B2171" s="55" t="inlineStr">
        <is>
          <t>62.000.369/0001-51</t>
        </is>
      </c>
      <c r="C2171" t="inlineStr">
        <is>
          <t>SERVI-MIG COMERCIO DE MAQUINAS LTDA</t>
        </is>
      </c>
    </row>
    <row r="2172">
      <c r="B2172" s="55" t="inlineStr">
        <is>
          <t>62.024.133/0001-55</t>
        </is>
      </c>
      <c r="C2172" t="inlineStr">
        <is>
          <t>VAI DE PECAS RESIDENCIAIS LTDA</t>
        </is>
      </c>
    </row>
    <row r="2173">
      <c r="B2173" s="55" t="inlineStr">
        <is>
          <t>62.058.758/0001-38</t>
        </is>
      </c>
      <c r="C2173" t="inlineStr">
        <is>
          <t>AZZAI LAB CONFECCAO LTDA</t>
        </is>
      </c>
    </row>
    <row r="2174">
      <c r="B2174" s="55" t="inlineStr">
        <is>
          <t>62.090.265/0001-85</t>
        </is>
      </c>
      <c r="C2174" t="inlineStr">
        <is>
          <t>GM COMERCIO DE CONFECCOES LTDA</t>
        </is>
      </c>
    </row>
    <row r="2175">
      <c r="B2175" s="55" t="inlineStr">
        <is>
          <t>62.090.265/0001-85</t>
        </is>
      </c>
      <c r="C2175" t="inlineStr">
        <is>
          <t>GM COMERCIO DE CONFECCOES LTDA</t>
        </is>
      </c>
    </row>
    <row r="2176">
      <c r="B2176" s="55" t="inlineStr">
        <is>
          <t>62.140.113/0001-40</t>
        </is>
      </c>
      <c r="C2176" t="inlineStr">
        <is>
          <t>GV VILA MARIANA ACADEMIA LTDA</t>
        </is>
      </c>
    </row>
    <row r="2177">
      <c r="B2177" s="55" t="inlineStr">
        <is>
          <t>62.140.113/0001-40</t>
        </is>
      </c>
      <c r="C2177" t="inlineStr">
        <is>
          <t>GV VILA MARIANA ACADEMIA LTDA</t>
        </is>
      </c>
    </row>
    <row r="2178">
      <c r="B2178" s="55" t="inlineStr">
        <is>
          <t>62.160.739/0001-18</t>
        </is>
      </c>
      <c r="C2178" t="inlineStr">
        <is>
          <t>CREEDX FINANCE LTDA</t>
        </is>
      </c>
    </row>
    <row r="2179">
      <c r="B2179" s="55" t="inlineStr">
        <is>
          <t>62.279.744/0001-44</t>
        </is>
      </c>
      <c r="C2179" t="inlineStr">
        <is>
          <t>HUGO RAMALHO DESENVOLVIMENTO DE SOFTWARE LTDA</t>
        </is>
      </c>
    </row>
    <row r="2180">
      <c r="B2180" s="55" t="inlineStr">
        <is>
          <t>62.422.232/0001-95</t>
        </is>
      </c>
      <c r="C2180" t="inlineStr">
        <is>
          <t>ZION MOVELARIA LTDA</t>
        </is>
      </c>
    </row>
    <row r="2181">
      <c r="B2181" s="55" t="inlineStr">
        <is>
          <t>62.422.232/0001-95</t>
        </is>
      </c>
      <c r="C2181" t="inlineStr">
        <is>
          <t>ZION MOVELARIA LTDA</t>
        </is>
      </c>
    </row>
    <row r="2182">
      <c r="B2182" s="55" t="inlineStr">
        <is>
          <t>62.628.974/0001-71</t>
        </is>
      </c>
      <c r="C2182" t="inlineStr">
        <is>
          <t>ACADEMIA RO LTDA</t>
        </is>
      </c>
    </row>
    <row r="2183">
      <c r="B2183" s="55" t="inlineStr">
        <is>
          <t>62.628.974/0001-71</t>
        </is>
      </c>
      <c r="C2183" t="inlineStr">
        <is>
          <t>ACADEMIA RO LTDA</t>
        </is>
      </c>
    </row>
    <row r="2184">
      <c r="B2184" s="55" t="inlineStr">
        <is>
          <t>62.678.567/0001-79</t>
        </is>
      </c>
      <c r="C2184" t="inlineStr">
        <is>
          <t>MR STORE COMERCIO DE VESTUARIO E ACESSORIOS LTDA</t>
        </is>
      </c>
    </row>
    <row r="2185">
      <c r="B2185" s="55" t="inlineStr">
        <is>
          <t>62.678.567/0001-79</t>
        </is>
      </c>
      <c r="C2185" t="inlineStr">
        <is>
          <t>MR STORE COMERCIO DE VESTUARIO E ACESSORIOS LTDA</t>
        </is>
      </c>
    </row>
    <row r="2186">
      <c r="B2186" s="55" t="inlineStr">
        <is>
          <t>63.114.864/0001-54</t>
        </is>
      </c>
      <c r="C2186" t="inlineStr">
        <is>
          <t>GV MORUMBI ACADEMIA LTDA</t>
        </is>
      </c>
    </row>
    <row r="2187">
      <c r="B2187" s="55" t="inlineStr">
        <is>
          <t>63.114.864/0001-54</t>
        </is>
      </c>
      <c r="C2187" t="inlineStr">
        <is>
          <t>GV MORUMBI ACADEMIA LTDA</t>
        </is>
      </c>
    </row>
    <row r="2188">
      <c r="B2188" s="55" t="inlineStr">
        <is>
          <t>63.208.435/0001-46</t>
        </is>
      </c>
      <c r="C2188" t="inlineStr">
        <is>
          <t>KYPCAR PLATAFORMA DIGITAL LTDA</t>
        </is>
      </c>
    </row>
    <row r="2189">
      <c r="B2189" s="55" t="inlineStr">
        <is>
          <t>63.208.435/0001-46</t>
        </is>
      </c>
      <c r="C2189" t="inlineStr">
        <is>
          <t>KYPCAR PLATAFORMA DIGITAL LTDA</t>
        </is>
      </c>
    </row>
    <row r="2190">
      <c r="B2190" s="55" t="inlineStr">
        <is>
          <t>63.294.409/0001-88</t>
        </is>
      </c>
      <c r="C2190" t="inlineStr">
        <is>
          <t>CR INDUSTRIA COMERCIO DE CONFECCOES LTDA</t>
        </is>
      </c>
    </row>
    <row r="2191">
      <c r="B2191" s="55" t="inlineStr">
        <is>
          <t>63.294.409/0001-88</t>
        </is>
      </c>
      <c r="C2191" t="inlineStr">
        <is>
          <t>CR INDUSTRIA COMERCIO DE CONFECCOES LTDA</t>
        </is>
      </c>
    </row>
    <row r="2192">
      <c r="B2192" s="55" t="inlineStr">
        <is>
          <t>63.294.409/0001-88</t>
        </is>
      </c>
      <c r="C2192" t="inlineStr">
        <is>
          <t>CR INDUSTRIA COMERCIO DE CONFECCOES LTDA</t>
        </is>
      </c>
    </row>
    <row r="2193">
      <c r="B2193" s="55" t="inlineStr">
        <is>
          <t>63.294.409/0001-88</t>
        </is>
      </c>
      <c r="C2193" t="inlineStr">
        <is>
          <t>CR INDUSTRIA COMERCIO DE CONFECCOES LTDA</t>
        </is>
      </c>
    </row>
    <row r="2194">
      <c r="B2194" s="55" t="inlineStr">
        <is>
          <t>63.294.409/0001-88</t>
        </is>
      </c>
      <c r="C2194" t="inlineStr">
        <is>
          <t>CR INDUSTRIA COMERCIO DE CONFECCOES LTDA</t>
        </is>
      </c>
    </row>
    <row r="2195">
      <c r="B2195" s="55" t="inlineStr">
        <is>
          <t>63.473.235/0001-10</t>
        </is>
      </c>
      <c r="C2195" t="inlineStr">
        <is>
          <t>COMERCIAL DE MIUDEZAS FREITAS LTDA</t>
        </is>
      </c>
    </row>
    <row r="2196">
      <c r="B2196" s="55" t="inlineStr">
        <is>
          <t>63.476.808/0001-60</t>
        </is>
      </c>
      <c r="C2196" t="inlineStr">
        <is>
          <t>BEETOP INDUSTRIA E COMERCIO DE CONFECCOES LTDA</t>
        </is>
      </c>
    </row>
    <row r="2197">
      <c r="B2197" s="55" t="inlineStr">
        <is>
          <t>63.476.808/0001-60</t>
        </is>
      </c>
      <c r="C2197" t="inlineStr">
        <is>
          <t>BEETOP INDUSTRIA E COMERCIO DE CONFECCOES LTDA</t>
        </is>
      </c>
    </row>
    <row r="2198">
      <c r="B2198" s="55" t="inlineStr">
        <is>
          <t>63.605.653/0001-14</t>
        </is>
      </c>
      <c r="C2198" t="inlineStr">
        <is>
          <t>ACRE COMERCIO E ADMINISTRACAO LTDA</t>
        </is>
      </c>
    </row>
    <row r="2199">
      <c r="B2199" s="55" t="inlineStr">
        <is>
          <t>63.605.653/0001-14</t>
        </is>
      </c>
      <c r="C2199" t="inlineStr">
        <is>
          <t>ACRE COMERCIO E ADMINISTRACAO LTDA</t>
        </is>
      </c>
    </row>
    <row r="2200">
      <c r="B2200" s="55" t="inlineStr">
        <is>
          <t>63.605.653/0001-14</t>
        </is>
      </c>
      <c r="C2200" t="inlineStr">
        <is>
          <t>ACRE COMERCIO E ADMINISTRACAO LTDA</t>
        </is>
      </c>
    </row>
    <row r="2201">
      <c r="B2201" s="55" t="inlineStr">
        <is>
          <t>63.909.863/0001-04</t>
        </is>
      </c>
      <c r="C2201" t="inlineStr">
        <is>
          <t>VITA INTEGRA SAUDE INTEGRATIVA LTDA</t>
        </is>
      </c>
    </row>
    <row r="2202">
      <c r="B2202" s="55" t="inlineStr">
        <is>
          <t>63.936.441/0001-10</t>
        </is>
      </c>
      <c r="C2202" t="inlineStr">
        <is>
          <t>ECOFILLER LTDA</t>
        </is>
      </c>
    </row>
    <row r="2203">
      <c r="B2203" s="55" t="inlineStr">
        <is>
          <t>63.974.483/0001-45</t>
        </is>
      </c>
      <c r="C2203" t="inlineStr">
        <is>
          <t>MUNDO CARDS LTDA</t>
        </is>
      </c>
    </row>
    <row r="2204">
      <c r="B2204" s="55" t="inlineStr">
        <is>
          <t>63.974.483/0001-45</t>
        </is>
      </c>
      <c r="C2204" t="inlineStr">
        <is>
          <t>MUNDO CARDS LTDA</t>
        </is>
      </c>
    </row>
    <row r="2205">
      <c r="B2205" s="55" t="inlineStr">
        <is>
          <t>63.974.483/0001-45</t>
        </is>
      </c>
      <c r="C2205" t="inlineStr">
        <is>
          <t>MUNDO CARDS LTDA</t>
        </is>
      </c>
    </row>
    <row r="2206">
      <c r="B2206" s="55" t="inlineStr">
        <is>
          <t>64.047.753/0001-35</t>
        </is>
      </c>
      <c r="C2206" t="inlineStr">
        <is>
          <t>MARKETLAV PRODUTOS PARA LAVANDERIA LTDA</t>
        </is>
      </c>
    </row>
    <row r="2207">
      <c r="B2207" s="55" t="inlineStr">
        <is>
          <t>64.178.445/0001-49</t>
        </is>
      </c>
      <c r="C2207" t="inlineStr">
        <is>
          <t>BOTICA CHA DA TERRA LTDA</t>
        </is>
      </c>
    </row>
    <row r="2208">
      <c r="B2208" s="55" t="inlineStr">
        <is>
          <t>64.404.185/0001-82</t>
        </is>
      </c>
      <c r="C2208" t="inlineStr">
        <is>
          <t>GV ALTO DE PINHEIROS ACADEMIA LTDA</t>
        </is>
      </c>
    </row>
    <row r="2209">
      <c r="B2209" s="55" t="inlineStr">
        <is>
          <t>64.404.185/0001-82</t>
        </is>
      </c>
      <c r="C2209" t="inlineStr">
        <is>
          <t>GV ALTO DE PINHEIROS ACADEMIA LTDA</t>
        </is>
      </c>
    </row>
    <row r="2210">
      <c r="B2210" s="55" t="inlineStr">
        <is>
          <t>64.422.892/0001-00</t>
        </is>
      </c>
      <c r="C2210" t="inlineStr">
        <is>
          <t>LIDER INDUSTRIA E COMERCIO DE ESTOFADOS S/A</t>
        </is>
      </c>
    </row>
    <row r="2211">
      <c r="B2211" s="55" t="inlineStr">
        <is>
          <t>64.422.892/0001-00</t>
        </is>
      </c>
      <c r="C2211" t="inlineStr">
        <is>
          <t>LIDER INDUSTRIA E COMERCIO DE ESTOFADOS S/A</t>
        </is>
      </c>
    </row>
    <row r="2212">
      <c r="B2212" s="55" t="inlineStr">
        <is>
          <t>64.484.980/0001-28</t>
        </is>
      </c>
      <c r="C2212" t="inlineStr">
        <is>
          <t>MAIS VENDAS TECNOLOGIA LTDA</t>
        </is>
      </c>
    </row>
    <row r="2213">
      <c r="B2213" s="55" t="inlineStr">
        <is>
          <t>64.548.739/0001-15</t>
        </is>
      </c>
      <c r="C2213" t="inlineStr">
        <is>
          <t>C M BRASIL LTDA</t>
        </is>
      </c>
    </row>
    <row r="2214">
      <c r="B2214" s="55" t="inlineStr">
        <is>
          <t>64.548.739/0001-15</t>
        </is>
      </c>
      <c r="C2214" t="inlineStr">
        <is>
          <t>C M BRASIL LTDA</t>
        </is>
      </c>
    </row>
    <row r="2215">
      <c r="B2215" s="55" t="inlineStr">
        <is>
          <t>64.565.385/0001-17</t>
        </is>
      </c>
      <c r="C2215" t="inlineStr">
        <is>
          <t>BIVIK CONFECCOES LTDA</t>
        </is>
      </c>
    </row>
    <row r="2216">
      <c r="B2216" s="55" t="inlineStr">
        <is>
          <t>64.565.385/0001-17</t>
        </is>
      </c>
      <c r="C2216" t="inlineStr">
        <is>
          <t>BIVIK CONFECCOES LTDA</t>
        </is>
      </c>
    </row>
    <row r="2217">
      <c r="B2217" s="55" t="inlineStr">
        <is>
          <t>64.657.626/0001-58</t>
        </is>
      </c>
      <c r="C2217" t="inlineStr">
        <is>
          <t>FERRONIX DISTRIBUIDORA DE FERRAMENTAS E EQUIPAMENTOS LTDA</t>
        </is>
      </c>
    </row>
    <row r="2218">
      <c r="B2218" s="55" t="inlineStr">
        <is>
          <t>64.657.626/0001-58</t>
        </is>
      </c>
      <c r="C2218" t="inlineStr">
        <is>
          <t>FERRONIX DISTRIBUIDORA DE FERRAMENTAS E EQUIPAMENTOS LTDA</t>
        </is>
      </c>
    </row>
    <row r="2219">
      <c r="B2219" s="55" t="inlineStr">
        <is>
          <t>64.775.567/0001-12</t>
        </is>
      </c>
      <c r="C2219" t="inlineStr">
        <is>
          <t>REMUDE BRAND COMERCIO LTDA</t>
        </is>
      </c>
    </row>
    <row r="2220">
      <c r="B2220" s="55" t="inlineStr">
        <is>
          <t>64.775.567/0001-12</t>
        </is>
      </c>
      <c r="C2220" t="inlineStr">
        <is>
          <t>REMUDE BRAND COMERCIO LTDA</t>
        </is>
      </c>
    </row>
    <row r="2221">
      <c r="B2221" s="55" t="inlineStr">
        <is>
          <t>64.819.246/0008-49</t>
        </is>
      </c>
      <c r="C2221" t="inlineStr">
        <is>
          <t>PRATIC LOJA DE CONVENIENCIA LTDA.</t>
        </is>
      </c>
    </row>
    <row r="2222">
      <c r="B2222" s="55" t="inlineStr">
        <is>
          <t>65.174.909/0001-01</t>
        </is>
      </c>
      <c r="C2222" t="inlineStr">
        <is>
          <t>PODIOTICKET LTDA</t>
        </is>
      </c>
    </row>
    <row r="2223">
      <c r="B2223" s="55" t="inlineStr">
        <is>
          <t>65.174.909/0001-01</t>
        </is>
      </c>
      <c r="C2223" t="inlineStr">
        <is>
          <t>PODIOTICKET LTDA</t>
        </is>
      </c>
    </row>
    <row r="2224">
      <c r="B2224" s="55" t="inlineStr">
        <is>
          <t>65.270.460/0001-85</t>
        </is>
      </c>
      <c r="C2224" t="inlineStr">
        <is>
          <t>FLOWA SMART FLOW LTDA</t>
        </is>
      </c>
    </row>
    <row r="2225">
      <c r="B2225" s="55" t="inlineStr">
        <is>
          <t>65.270.460/0001-85</t>
        </is>
      </c>
      <c r="C2225" t="inlineStr">
        <is>
          <t>FLOWA SMART FLOW LTDA</t>
        </is>
      </c>
    </row>
    <row r="2226">
      <c r="B2226" s="55" t="inlineStr">
        <is>
          <t>65.270.460/0001-85</t>
        </is>
      </c>
      <c r="C2226" t="inlineStr">
        <is>
          <t>FLOWA SMART FLOW LTDA</t>
        </is>
      </c>
    </row>
    <row r="2227">
      <c r="B2227" s="55" t="inlineStr">
        <is>
          <t>65.270.460/0001-85</t>
        </is>
      </c>
      <c r="C2227" t="inlineStr">
        <is>
          <t>FLOWA SMART FLOW LTDA</t>
        </is>
      </c>
    </row>
    <row r="2228">
      <c r="B2228" s="55" t="inlineStr">
        <is>
          <t>65.426.788/0001-48</t>
        </is>
      </c>
      <c r="C2228" t="inlineStr">
        <is>
          <t>VITORIA DISTRIBUIDORA DE BATERIAS LTDA.</t>
        </is>
      </c>
    </row>
    <row r="2229">
      <c r="B2229" s="55" t="inlineStr">
        <is>
          <t>65.503.233/0001-52</t>
        </is>
      </c>
      <c r="C2229" t="inlineStr">
        <is>
          <t>EIMON COMERCIO E DISTRIBUICAO LTDA</t>
        </is>
      </c>
    </row>
    <row r="2230">
      <c r="B2230" s="55" t="inlineStr">
        <is>
          <t>65.650.178/0001-23</t>
        </is>
      </c>
      <c r="C2230" t="inlineStr">
        <is>
          <t>FARMACIA FARMACEUTICA LTDA</t>
        </is>
      </c>
    </row>
    <row r="2231">
      <c r="B2231" s="55" t="inlineStr">
        <is>
          <t>65.650.178/0001-23</t>
        </is>
      </c>
      <c r="C2231" t="inlineStr">
        <is>
          <t>FARMACIA FARMACEUTICA LTDA</t>
        </is>
      </c>
    </row>
    <row r="2232">
      <c r="B2232" s="55" t="inlineStr">
        <is>
          <t>65.650.178/0001-23</t>
        </is>
      </c>
      <c r="C2232" t="inlineStr">
        <is>
          <t>FARMACIA FARMACEUTICA LTDA</t>
        </is>
      </c>
    </row>
    <row r="2233">
      <c r="B2233" s="55" t="inlineStr">
        <is>
          <t>65.815.323/0001-89</t>
        </is>
      </c>
      <c r="C2233" t="inlineStr">
        <is>
          <t>DILUCA IMPORT LTDA</t>
        </is>
      </c>
    </row>
    <row r="2234">
      <c r="B2234" s="55" t="inlineStr">
        <is>
          <t>65.875.114/0001-20</t>
        </is>
      </c>
      <c r="C2234" t="inlineStr">
        <is>
          <t>TGK TURISMO LTDA.</t>
        </is>
      </c>
    </row>
    <row r="2235">
      <c r="B2235" s="55" t="inlineStr">
        <is>
          <t>65.875.114/0001-20</t>
        </is>
      </c>
      <c r="C2235" t="inlineStr">
        <is>
          <t>TGK TURISMO LTDA.</t>
        </is>
      </c>
    </row>
    <row r="2236">
      <c r="B2236" s="55" t="inlineStr">
        <is>
          <t>65.875.114/0001-20</t>
        </is>
      </c>
      <c r="C2236" t="inlineStr">
        <is>
          <t>TGK TURISMO LTDA.</t>
        </is>
      </c>
    </row>
    <row r="2237">
      <c r="B2237" s="55" t="inlineStr">
        <is>
          <t>65.887.427/0001-07</t>
        </is>
      </c>
      <c r="C2237" t="inlineStr">
        <is>
          <t>TOTEM360 DESENVOLVIMENTO DE SOFTWARES LTDA</t>
        </is>
      </c>
    </row>
    <row r="2238">
      <c r="B2238" s="55" t="inlineStr">
        <is>
          <t>65.897.910/0009-11</t>
        </is>
      </c>
      <c r="C2238" t="inlineStr">
        <is>
          <t>TAUSTE SUPERMERCADOS LTDA</t>
        </is>
      </c>
    </row>
    <row r="2239">
      <c r="B2239" s="55" t="inlineStr">
        <is>
          <t>65.897.910/0009-11</t>
        </is>
      </c>
      <c r="C2239" t="inlineStr">
        <is>
          <t>TAUSTE SUPERMERCADOS LTDA</t>
        </is>
      </c>
    </row>
    <row r="2240">
      <c r="B2240" s="55" t="inlineStr">
        <is>
          <t>65.952.109/0001-74</t>
        </is>
      </c>
      <c r="C2240" t="inlineStr">
        <is>
          <t>LUMEN PIXEL DIGITAL SOLUTIONS LTDA</t>
        </is>
      </c>
    </row>
    <row r="2241">
      <c r="B2241" s="55" t="inlineStr">
        <is>
          <t>65.952.109/0001-74</t>
        </is>
      </c>
      <c r="C2241" t="inlineStr">
        <is>
          <t>LUMEN PIXEL DIGITAL SOLUTIONS LTDA</t>
        </is>
      </c>
    </row>
    <row r="2242">
      <c r="B2242" s="55" t="inlineStr">
        <is>
          <t>65.993.453/0035-50</t>
        </is>
      </c>
      <c r="C2242" t="inlineStr">
        <is>
          <t>RODOBENS COMERCIO E LOCACAO DE VEICULOS LTDA.</t>
        </is>
      </c>
    </row>
    <row r="2243">
      <c r="B2243" s="55" t="inlineStr">
        <is>
          <t>65.993.453/0035-50</t>
        </is>
      </c>
      <c r="C2243" t="inlineStr">
        <is>
          <t>RODOBENS COMERCIO E LOCACAO DE VEICULOS LTDA.</t>
        </is>
      </c>
    </row>
    <row r="2244">
      <c r="B2244" s="55" t="inlineStr">
        <is>
          <t>65.993.453/0035-50</t>
        </is>
      </c>
      <c r="C2244" t="inlineStr">
        <is>
          <t>RODOBENS COMERCIO E LOCACAO DE VEICULOS LTDA.</t>
        </is>
      </c>
    </row>
    <row r="2245">
      <c r="B2245" s="55" t="inlineStr">
        <is>
          <t>66.047.643/0001-07</t>
        </is>
      </c>
      <c r="C2245" t="inlineStr">
        <is>
          <t>66.047.643 APARECIDA MENDES GOULART</t>
        </is>
      </c>
    </row>
    <row r="2246">
      <c r="B2246" s="55" t="inlineStr">
        <is>
          <t>66.089.251/0001-00</t>
        </is>
      </c>
      <c r="C2246" t="inlineStr">
        <is>
          <t>SALVIANO JOIAS LTDA</t>
        </is>
      </c>
    </row>
    <row r="2247">
      <c r="B2247" s="55" t="inlineStr">
        <is>
          <t>66.380.084/0001-44</t>
        </is>
      </c>
      <c r="C2247" t="inlineStr">
        <is>
          <t>BASIC &amp; CO LTDA</t>
        </is>
      </c>
    </row>
    <row r="2248">
      <c r="B2248" s="55" t="inlineStr">
        <is>
          <t>66.380.084/0001-44</t>
        </is>
      </c>
      <c r="C2248" t="inlineStr">
        <is>
          <t>BASIC &amp; CO LTDA</t>
        </is>
      </c>
    </row>
    <row r="2249">
      <c r="B2249" s="55" t="inlineStr">
        <is>
          <t>66.380.084/0001-44</t>
        </is>
      </c>
      <c r="C2249" t="inlineStr">
        <is>
          <t>BASIC &amp; CO LTDA</t>
        </is>
      </c>
    </row>
    <row r="2250">
      <c r="B2250" s="55" t="inlineStr">
        <is>
          <t>66.406.609/0001-73</t>
        </is>
      </c>
      <c r="C2250" t="inlineStr">
        <is>
          <t>CAJUPAY TECNOLOGIA E SOLUCOES DIGITAIS LTDA</t>
        </is>
      </c>
    </row>
    <row r="2251">
      <c r="B2251" s="55" t="inlineStr">
        <is>
          <t>66.406.609/0001-73</t>
        </is>
      </c>
      <c r="C2251" t="inlineStr">
        <is>
          <t>CAJUPAY TECNOLOGIA E SOLUCOES DIGITAIS LTDA</t>
        </is>
      </c>
    </row>
    <row r="2252">
      <c r="B2252" s="55" t="inlineStr">
        <is>
          <t>66.406.609/0001-73</t>
        </is>
      </c>
      <c r="C2252" t="inlineStr">
        <is>
          <t>CAJUPAY TECNOLOGIA E SOLUCOES DIGITAIS LTDA</t>
        </is>
      </c>
    </row>
    <row r="2253">
      <c r="B2253" s="55" t="inlineStr">
        <is>
          <t>66.659.215/0001-27</t>
        </is>
      </c>
      <c r="C2253" t="inlineStr">
        <is>
          <t>GRAVA.AI LTDA</t>
        </is>
      </c>
    </row>
    <row r="2254">
      <c r="B2254" s="55" t="inlineStr">
        <is>
          <t>66.990.404/0001-88</t>
        </is>
      </c>
      <c r="C2254" t="inlineStr">
        <is>
          <t>JL IMAGEM E NEGOCIOS DIGITAIS LTDA</t>
        </is>
      </c>
    </row>
    <row r="2255">
      <c r="B2255" s="55" t="inlineStr">
        <is>
          <t>67.584.643/0001-09</t>
        </is>
      </c>
      <c r="C2255" t="inlineStr">
        <is>
          <t>ARKANA EXPERIENCIAS LTDA</t>
        </is>
      </c>
    </row>
    <row r="2256">
      <c r="B2256" s="55" t="inlineStr">
        <is>
          <t>67.620.377/0001-14</t>
        </is>
      </c>
      <c r="C2256" t="inlineStr">
        <is>
          <t>MINERVA S.A.</t>
        </is>
      </c>
    </row>
    <row r="2257">
      <c r="B2257" s="55" t="inlineStr">
        <is>
          <t>67.620.377/0001-14</t>
        </is>
      </c>
      <c r="C2257" t="inlineStr">
        <is>
          <t>MINERVA S.A.</t>
        </is>
      </c>
    </row>
    <row r="2258">
      <c r="B2258" s="55" t="inlineStr">
        <is>
          <t>67.620.377/0001-14</t>
        </is>
      </c>
      <c r="C2258" t="inlineStr">
        <is>
          <t>MINERVA S.A.</t>
        </is>
      </c>
    </row>
    <row r="2259">
      <c r="B2259" s="55" t="inlineStr">
        <is>
          <t>67.620.377/0001-14</t>
        </is>
      </c>
      <c r="C2259" t="inlineStr">
        <is>
          <t>MINERVA S.A.</t>
        </is>
      </c>
    </row>
    <row r="2260">
      <c r="B2260" s="55" t="inlineStr">
        <is>
          <t>67.729.178/0005-72</t>
        </is>
      </c>
      <c r="C2260" t="inlineStr">
        <is>
          <t>COMERCIAL CIRURGICA RIOCLARENSE LTDA</t>
        </is>
      </c>
    </row>
    <row r="2261">
      <c r="B2261" s="55" t="inlineStr">
        <is>
          <t>67.729.178/0005-72</t>
        </is>
      </c>
      <c r="C2261" t="inlineStr">
        <is>
          <t>COMERCIAL CIRURGICA RIOCLARENSE LTDA</t>
        </is>
      </c>
    </row>
    <row r="2262">
      <c r="B2262" s="55" t="inlineStr">
        <is>
          <t>67.729.178/0005-72</t>
        </is>
      </c>
      <c r="C2262" t="inlineStr">
        <is>
          <t>COMERCIAL CIRURGICA RIOCLARENSE LTDA</t>
        </is>
      </c>
    </row>
    <row r="2263">
      <c r="B2263" s="55" t="inlineStr">
        <is>
          <t>67.903.765/0001-02</t>
        </is>
      </c>
      <c r="C2263" t="inlineStr">
        <is>
          <t>RICAMBI TRATORPECAS LTDA.</t>
        </is>
      </c>
    </row>
    <row r="2264">
      <c r="B2264" s="55" t="inlineStr">
        <is>
          <t>67.903.765/0001-02</t>
        </is>
      </c>
      <c r="C2264" t="inlineStr">
        <is>
          <t>RICAMBI TRATORPECAS LTDA.</t>
        </is>
      </c>
    </row>
    <row r="2265">
      <c r="B2265" s="55" t="inlineStr">
        <is>
          <t>68.365.501/0001-05</t>
        </is>
      </c>
      <c r="C2265" t="inlineStr">
        <is>
          <t>PROPARTS COMERCIO DE ARTIGOS ESPORTIVOS E TECNOLOGIA LTDA</t>
        </is>
      </c>
    </row>
    <row r="2266">
      <c r="B2266" s="55" t="inlineStr">
        <is>
          <t>68.866.268/0001-44</t>
        </is>
      </c>
      <c r="C2266" t="inlineStr">
        <is>
          <t>MEGAVEST COMERCIO DE ROUPAS LTDA (baixada)</t>
        </is>
      </c>
    </row>
    <row r="2267">
      <c r="B2267" s="55" t="inlineStr">
        <is>
          <t>68.993.641/0005-51</t>
        </is>
      </c>
      <c r="C2267" t="inlineStr">
        <is>
          <t>AGIS EQUIPAMENTOS E SERVICOS DE INFORMATICA LTDA.</t>
        </is>
      </c>
    </row>
    <row r="2268">
      <c r="B2268" s="55" t="inlineStr">
        <is>
          <t>69.034.668/0001-56</t>
        </is>
      </c>
      <c r="C2268" t="inlineStr">
        <is>
          <t>PLUXEE BENEFICIOS BRASIL S.A.</t>
        </is>
      </c>
    </row>
    <row r="2269">
      <c r="B2269" s="55" t="inlineStr">
        <is>
          <t>69.034.668/0001-56</t>
        </is>
      </c>
      <c r="C2269" t="inlineStr">
        <is>
          <t>PLUXEE BENEFICIOS BRASIL S.A.</t>
        </is>
      </c>
    </row>
    <row r="2270">
      <c r="B2270" s="55" t="inlineStr">
        <is>
          <t>69.069.276/0001-22</t>
        </is>
      </c>
      <c r="C2270" t="inlineStr">
        <is>
          <t>FARMA POPULAR DROGARIA LTDA</t>
        </is>
      </c>
    </row>
    <row r="2271">
      <c r="B2271" s="55" t="inlineStr">
        <is>
          <t>69.069.276/0001-22</t>
        </is>
      </c>
      <c r="C2271" t="inlineStr">
        <is>
          <t>FARMA POPULAR DROGARIA LTDA</t>
        </is>
      </c>
    </row>
    <row r="2272">
      <c r="B2272" s="55" t="inlineStr">
        <is>
          <t>71.322.150/0001-60</t>
        </is>
      </c>
      <c r="C2272" t="inlineStr">
        <is>
          <t>SAVEGNAGO-SUPERMERCADOS LTDA</t>
        </is>
      </c>
    </row>
    <row r="2273">
      <c r="B2273" s="55" t="inlineStr">
        <is>
          <t>71.322.150/0001-60</t>
        </is>
      </c>
      <c r="C2273" t="inlineStr">
        <is>
          <t>SAVEGNAGO-SUPERMERCADOS LTDA</t>
        </is>
      </c>
    </row>
    <row r="2274">
      <c r="B2274" s="55" t="inlineStr">
        <is>
          <t>71.322.150/0001-60</t>
        </is>
      </c>
      <c r="C2274" t="inlineStr">
        <is>
          <t>SAVEGNAGO-SUPERMERCADOS LTDA</t>
        </is>
      </c>
    </row>
    <row r="2275">
      <c r="B2275" s="55" t="inlineStr">
        <is>
          <t>71.322.150/0001-60</t>
        </is>
      </c>
      <c r="C2275" t="inlineStr">
        <is>
          <t>SAVEGNAGO-SUPERMERCADOS LTDA</t>
        </is>
      </c>
    </row>
    <row r="2276">
      <c r="B2276" s="55" t="inlineStr">
        <is>
          <t>71.385.637/0001-91</t>
        </is>
      </c>
      <c r="C2276" t="inlineStr">
        <is>
          <t>SUPERMERCADO SUPER LUNA S.A</t>
        </is>
      </c>
    </row>
    <row r="2277">
      <c r="B2277" s="55" t="inlineStr">
        <is>
          <t>71.676.316/0001-46</t>
        </is>
      </c>
      <c r="C2277" t="inlineStr">
        <is>
          <t>SUPERMERCADOS MAMBO LTDA.</t>
        </is>
      </c>
    </row>
    <row r="2278">
      <c r="B2278" s="55" t="inlineStr">
        <is>
          <t>71.676.316/0001-46</t>
        </is>
      </c>
      <c r="C2278" t="inlineStr">
        <is>
          <t>SUPERMERCADOS MAMBO LTDA.</t>
        </is>
      </c>
    </row>
    <row r="2279">
      <c r="B2279" s="55" t="inlineStr">
        <is>
          <t>71.676.316/0001-46</t>
        </is>
      </c>
      <c r="C2279" t="inlineStr">
        <is>
          <t>SUPERMERCADOS MAMBO LTDA.</t>
        </is>
      </c>
    </row>
    <row r="2280">
      <c r="B2280" s="55" t="inlineStr">
        <is>
          <t>71.676.316/0001-46</t>
        </is>
      </c>
      <c r="C2280" t="inlineStr">
        <is>
          <t>SUPERMERCADOS MAMBO LTDA.</t>
        </is>
      </c>
    </row>
    <row r="2281">
      <c r="B2281" s="55" t="inlineStr">
        <is>
          <t>72.094.642/0001-08</t>
        </is>
      </c>
      <c r="C2281" t="inlineStr">
        <is>
          <t>MATV SUL ELETRONICOS LTDA</t>
        </is>
      </c>
    </row>
    <row r="2282">
      <c r="B2282" s="55" t="inlineStr">
        <is>
          <t>72.675.028/0004-82</t>
        </is>
      </c>
      <c r="C2282" t="inlineStr">
        <is>
          <t>TREVILUB COMERCIO DE LUBRIFICANTES LTDA</t>
        </is>
      </c>
    </row>
    <row r="2283">
      <c r="B2283" s="55" t="inlineStr">
        <is>
          <t>72.675.028/0004-82</t>
        </is>
      </c>
      <c r="C2283" t="inlineStr">
        <is>
          <t>TREVILUB COMERCIO DE LUBRIFICANTES LTDA</t>
        </is>
      </c>
    </row>
    <row r="2284">
      <c r="B2284" s="55" t="inlineStr">
        <is>
          <t>72.675.028/0004-82</t>
        </is>
      </c>
      <c r="C2284" t="inlineStr">
        <is>
          <t>TREVILUB COMERCIO DE LUBRIFICANTES LTDA</t>
        </is>
      </c>
    </row>
    <row r="2285">
      <c r="B2285" s="55" t="inlineStr">
        <is>
          <t>72.675.028/0004-82</t>
        </is>
      </c>
      <c r="C2285" t="inlineStr">
        <is>
          <t>TREVILUB COMERCIO DE LUBRIFICANTES LTDA</t>
        </is>
      </c>
    </row>
    <row r="2286">
      <c r="B2286" s="55" t="inlineStr">
        <is>
          <t>72.675.028/0004-82</t>
        </is>
      </c>
      <c r="C2286" t="inlineStr">
        <is>
          <t>TREVILUB COMERCIO DE LUBRIFICANTES LTDA</t>
        </is>
      </c>
    </row>
    <row r="2287">
      <c r="B2287" s="55" t="inlineStr">
        <is>
          <t>72.739.543/0021-80</t>
        </is>
      </c>
      <c r="C2287" t="inlineStr">
        <is>
          <t>MANFRIN , CASSEB &amp; CIA LTDA</t>
        </is>
      </c>
    </row>
    <row r="2288">
      <c r="B2288" s="55" t="inlineStr">
        <is>
          <t>72.739.543/0021-80</t>
        </is>
      </c>
      <c r="C2288" t="inlineStr">
        <is>
          <t>MANFRIN , CASSEB &amp; CIA LTDA</t>
        </is>
      </c>
    </row>
    <row r="2289">
      <c r="B2289" s="55" t="inlineStr">
        <is>
          <t>72.962.327/0001-55</t>
        </is>
      </c>
      <c r="C2289" t="inlineStr">
        <is>
          <t>SOLUA COMERCIAL LTDA.</t>
        </is>
      </c>
    </row>
    <row r="2290">
      <c r="B2290" s="55" t="inlineStr">
        <is>
          <t>73.073.165/0001-67</t>
        </is>
      </c>
      <c r="C2290" t="inlineStr">
        <is>
          <t>SUPER MERCADO TIBURCIO DE SOUZA LTDA</t>
        </is>
      </c>
    </row>
    <row r="2291">
      <c r="B2291" s="55" t="inlineStr">
        <is>
          <t>73.073.165/0001-67</t>
        </is>
      </c>
      <c r="C2291" t="inlineStr">
        <is>
          <t>SUPER MERCADO TIBURCIO DE SOUZA LTDA</t>
        </is>
      </c>
    </row>
    <row r="2292">
      <c r="B2292" s="55" t="inlineStr">
        <is>
          <t>73.073.165/0001-67</t>
        </is>
      </c>
      <c r="C2292" t="inlineStr">
        <is>
          <t>SUPER MERCADO TIBURCIO DE SOUZA LTDA</t>
        </is>
      </c>
    </row>
    <row r="2293">
      <c r="B2293" s="55" t="inlineStr">
        <is>
          <t>73.141.095/0001-37</t>
        </is>
      </c>
      <c r="C2293" t="inlineStr">
        <is>
          <t>HOTEL DA FAZENDA DONA CAROLINA LTDA</t>
        </is>
      </c>
    </row>
    <row r="2294">
      <c r="B2294" s="55" t="inlineStr">
        <is>
          <t>73.230.674/0001-56</t>
        </is>
      </c>
      <c r="C2294" t="inlineStr">
        <is>
          <t>ADMINISTRADORA DE CONSORCIO RCI BRASIL LTDA</t>
        </is>
      </c>
    </row>
    <row r="2295">
      <c r="B2295" s="55" t="inlineStr">
        <is>
          <t>73.230.674/0001-56</t>
        </is>
      </c>
      <c r="C2295" t="inlineStr">
        <is>
          <t>ADMINISTRADORA DE CONSORCIO RCI BRASIL LTDA</t>
        </is>
      </c>
    </row>
    <row r="2296">
      <c r="B2296" s="55" t="inlineStr">
        <is>
          <t>73.230.674/0001-56</t>
        </is>
      </c>
      <c r="C2296" t="inlineStr">
        <is>
          <t>ADMINISTRADORA DE CONSORCIO RCI BRASIL LTDA</t>
        </is>
      </c>
    </row>
    <row r="2297">
      <c r="B2297" s="55" t="inlineStr">
        <is>
          <t>73.410.326/0055-53</t>
        </is>
      </c>
      <c r="C2297" t="inlineStr">
        <is>
          <t>CERVEJARIA PETROPOLIS S/A - EM RECUPERACAO JUDICIAL</t>
        </is>
      </c>
    </row>
    <row r="2298">
      <c r="B2298" s="55" t="inlineStr">
        <is>
          <t>73.445.454/0005-73</t>
        </is>
      </c>
      <c r="C2298" t="inlineStr">
        <is>
          <t>MARTIPLAST INDUSTRIA E COMERCIO DE PLASTICOS LTDA</t>
        </is>
      </c>
    </row>
    <row r="2299">
      <c r="B2299" s="55" t="inlineStr">
        <is>
          <t>73.690.653/0001-13</t>
        </is>
      </c>
      <c r="C2299" t="inlineStr">
        <is>
          <t>AMO PROMO VIAGENS E TURISMO LTDA</t>
        </is>
      </c>
    </row>
    <row r="2300">
      <c r="B2300" s="55" t="inlineStr">
        <is>
          <t>73.690.653/0001-13</t>
        </is>
      </c>
      <c r="C2300" t="inlineStr">
        <is>
          <t>AMO PROMO VIAGENS E TURISMO LTDA</t>
        </is>
      </c>
    </row>
    <row r="2301">
      <c r="B2301" s="55" t="inlineStr">
        <is>
          <t>73.690.653/0001-13</t>
        </is>
      </c>
      <c r="C2301" t="inlineStr">
        <is>
          <t>AMO PROMO VIAGENS E TURISMO LTDA</t>
        </is>
      </c>
    </row>
    <row r="2302">
      <c r="B2302" s="55" t="inlineStr">
        <is>
          <t>73.846.347/0001-23</t>
        </is>
      </c>
      <c r="C2302" t="inlineStr">
        <is>
          <t>DANIELA TOMBINI INDUSTRIA E COMERCIO DE CONFECCOES LTDA</t>
        </is>
      </c>
    </row>
    <row r="2303">
      <c r="B2303" s="55" t="inlineStr">
        <is>
          <t>73.846.347/0001-23</t>
        </is>
      </c>
      <c r="C2303" t="inlineStr">
        <is>
          <t>DANIELA TOMBINI INDUSTRIA E COMERCIO DE CONFECCOES LTDA</t>
        </is>
      </c>
    </row>
    <row r="2304">
      <c r="B2304" s="55" t="inlineStr">
        <is>
          <t>73.846.347/0001-23</t>
        </is>
      </c>
      <c r="C2304" t="inlineStr">
        <is>
          <t>DANIELA TOMBINI INDUSTRIA E COMERCIO DE CONFECCOES LTDA</t>
        </is>
      </c>
    </row>
    <row r="2305">
      <c r="B2305" s="55" t="inlineStr">
        <is>
          <t>73.846.347/0001-23</t>
        </is>
      </c>
      <c r="C2305" t="inlineStr">
        <is>
          <t>DANIELA TOMBINI INDUSTRIA E COMERCIO DE CONFECCOES LTDA</t>
        </is>
      </c>
    </row>
    <row r="2306">
      <c r="B2306" s="55" t="inlineStr">
        <is>
          <t>74.052.085/0019-17</t>
        </is>
      </c>
      <c r="C2306" t="inlineStr">
        <is>
          <t>HOT SAT TELECOMUNICACOES LTDA</t>
        </is>
      </c>
    </row>
    <row r="2307">
      <c r="B2307" s="55" t="inlineStr">
        <is>
          <t>74.052.085/0019-17</t>
        </is>
      </c>
      <c r="C2307" t="inlineStr">
        <is>
          <t>HOT SAT TELECOMUNICACOES LTDA</t>
        </is>
      </c>
    </row>
    <row r="2308">
      <c r="B2308" s="55" t="inlineStr">
        <is>
          <t>74.052.085/0019-17</t>
        </is>
      </c>
      <c r="C2308" t="inlineStr">
        <is>
          <t>HOT SAT TELECOMUNICACOES LTDA</t>
        </is>
      </c>
    </row>
    <row r="2309">
      <c r="B2309" s="55" t="inlineStr">
        <is>
          <t>74.072.513/0001-44</t>
        </is>
      </c>
      <c r="C2309" t="inlineStr">
        <is>
          <t>AGRO-COMERCIAL AFUBRA LTDA</t>
        </is>
      </c>
    </row>
    <row r="2310">
      <c r="B2310" s="55" t="inlineStr">
        <is>
          <t>74.261.884/0001-74</t>
        </is>
      </c>
      <c r="C2310" t="inlineStr">
        <is>
          <t>CROCS BRASIL COMERCIO DE CALCADOS LTDA.</t>
        </is>
      </c>
    </row>
    <row r="2311">
      <c r="B2311" s="55" t="inlineStr">
        <is>
          <t>74.590.373/0001-04</t>
        </is>
      </c>
      <c r="C2311" t="inlineStr">
        <is>
          <t>SHOPPING EDUCATIVO KUMON LTDA</t>
        </is>
      </c>
    </row>
    <row r="2312">
      <c r="B2312" s="55" t="inlineStr">
        <is>
          <t>74.607.839/0001-29</t>
        </is>
      </c>
      <c r="C2312" t="inlineStr">
        <is>
          <t>DIPECARR DISTRIBUIDORA DE PECAS E ACESSORIOS PARA CARRETAS LTDA</t>
        </is>
      </c>
    </row>
    <row r="2313">
      <c r="B2313" s="55" t="inlineStr">
        <is>
          <t>74.607.839/0001-29</t>
        </is>
      </c>
      <c r="C2313" t="inlineStr">
        <is>
          <t>DIPECARR DISTRIBUIDORA DE PECAS E ACESSORIOS PARA CARRETAS LTDA</t>
        </is>
      </c>
    </row>
    <row r="2314">
      <c r="B2314" s="55" t="inlineStr">
        <is>
          <t>74.607.839/0001-29</t>
        </is>
      </c>
      <c r="C2314" t="inlineStr">
        <is>
          <t>DIPECARR DISTRIBUIDORA DE PECAS E ACESSORIOS PARA CARRETAS LTDA</t>
        </is>
      </c>
    </row>
    <row r="2315">
      <c r="B2315" s="55" t="inlineStr">
        <is>
          <t>74.607.839/0001-29</t>
        </is>
      </c>
      <c r="C2315" t="inlineStr">
        <is>
          <t>DIPECARR DISTRIBUIDORA DE PECAS E ACESSORIOS PARA CARRETAS LTDA</t>
        </is>
      </c>
    </row>
    <row r="2316">
      <c r="B2316" s="55" t="inlineStr">
        <is>
          <t>74.607.839/0001-29</t>
        </is>
      </c>
      <c r="C2316" t="inlineStr">
        <is>
          <t>DIPECARR DISTRIBUIDORA DE PECAS E ACESSORIOS PARA CARRETAS LTDA</t>
        </is>
      </c>
    </row>
    <row r="2317">
      <c r="B2317" s="55" t="inlineStr">
        <is>
          <t>74.607.839/0001-29</t>
        </is>
      </c>
      <c r="C2317" t="inlineStr">
        <is>
          <t>DIPECARR DISTRIBUIDORA DE PECAS E ACESSORIOS PARA CARRETAS LTDA</t>
        </is>
      </c>
    </row>
    <row r="2318">
      <c r="B2318" s="55" t="inlineStr">
        <is>
          <t>75.315.333/0001-09</t>
        </is>
      </c>
      <c r="C2318" t="inlineStr">
        <is>
          <t>ATACADAO S.A.</t>
        </is>
      </c>
    </row>
    <row r="2319">
      <c r="B2319" s="55" t="inlineStr">
        <is>
          <t>75.315.333/0001-09</t>
        </is>
      </c>
      <c r="C2319" t="inlineStr">
        <is>
          <t>ATACADAO S.A.</t>
        </is>
      </c>
    </row>
    <row r="2320">
      <c r="B2320" s="55" t="inlineStr">
        <is>
          <t>75.364.570/0007-55</t>
        </is>
      </c>
      <c r="C2320" t="inlineStr">
        <is>
          <t>AMC TEXTIL LTDA</t>
        </is>
      </c>
    </row>
    <row r="2321">
      <c r="B2321" s="55" t="inlineStr">
        <is>
          <t>75.364.570/0007-55</t>
        </is>
      </c>
      <c r="C2321" t="inlineStr">
        <is>
          <t>AMC TEXTIL LTDA</t>
        </is>
      </c>
    </row>
    <row r="2322">
      <c r="B2322" s="55" t="inlineStr">
        <is>
          <t>75.364.570/0007-55</t>
        </is>
      </c>
      <c r="C2322" t="inlineStr">
        <is>
          <t>AMC TEXTIL LTDA</t>
        </is>
      </c>
    </row>
    <row r="2323">
      <c r="B2323" s="55" t="inlineStr">
        <is>
          <t>75.923.185/0001-05</t>
        </is>
      </c>
      <c r="C2323" t="inlineStr">
        <is>
          <t>VALDAR MOVEIS LTDA</t>
        </is>
      </c>
    </row>
    <row r="2324">
      <c r="B2324" s="55" t="inlineStr">
        <is>
          <t>76.541.127/0001-80</t>
        </is>
      </c>
      <c r="C2324" t="inlineStr">
        <is>
          <t>MEGA EVENTOS E PRODUCOES LTDA</t>
        </is>
      </c>
    </row>
    <row r="2325">
      <c r="B2325" s="55" t="inlineStr">
        <is>
          <t>76.541.127/0001-80</t>
        </is>
      </c>
      <c r="C2325" t="inlineStr">
        <is>
          <t>MEGA EVENTOS E PRODUCOES LTDA</t>
        </is>
      </c>
    </row>
    <row r="2326">
      <c r="B2326" s="55" t="inlineStr">
        <is>
          <t>76.657.030/0001-37</t>
        </is>
      </c>
      <c r="C2326" t="inlineStr">
        <is>
          <t>BARION INDUSTRIA E COMERCIO DE ALIMENTOS S/A EM RECUPERACAO JUDICIAL</t>
        </is>
      </c>
    </row>
    <row r="2327">
      <c r="B2327" s="55" t="inlineStr">
        <is>
          <t>76.659.820/0003-13</t>
        </is>
      </c>
      <c r="C2327" t="inlineStr">
        <is>
          <t>ASSOCIACAO PARANAENSE DE CULTURA - APC</t>
        </is>
      </c>
    </row>
    <row r="2328">
      <c r="B2328" s="55" t="inlineStr">
        <is>
          <t>77.044.618/0001-88</t>
        </is>
      </c>
      <c r="C2328" t="inlineStr">
        <is>
          <t>BALAROTI - COMERCIO DE MATERIAIS DE CONSTRUCAO S.A.</t>
        </is>
      </c>
    </row>
    <row r="2329">
      <c r="B2329" s="55" t="inlineStr">
        <is>
          <t>77.044.618/0001-88</t>
        </is>
      </c>
      <c r="C2329" t="inlineStr">
        <is>
          <t>BALAROTI - COMERCIO DE MATERIAIS DE CONSTRUCAO S.A.</t>
        </is>
      </c>
    </row>
    <row r="2330">
      <c r="B2330" s="55" t="inlineStr">
        <is>
          <t>77.373.025/0001-65</t>
        </is>
      </c>
      <c r="C2330" t="inlineStr">
        <is>
          <t>FARMACIA DERMATOLOGICA LTDA</t>
        </is>
      </c>
    </row>
    <row r="2331">
      <c r="B2331" s="55" t="inlineStr">
        <is>
          <t>77.373.025/0001-65</t>
        </is>
      </c>
      <c r="C2331" t="inlineStr">
        <is>
          <t>FARMACIA DERMATOLOGICA LTDA</t>
        </is>
      </c>
    </row>
    <row r="2332">
      <c r="B2332" s="55" t="inlineStr">
        <is>
          <t>77.424.992/0002-90</t>
        </is>
      </c>
      <c r="C2332" t="inlineStr">
        <is>
          <t>AGUATIVA GOLF RESORT S/A</t>
        </is>
      </c>
    </row>
    <row r="2333">
      <c r="B2333" s="55" t="inlineStr">
        <is>
          <t>77.488.385/0001-02</t>
        </is>
      </c>
      <c r="C2333" t="inlineStr">
        <is>
          <t>COSTAFERRO COSTA TEIXEIRA FERRO E ACO LTDA</t>
        </is>
      </c>
    </row>
    <row r="2334">
      <c r="B2334" s="55" t="inlineStr">
        <is>
          <t>77.488.385/0001-02</t>
        </is>
      </c>
      <c r="C2334" t="inlineStr">
        <is>
          <t>COSTAFERRO COSTA TEIXEIRA FERRO E ACO LTDA</t>
        </is>
      </c>
    </row>
    <row r="2335">
      <c r="B2335" s="55" t="inlineStr">
        <is>
          <t>77.488.385/0001-02</t>
        </is>
      </c>
      <c r="C2335" t="inlineStr">
        <is>
          <t>COSTAFERRO COSTA TEIXEIRA FERRO E ACO LTDA</t>
        </is>
      </c>
    </row>
    <row r="2336">
      <c r="B2336" s="55" t="inlineStr">
        <is>
          <t>77.488.385/0001-02</t>
        </is>
      </c>
      <c r="C2336" t="inlineStr">
        <is>
          <t>COSTAFERRO COSTA TEIXEIRA FERRO E ACO LTDA</t>
        </is>
      </c>
    </row>
    <row r="2337">
      <c r="B2337" s="55" t="inlineStr">
        <is>
          <t>77.488.385/0001-02</t>
        </is>
      </c>
      <c r="C2337" t="inlineStr">
        <is>
          <t>COSTAFERRO COSTA TEIXEIRA FERRO E ACO LTDA</t>
        </is>
      </c>
    </row>
    <row r="2338">
      <c r="B2338" s="55" t="inlineStr">
        <is>
          <t>77.500.049/0003-08</t>
        </is>
      </c>
      <c r="C2338" t="inlineStr">
        <is>
          <t>MERCADOMOVEIS LTDA</t>
        </is>
      </c>
    </row>
    <row r="2339">
      <c r="B2339" s="55" t="inlineStr">
        <is>
          <t>77.941.490/0001-55</t>
        </is>
      </c>
      <c r="C2339" t="inlineStr">
        <is>
          <t>GAZIN INDUSTRIA E COMERCIO DE MOVEIS E ELETRODOMESTICOS S.A</t>
        </is>
      </c>
    </row>
    <row r="2340">
      <c r="B2340" s="55" t="inlineStr">
        <is>
          <t>77.941.490/0001-55</t>
        </is>
      </c>
      <c r="C2340" t="inlineStr">
        <is>
          <t>GAZIN INDUSTRIA E COMERCIO DE MOVEIS E ELETRODOMESTICOS S.A</t>
        </is>
      </c>
    </row>
    <row r="2341">
      <c r="B2341" s="55" t="inlineStr">
        <is>
          <t>77.941.490/0001-55</t>
        </is>
      </c>
      <c r="C2341" t="inlineStr">
        <is>
          <t>GAZIN INDUSTRIA E COMERCIO DE MOVEIS E ELETRODOMESTICOS S.A</t>
        </is>
      </c>
    </row>
    <row r="2342">
      <c r="B2342" s="55" t="inlineStr">
        <is>
          <t>77.941.490/0001-55</t>
        </is>
      </c>
      <c r="C2342" t="inlineStr">
        <is>
          <t>GAZIN INDUSTRIA E COMERCIO DE MOVEIS E ELETRODOMESTICOS S.A</t>
        </is>
      </c>
    </row>
    <row r="2343">
      <c r="B2343" s="55" t="inlineStr">
        <is>
          <t>77.941.490/0001-55</t>
        </is>
      </c>
      <c r="C2343" t="inlineStr">
        <is>
          <t>GAZIN INDUSTRIA E COMERCIO DE MOVEIS E ELETRODOMESTICOS S.A</t>
        </is>
      </c>
    </row>
    <row r="2344">
      <c r="B2344" s="55" t="inlineStr">
        <is>
          <t>77.941.490/0001-55</t>
        </is>
      </c>
      <c r="C2344" t="inlineStr">
        <is>
          <t>GAZIN INDUSTRIA E COMERCIO DE MOVEIS E ELETRODOMESTICOS S.A</t>
        </is>
      </c>
    </row>
    <row r="2345">
      <c r="B2345" s="55" t="inlineStr">
        <is>
          <t>78.333.051/0001-22</t>
        </is>
      </c>
      <c r="C2345" t="inlineStr">
        <is>
          <t>FLAVIO ANTERO ROXO FARMACIA LTDA</t>
        </is>
      </c>
    </row>
    <row r="2346">
      <c r="B2346" s="55" t="inlineStr">
        <is>
          <t>78.333.051/0001-22</t>
        </is>
      </c>
      <c r="C2346" t="inlineStr">
        <is>
          <t>FLAVIO ANTERO ROXO FARMACIA LTDA</t>
        </is>
      </c>
    </row>
    <row r="2347">
      <c r="B2347" s="55" t="inlineStr">
        <is>
          <t>78.333.051/0001-22</t>
        </is>
      </c>
      <c r="C2347" t="inlineStr">
        <is>
          <t>FLAVIO ANTERO ROXO FARMACIA LTDA</t>
        </is>
      </c>
    </row>
    <row r="2348">
      <c r="B2348" s="55" t="inlineStr">
        <is>
          <t>78.613.841/0001-61</t>
        </is>
      </c>
      <c r="C2348" t="inlineStr">
        <is>
          <t>ASSOCIACAO EVANGELICA BENEFICENTE DE LONDRINA</t>
        </is>
      </c>
    </row>
    <row r="2349">
      <c r="B2349" s="55" t="inlineStr">
        <is>
          <t>78.613.841/0001-61</t>
        </is>
      </c>
      <c r="C2349" t="inlineStr">
        <is>
          <t>ASSOCIACAO EVANGELICA BENEFICENTE DE LONDRINA</t>
        </is>
      </c>
    </row>
    <row r="2350">
      <c r="B2350" s="55" t="inlineStr">
        <is>
          <t>79.080.602/0021-08</t>
        </is>
      </c>
      <c r="C2350" t="inlineStr">
        <is>
          <t>UNIAO SUL BRASILEIRA DA IGREJA ADVENTISTA DO SETIMO DIA</t>
        </is>
      </c>
    </row>
    <row r="2351">
      <c r="B2351" s="55" t="inlineStr">
        <is>
          <t>79.427.696/0001-97</t>
        </is>
      </c>
      <c r="C2351" t="inlineStr">
        <is>
          <t>CHARRY - INDUSTRIA E COMERCIO DE CONFECCOES LTDA</t>
        </is>
      </c>
    </row>
    <row r="2352">
      <c r="B2352" s="55" t="inlineStr">
        <is>
          <t>79.491.650/0001-37</t>
        </is>
      </c>
      <c r="C2352" t="inlineStr">
        <is>
          <t>FARMACIA GRASIANE LTDA</t>
        </is>
      </c>
    </row>
    <row r="2353">
      <c r="B2353" s="55" t="inlineStr">
        <is>
          <t>79.491.650/0001-37</t>
        </is>
      </c>
      <c r="C2353" t="inlineStr">
        <is>
          <t>FARMACIA GRASIANE LTDA</t>
        </is>
      </c>
    </row>
    <row r="2354">
      <c r="B2354" s="55" t="inlineStr">
        <is>
          <t>79.491.650/0001-37</t>
        </is>
      </c>
      <c r="C2354" t="inlineStr">
        <is>
          <t>FARMACIA GRASIANE LTDA</t>
        </is>
      </c>
    </row>
    <row r="2355">
      <c r="B2355" s="55" t="inlineStr">
        <is>
          <t>79.565.180/0002-90</t>
        </is>
      </c>
      <c r="C2355" t="inlineStr">
        <is>
          <t>SAN JUAN HOTEIS E EMPREENDIMENTOS LTDA</t>
        </is>
      </c>
    </row>
    <row r="2356">
      <c r="B2356" s="55" t="inlineStr">
        <is>
          <t>79.644.845/0001-70</t>
        </is>
      </c>
      <c r="C2356" t="inlineStr">
        <is>
          <t>FARMACIA DALILA LTDA</t>
        </is>
      </c>
    </row>
    <row r="2357">
      <c r="B2357" s="55" t="inlineStr">
        <is>
          <t>79.644.845/0001-70</t>
        </is>
      </c>
      <c r="C2357" t="inlineStr">
        <is>
          <t>FARMACIA DALILA LTDA</t>
        </is>
      </c>
    </row>
    <row r="2358">
      <c r="B2358" s="55" t="inlineStr">
        <is>
          <t>79.644.845/0001-70</t>
        </is>
      </c>
      <c r="C2358" t="inlineStr">
        <is>
          <t>FARMACIA DALILA LTDA</t>
        </is>
      </c>
    </row>
    <row r="2359">
      <c r="B2359" s="55" t="inlineStr">
        <is>
          <t>81.170.003/0001-75</t>
        </is>
      </c>
      <c r="C2359" t="inlineStr">
        <is>
          <t>UNIMED DE CASCAVEL - COOPERATIVA DE TRABALHO MEDICO</t>
        </is>
      </c>
    </row>
    <row r="2360">
      <c r="B2360" s="55" t="inlineStr">
        <is>
          <t>81.170.003/0001-75</t>
        </is>
      </c>
      <c r="C2360" t="inlineStr">
        <is>
          <t>UNIMED DE CASCAVEL - COOPERATIVA DE TRABALHO MEDICO</t>
        </is>
      </c>
    </row>
    <row r="2361">
      <c r="B2361" s="55" t="inlineStr">
        <is>
          <t>82.113.515/0001-62</t>
        </is>
      </c>
      <c r="C2361" t="inlineStr">
        <is>
          <t>VOLPHI FARMACIA E DROGARIA LTDA</t>
        </is>
      </c>
    </row>
    <row r="2362">
      <c r="B2362" s="55" t="inlineStr">
        <is>
          <t>82.113.515/0001-62</t>
        </is>
      </c>
      <c r="C2362" t="inlineStr">
        <is>
          <t>VOLPHI FARMACIA E DROGARIA LTDA</t>
        </is>
      </c>
    </row>
    <row r="2363">
      <c r="B2363" s="55" t="inlineStr">
        <is>
          <t>82.132.556/0007-91</t>
        </is>
      </c>
      <c r="C2363" t="inlineStr">
        <is>
          <t>LOJAS ADELINO LTDA</t>
        </is>
      </c>
    </row>
    <row r="2364">
      <c r="B2364" s="55" t="inlineStr">
        <is>
          <t>82.132.556/0007-91</t>
        </is>
      </c>
      <c r="C2364" t="inlineStr">
        <is>
          <t>LOJAS ADELINO LTDA</t>
        </is>
      </c>
    </row>
    <row r="2365">
      <c r="B2365" s="55" t="inlineStr">
        <is>
          <t>82.200.205/0001-85</t>
        </is>
      </c>
      <c r="C2365" t="inlineStr">
        <is>
          <t>FARMACIA FENELON LTDA</t>
        </is>
      </c>
    </row>
    <row r="2366">
      <c r="B2366" s="55" t="inlineStr">
        <is>
          <t>82.200.205/0001-85</t>
        </is>
      </c>
      <c r="C2366" t="inlineStr">
        <is>
          <t>FARMACIA FENELON LTDA</t>
        </is>
      </c>
    </row>
    <row r="2367">
      <c r="B2367" s="55" t="inlineStr">
        <is>
          <t>82.200.205/0001-85</t>
        </is>
      </c>
      <c r="C2367" t="inlineStr">
        <is>
          <t>FARMACIA FENELON LTDA</t>
        </is>
      </c>
    </row>
    <row r="2368">
      <c r="B2368" s="55" t="inlineStr">
        <is>
          <t>82.641.325/0001-18</t>
        </is>
      </c>
      <c r="C2368" t="inlineStr">
        <is>
          <t>CREMER S.A.</t>
        </is>
      </c>
    </row>
    <row r="2369">
      <c r="B2369" s="55" t="inlineStr">
        <is>
          <t>82.682.584/0001-97</t>
        </is>
      </c>
      <c r="C2369" t="inlineStr">
        <is>
          <t>TADEU IMOTO &amp; CIA LTDA</t>
        </is>
      </c>
    </row>
    <row r="2370">
      <c r="B2370" s="55" t="inlineStr">
        <is>
          <t>82.682.584/0001-97</t>
        </is>
      </c>
      <c r="C2370" t="inlineStr">
        <is>
          <t>TADEU IMOTO &amp; CIA LTDA</t>
        </is>
      </c>
    </row>
    <row r="2371">
      <c r="B2371" s="55" t="inlineStr">
        <is>
          <t>82.682.584/0001-97</t>
        </is>
      </c>
      <c r="C2371" t="inlineStr">
        <is>
          <t>TADEU IMOTO &amp; CIA LTDA</t>
        </is>
      </c>
    </row>
    <row r="2372">
      <c r="B2372" s="55" t="inlineStr">
        <is>
          <t>82.833.559/0001-67</t>
        </is>
      </c>
      <c r="C2372" t="inlineStr">
        <is>
          <t>MECANICA DE VEICULOS PICARRAS LTDA</t>
        </is>
      </c>
    </row>
    <row r="2373">
      <c r="B2373" s="55" t="inlineStr">
        <is>
          <t>82.833.559/0001-67</t>
        </is>
      </c>
      <c r="C2373" t="inlineStr">
        <is>
          <t>MECANICA DE VEICULOS PICARRAS LTDA</t>
        </is>
      </c>
    </row>
    <row r="2374">
      <c r="B2374" s="55" t="inlineStr">
        <is>
          <t>83.115.048/0001-72</t>
        </is>
      </c>
      <c r="C2374" t="inlineStr">
        <is>
          <t>HOTEL GUMZ LTDA</t>
        </is>
      </c>
    </row>
    <row r="2375">
      <c r="B2375" s="55" t="inlineStr">
        <is>
          <t>83.115.048/0001-72</t>
        </is>
      </c>
      <c r="C2375" t="inlineStr">
        <is>
          <t>HOTEL GUMZ LTDA</t>
        </is>
      </c>
    </row>
    <row r="2376">
      <c r="B2376" s="55" t="inlineStr">
        <is>
          <t>83.310.441/0054-29</t>
        </is>
      </c>
      <c r="C2376" t="inlineStr">
        <is>
          <t>COOPERATIVA CENTRAL AURORA ALIMENTOS</t>
        </is>
      </c>
    </row>
    <row r="2377">
      <c r="B2377" s="55" t="inlineStr">
        <is>
          <t>83.310.441/0054-29</t>
        </is>
      </c>
      <c r="C2377" t="inlineStr">
        <is>
          <t>COOPERATIVA CENTRAL AURORA ALIMENTOS</t>
        </is>
      </c>
    </row>
    <row r="2378">
      <c r="B2378" s="55" t="inlineStr">
        <is>
          <t>83.310.441/0054-29</t>
        </is>
      </c>
      <c r="C2378" t="inlineStr">
        <is>
          <t>COOPERATIVA CENTRAL AURORA ALIMENTOS</t>
        </is>
      </c>
    </row>
    <row r="2379">
      <c r="B2379" s="55" t="inlineStr">
        <is>
          <t>83.310.441/0054-29</t>
        </is>
      </c>
      <c r="C2379" t="inlineStr">
        <is>
          <t>COOPERATIVA CENTRAL AURORA ALIMENTOS</t>
        </is>
      </c>
    </row>
    <row r="2380">
      <c r="B2380" s="55" t="inlineStr">
        <is>
          <t>83.310.441/0054-29</t>
        </is>
      </c>
      <c r="C2380" t="inlineStr">
        <is>
          <t>COOPERATIVA CENTRAL AURORA ALIMENTOS</t>
        </is>
      </c>
    </row>
    <row r="2381">
      <c r="B2381" s="55" t="inlineStr">
        <is>
          <t>83.310.441/0054-29</t>
        </is>
      </c>
      <c r="C2381" t="inlineStr">
        <is>
          <t>COOPERATIVA CENTRAL AURORA ALIMENTOS</t>
        </is>
      </c>
    </row>
    <row r="2382">
      <c r="B2382" s="55" t="inlineStr">
        <is>
          <t>83.310.441/0054-29</t>
        </is>
      </c>
      <c r="C2382" t="inlineStr">
        <is>
          <t>COOPERATIVA CENTRAL AURORA ALIMENTOS</t>
        </is>
      </c>
    </row>
    <row r="2383">
      <c r="B2383" s="55" t="inlineStr">
        <is>
          <t>83.310.441/0054-29</t>
        </is>
      </c>
      <c r="C2383" t="inlineStr">
        <is>
          <t>COOPERATIVA CENTRAL AURORA ALIMENTOS</t>
        </is>
      </c>
    </row>
    <row r="2384">
      <c r="B2384" s="55" t="inlineStr">
        <is>
          <t>83.494.427/0001-10</t>
        </is>
      </c>
      <c r="C2384" t="inlineStr">
        <is>
          <t>FARMED COMERCIO DE MEDICAMENTOS E PERFUMARIAS LTDA</t>
        </is>
      </c>
    </row>
    <row r="2385">
      <c r="B2385" s="55" t="inlineStr">
        <is>
          <t>83.494.427/0001-10</t>
        </is>
      </c>
      <c r="C2385" t="inlineStr">
        <is>
          <t>FARMED COMERCIO DE MEDICAMENTOS E PERFUMARIAS LTDA</t>
        </is>
      </c>
    </row>
    <row r="2386">
      <c r="B2386" s="55" t="inlineStr">
        <is>
          <t>83.648.477/0001-05</t>
        </is>
      </c>
      <c r="C2386" t="inlineStr">
        <is>
          <t>GIASSI &amp; CIA LTDA</t>
        </is>
      </c>
    </row>
    <row r="2387">
      <c r="B2387" s="55" t="inlineStr">
        <is>
          <t>83.648.477/0001-05</t>
        </is>
      </c>
      <c r="C2387" t="inlineStr">
        <is>
          <t>GIASSI &amp; CIA LTDA</t>
        </is>
      </c>
    </row>
    <row r="2388">
      <c r="B2388" s="55" t="inlineStr">
        <is>
          <t>83.648.477/0001-05</t>
        </is>
      </c>
      <c r="C2388" t="inlineStr">
        <is>
          <t>GIASSI &amp; CIA LTDA</t>
        </is>
      </c>
    </row>
    <row r="2389">
      <c r="B2389" s="55" t="inlineStr">
        <is>
          <t>84.046.101/0001-93</t>
        </is>
      </c>
      <c r="C2389" t="inlineStr">
        <is>
          <t>BUNGE ALIMENTOS S/A</t>
        </is>
      </c>
    </row>
    <row r="2390">
      <c r="B2390" s="55" t="inlineStr">
        <is>
          <t>84.046.101/0001-93</t>
        </is>
      </c>
      <c r="C2390" t="inlineStr">
        <is>
          <t>BUNGE ALIMENTOS S/A</t>
        </is>
      </c>
    </row>
    <row r="2391">
      <c r="B2391" s="55" t="inlineStr">
        <is>
          <t>84.046.101/0001-93</t>
        </is>
      </c>
      <c r="C2391" t="inlineStr">
        <is>
          <t>BUNGE ALIMENTOS S/A</t>
        </is>
      </c>
    </row>
    <row r="2392">
      <c r="B2392" s="55" t="inlineStr">
        <is>
          <t>84.932.979/0013-60</t>
        </is>
      </c>
      <c r="C2392" t="inlineStr">
        <is>
          <t>BONA FARMA LTDA</t>
        </is>
      </c>
    </row>
    <row r="2393">
      <c r="B2393" s="55" t="inlineStr">
        <is>
          <t>84.932.979/0013-60</t>
        </is>
      </c>
      <c r="C2393" t="inlineStr">
        <is>
          <t>BONA FARMA LTDA</t>
        </is>
      </c>
    </row>
    <row r="2394">
      <c r="B2394" s="55" t="inlineStr">
        <is>
          <t>84.932.979/0013-60</t>
        </is>
      </c>
      <c r="C2394" t="inlineStr">
        <is>
          <t>BONA FARMA LTDA</t>
        </is>
      </c>
    </row>
    <row r="2395">
      <c r="B2395" s="55" t="inlineStr">
        <is>
          <t>84.932.979/0013-60</t>
        </is>
      </c>
      <c r="C2395" t="inlineStr">
        <is>
          <t>BONA FARMA LTDA</t>
        </is>
      </c>
    </row>
    <row r="2396">
      <c r="B2396" s="55" t="inlineStr">
        <is>
          <t>85.248.987/0001-10</t>
        </is>
      </c>
      <c r="C2396" t="inlineStr">
        <is>
          <t>J.B.WORLD ENTRETENIMENTOS S/A</t>
        </is>
      </c>
    </row>
    <row r="2397">
      <c r="B2397" s="55" t="inlineStr">
        <is>
          <t>85.248.987/0001-10</t>
        </is>
      </c>
      <c r="C2397" t="inlineStr">
        <is>
          <t>J.B.WORLD ENTRETENIMENTOS S/A</t>
        </is>
      </c>
    </row>
    <row r="2398">
      <c r="B2398" s="55" t="inlineStr">
        <is>
          <t>85.248.987/0001-10</t>
        </is>
      </c>
      <c r="C2398" t="inlineStr">
        <is>
          <t>J.B.WORLD ENTRETENIMENTOS S/A</t>
        </is>
      </c>
    </row>
    <row r="2399">
      <c r="B2399" s="55" t="inlineStr">
        <is>
          <t>86.852.613/0001-72</t>
        </is>
      </c>
      <c r="C2399" t="inlineStr">
        <is>
          <t>REDE DROGARIAS ULTRA POPULAR LTDA</t>
        </is>
      </c>
    </row>
    <row r="2400">
      <c r="B2400" s="55" t="inlineStr">
        <is>
          <t>86.852.613/0001-72</t>
        </is>
      </c>
      <c r="C2400" t="inlineStr">
        <is>
          <t>REDE DROGARIAS ULTRA POPULAR LTDA</t>
        </is>
      </c>
    </row>
    <row r="2401">
      <c r="B2401" s="55" t="inlineStr">
        <is>
          <t>86.852.613/0002-53</t>
        </is>
      </c>
      <c r="C2401" t="inlineStr">
        <is>
          <t>REDE DROGARIAS ULTRA POPULAR LTDA</t>
        </is>
      </c>
    </row>
    <row r="2402">
      <c r="B2402" s="55" t="inlineStr">
        <is>
          <t>86.852.613/0002-53</t>
        </is>
      </c>
      <c r="C2402" t="inlineStr">
        <is>
          <t>REDE DROGARIAS ULTRA POPULAR LTDA</t>
        </is>
      </c>
    </row>
    <row r="2403">
      <c r="B2403" s="55" t="inlineStr">
        <is>
          <t>86.852.613/0003-34</t>
        </is>
      </c>
      <c r="C2403" t="inlineStr">
        <is>
          <t>REDE DROGARIAS ULTRA POPULAR LTDA</t>
        </is>
      </c>
    </row>
    <row r="2404">
      <c r="B2404" s="55" t="inlineStr">
        <is>
          <t>86.852.613/0003-34</t>
        </is>
      </c>
      <c r="C2404" t="inlineStr">
        <is>
          <t>REDE DROGARIAS ULTRA POPULAR LTDA</t>
        </is>
      </c>
    </row>
    <row r="2405">
      <c r="B2405" s="55" t="inlineStr">
        <is>
          <t>87.163.234/0001-38</t>
        </is>
      </c>
      <c r="C2405" t="inlineStr">
        <is>
          <t>SABEMI SEGURADORA SA</t>
        </is>
      </c>
    </row>
    <row r="2406">
      <c r="B2406" s="55" t="inlineStr">
        <is>
          <t>87.163.234/0001-38</t>
        </is>
      </c>
      <c r="C2406" t="inlineStr">
        <is>
          <t>SABEMI SEGURADORA SA</t>
        </is>
      </c>
    </row>
    <row r="2407">
      <c r="B2407" s="55" t="inlineStr">
        <is>
          <t>87.163.234/0001-38</t>
        </is>
      </c>
      <c r="C2407" t="inlineStr">
        <is>
          <t>SABEMI SEGURADORA SA</t>
        </is>
      </c>
    </row>
    <row r="2408">
      <c r="B2408" s="55" t="inlineStr">
        <is>
          <t>87.163.234/0001-38</t>
        </is>
      </c>
      <c r="C2408" t="inlineStr">
        <is>
          <t>SABEMI SEGURADORA SA</t>
        </is>
      </c>
    </row>
    <row r="2409">
      <c r="B2409" s="55" t="inlineStr">
        <is>
          <t>87.163.234/0001-38</t>
        </is>
      </c>
      <c r="C2409" t="inlineStr">
        <is>
          <t>SABEMI SEGURADORA SA</t>
        </is>
      </c>
    </row>
    <row r="2410">
      <c r="B2410" s="55" t="inlineStr">
        <is>
          <t>87.547.188/0001-70</t>
        </is>
      </c>
      <c r="C2410" t="inlineStr">
        <is>
          <t>COOPERATIVA VINICOLA AURORA LTDA</t>
        </is>
      </c>
    </row>
    <row r="2411">
      <c r="B2411" s="55" t="inlineStr">
        <is>
          <t>87.854.006/0002-95</t>
        </is>
      </c>
      <c r="C2411" t="inlineStr">
        <is>
          <t>CHOCOLATE CASEIRO GRAMADO LTDA</t>
        </is>
      </c>
    </row>
    <row r="2412">
      <c r="B2412" s="55" t="inlineStr">
        <is>
          <t>87.927.661/0001-45</t>
        </is>
      </c>
      <c r="C2412" t="inlineStr">
        <is>
          <t>DIMESUL - GESTAO IMOBILIARIA LTDA</t>
        </is>
      </c>
    </row>
    <row r="2413">
      <c r="B2413" s="55" t="inlineStr">
        <is>
          <t>88.082.837/0001-78</t>
        </is>
      </c>
      <c r="C2413" t="inlineStr">
        <is>
          <t>DENTI TECNOLOGIA DIGITAL LTDA</t>
        </is>
      </c>
    </row>
    <row r="2414">
      <c r="B2414" s="55" t="inlineStr">
        <is>
          <t>88.297.544/0001-08</t>
        </is>
      </c>
      <c r="C2414" t="inlineStr">
        <is>
          <t>CIMAFER COMERCIO DE MATERIAL CONSTRUCAO LTDA</t>
        </is>
      </c>
    </row>
    <row r="2415">
      <c r="B2415" s="55" t="inlineStr">
        <is>
          <t>88.297.544/0001-08</t>
        </is>
      </c>
      <c r="C2415" t="inlineStr">
        <is>
          <t>CIMAFER COMERCIO DE MATERIAL CONSTRUCAO LTDA</t>
        </is>
      </c>
    </row>
    <row r="2416">
      <c r="B2416" s="55" t="inlineStr">
        <is>
          <t>88.297.544/0001-08</t>
        </is>
      </c>
      <c r="C2416" t="inlineStr">
        <is>
          <t>CIMAFER COMERCIO DE MATERIAL CONSTRUCAO LTDA</t>
        </is>
      </c>
    </row>
    <row r="2417">
      <c r="B2417" s="55" t="inlineStr">
        <is>
          <t>88.613.922/0012-78</t>
        </is>
      </c>
      <c r="C2417" t="inlineStr">
        <is>
          <t>IMDEPA ROLAMENTOS IMPORTACAO E COMERCIO LTDA</t>
        </is>
      </c>
    </row>
    <row r="2418">
      <c r="B2418" s="55" t="inlineStr">
        <is>
          <t>88.887.021/0001-11</t>
        </is>
      </c>
      <c r="C2418" t="inlineStr">
        <is>
          <t>CALCADOS MARTE LTDA</t>
        </is>
      </c>
    </row>
    <row r="2419">
      <c r="B2419" s="55" t="inlineStr">
        <is>
          <t>88.887.021/0001-11</t>
        </is>
      </c>
      <c r="C2419" t="inlineStr">
        <is>
          <t>CALCADOS MARTE LTDA</t>
        </is>
      </c>
    </row>
    <row r="2420">
      <c r="B2420" s="55" t="inlineStr">
        <is>
          <t>89.777.692/0105-89</t>
        </is>
      </c>
      <c r="C2420" t="inlineStr">
        <is>
          <t>COOPERATIVA REGIONAL DE DESENVOLVIMENTO TEUTONIA - CERTEL</t>
        </is>
      </c>
    </row>
    <row r="2421">
      <c r="B2421" s="55" t="inlineStr">
        <is>
          <t>89.777.692/0105-89</t>
        </is>
      </c>
      <c r="C2421" t="inlineStr">
        <is>
          <t>COOPERATIVA REGIONAL DE DESENVOLVIMENTO TEUTONIA - CERTEL</t>
        </is>
      </c>
    </row>
    <row r="2422">
      <c r="B2422" s="55" t="inlineStr">
        <is>
          <t>90.627.332/0001-93</t>
        </is>
      </c>
      <c r="C2422" t="inlineStr">
        <is>
          <t>DISTRIBUIDORA MERIDIONAL DE MOTORES CUMMINS LTDA</t>
        </is>
      </c>
    </row>
    <row r="2423">
      <c r="B2423" s="55" t="inlineStr">
        <is>
          <t>90.627.332/0001-93</t>
        </is>
      </c>
      <c r="C2423" t="inlineStr">
        <is>
          <t>DISTRIBUIDORA MERIDIONAL DE MOTORES CUMMINS LTDA</t>
        </is>
      </c>
    </row>
    <row r="2424">
      <c r="B2424" s="55" t="inlineStr">
        <is>
          <t>90.627.332/0001-93</t>
        </is>
      </c>
      <c r="C2424" t="inlineStr">
        <is>
          <t>DISTRIBUIDORA MERIDIONAL DE MOTORES CUMMINS LTDA</t>
        </is>
      </c>
    </row>
    <row r="2425">
      <c r="B2425" s="55" t="inlineStr">
        <is>
          <t>91.362.590/0062-70</t>
        </is>
      </c>
      <c r="C2425" t="inlineStr">
        <is>
          <t>SOLAR COMERCIO E AGROINDUSTRIA LTDA</t>
        </is>
      </c>
    </row>
    <row r="2426">
      <c r="B2426" s="55" t="inlineStr">
        <is>
          <t>91.362.590/0062-70</t>
        </is>
      </c>
      <c r="C2426" t="inlineStr">
        <is>
          <t>SOLAR COMERCIO E AGROINDUSTRIA LTDA</t>
        </is>
      </c>
    </row>
    <row r="2427">
      <c r="B2427" s="55" t="inlineStr">
        <is>
          <t>91.362.590/0062-70</t>
        </is>
      </c>
      <c r="C2427" t="inlineStr">
        <is>
          <t>SOLAR COMERCIO E AGROINDUSTRIA LTDA</t>
        </is>
      </c>
    </row>
    <row r="2428">
      <c r="B2428" s="55" t="inlineStr">
        <is>
          <t>91.389.072/0001-28</t>
        </is>
      </c>
      <c r="C2428" t="inlineStr">
        <is>
          <t>J K PELES E CONFECCOES LTDA</t>
        </is>
      </c>
    </row>
    <row r="2429">
      <c r="B2429" s="55" t="inlineStr">
        <is>
          <t>91.495.549/0028-70</t>
        </is>
      </c>
      <c r="C2429" t="inlineStr">
        <is>
          <t>COTRIJAL COOPERATIVA AGROPECUARIA E INDUSTRIAL</t>
        </is>
      </c>
    </row>
    <row r="2430">
      <c r="B2430" s="55" t="inlineStr">
        <is>
          <t>91.982.496/0001-00</t>
        </is>
      </c>
      <c r="C2430" t="inlineStr">
        <is>
          <t>COTRIPAL AGROPECUARIA COOPERATIVA</t>
        </is>
      </c>
    </row>
    <row r="2431">
      <c r="B2431" s="55" t="inlineStr">
        <is>
          <t>91.982.496/0011-73</t>
        </is>
      </c>
      <c r="C2431" t="inlineStr">
        <is>
          <t>COTRIPAL AGROPECUARIA COOPERATIVA</t>
        </is>
      </c>
    </row>
    <row r="2432">
      <c r="B2432" s="55" t="inlineStr">
        <is>
          <t>92.306.257/0007-80</t>
        </is>
      </c>
      <c r="C2432" t="inlineStr">
        <is>
          <t>MV INFORMATICA NORDESTE LTDA</t>
        </is>
      </c>
    </row>
    <row r="2433">
      <c r="B2433" s="55" t="inlineStr">
        <is>
          <t>92.306.257/0007-80</t>
        </is>
      </c>
      <c r="C2433" t="inlineStr">
        <is>
          <t>MV INFORMATICA NORDESTE LTDA</t>
        </is>
      </c>
    </row>
    <row r="2434">
      <c r="B2434" s="55" t="inlineStr">
        <is>
          <t>92.502.210/0001-04</t>
        </is>
      </c>
      <c r="C2434" t="inlineStr">
        <is>
          <t>ERVATEIRA SEIVA PURA LTDA</t>
        </is>
      </c>
    </row>
    <row r="2435">
      <c r="B2435" s="55" t="inlineStr">
        <is>
          <t>92.502.210/0001-04</t>
        </is>
      </c>
      <c r="C2435" t="inlineStr">
        <is>
          <t>ERVATEIRA SEIVA PURA LTDA</t>
        </is>
      </c>
    </row>
    <row r="2436">
      <c r="B2436" s="55" t="inlineStr">
        <is>
          <t>92.665.611/0001-77</t>
        </is>
      </c>
      <c r="C2436" t="inlineStr">
        <is>
          <t>DIMED S/A - DISTRIBUIDORA DE MEDICAMENTOS</t>
        </is>
      </c>
    </row>
    <row r="2437">
      <c r="B2437" s="55" t="inlineStr">
        <is>
          <t>92.665.611/0001-77</t>
        </is>
      </c>
      <c r="C2437" t="inlineStr">
        <is>
          <t>DIMED S/A - DISTRIBUIDORA DE MEDICAMENTOS</t>
        </is>
      </c>
    </row>
    <row r="2438">
      <c r="B2438" s="55" t="inlineStr">
        <is>
          <t>92.665.611/0001-77</t>
        </is>
      </c>
      <c r="C2438" t="inlineStr">
        <is>
          <t>DIMED S/A - DISTRIBUIDORA DE MEDICAMENTOS</t>
        </is>
      </c>
    </row>
    <row r="2439">
      <c r="B2439" s="55" t="inlineStr">
        <is>
          <t>92.685.833/0001-51</t>
        </is>
      </c>
      <c r="C2439" t="inlineStr">
        <is>
          <t>ASSOCIACAO HOSPITALAR MOINHOS DE VENTO</t>
        </is>
      </c>
    </row>
    <row r="2440">
      <c r="B2440" s="55" t="inlineStr">
        <is>
          <t>92.954.106/0001-42</t>
        </is>
      </c>
      <c r="C2440" t="inlineStr">
        <is>
          <t>VIACAO OURO E PRATA SA</t>
        </is>
      </c>
    </row>
    <row r="2441">
      <c r="B2441" s="55" t="inlineStr">
        <is>
          <t>92.954.106/0001-42</t>
        </is>
      </c>
      <c r="C2441" t="inlineStr">
        <is>
          <t>VIACAO OURO E PRATA SA</t>
        </is>
      </c>
    </row>
    <row r="2442">
      <c r="B2442" s="55" t="inlineStr">
        <is>
          <t>92.954.106/0001-42</t>
        </is>
      </c>
      <c r="C2442" t="inlineStr">
        <is>
          <t>VIACAO OURO E PRATA SA</t>
        </is>
      </c>
    </row>
    <row r="2443">
      <c r="B2443" s="55" t="inlineStr">
        <is>
          <t>92.954.106/0001-42</t>
        </is>
      </c>
      <c r="C2443" t="inlineStr">
        <is>
          <t>VIACAO OURO E PRATA SA</t>
        </is>
      </c>
    </row>
    <row r="2444">
      <c r="B2444" s="55" t="inlineStr">
        <is>
          <t>92.954.106/0001-42</t>
        </is>
      </c>
      <c r="C2444" t="inlineStr">
        <is>
          <t>VIACAO OURO E PRATA SA</t>
        </is>
      </c>
    </row>
    <row r="2445">
      <c r="B2445" s="55" t="inlineStr">
        <is>
          <t>92.954.106/0001-42</t>
        </is>
      </c>
      <c r="C2445" t="inlineStr">
        <is>
          <t>VIACAO OURO E PRATA SA</t>
        </is>
      </c>
    </row>
    <row r="2446">
      <c r="B2446" s="55" t="inlineStr">
        <is>
          <t>92.954.106/0001-42</t>
        </is>
      </c>
      <c r="C2446" t="inlineStr">
        <is>
          <t>VIACAO OURO E PRATA SA</t>
        </is>
      </c>
    </row>
    <row r="2447">
      <c r="B2447" s="55" t="inlineStr">
        <is>
          <t>92.954.106/0001-42</t>
        </is>
      </c>
      <c r="C2447" t="inlineStr">
        <is>
          <t>VIACAO OURO E PRATA SA</t>
        </is>
      </c>
    </row>
    <row r="2448">
      <c r="B2448" s="55" t="inlineStr">
        <is>
          <t>94.673.480/0001-03</t>
        </is>
      </c>
      <c r="C2448" t="inlineStr">
        <is>
          <t>CAR HOUSE VEICULOS LTDA</t>
        </is>
      </c>
    </row>
    <row r="2449">
      <c r="B2449" s="55" t="inlineStr">
        <is>
          <t>94.673.480/0001-03</t>
        </is>
      </c>
      <c r="C2449" t="inlineStr">
        <is>
          <t>CAR HOUSE VEICULOS LTDA</t>
        </is>
      </c>
    </row>
    <row r="2450">
      <c r="B2450" s="55" t="inlineStr">
        <is>
          <t>94.673.480/0001-03</t>
        </is>
      </c>
      <c r="C2450" t="inlineStr">
        <is>
          <t>CAR HOUSE VEICULOS LTDA</t>
        </is>
      </c>
    </row>
    <row r="2451">
      <c r="B2451" s="55" t="inlineStr">
        <is>
          <t>94.865.680/0001-50</t>
        </is>
      </c>
      <c r="C2451" t="inlineStr">
        <is>
          <t>JALS COMERCIO DE CEREAIS LTDA</t>
        </is>
      </c>
    </row>
    <row r="2452">
      <c r="B2452" s="55" t="inlineStr">
        <is>
          <t>94.929.734/0001-01</t>
        </is>
      </c>
      <c r="C2452" t="inlineStr">
        <is>
          <t>GIORDANI TURISMO LTDA</t>
        </is>
      </c>
    </row>
    <row r="2453">
      <c r="B2453" s="55" t="inlineStr">
        <is>
          <t>94.929.734/0001-01</t>
        </is>
      </c>
      <c r="C2453" t="inlineStr">
        <is>
          <t>GIORDANI TURISMO LTDA</t>
        </is>
      </c>
    </row>
    <row r="2454">
      <c r="B2454" s="55" t="inlineStr">
        <is>
          <t>94.929.734/0001-01</t>
        </is>
      </c>
      <c r="C2454" t="inlineStr">
        <is>
          <t>GIORDANI TURISMO LTDA</t>
        </is>
      </c>
    </row>
    <row r="2455">
      <c r="B2455" s="55" t="inlineStr">
        <is>
          <t>94.929.734/0001-01</t>
        </is>
      </c>
      <c r="C2455" t="inlineStr">
        <is>
          <t>GIORDANI TURISMO LTDA</t>
        </is>
      </c>
    </row>
    <row r="2456">
      <c r="B2456" s="55" t="inlineStr">
        <is>
          <t>95.422.218/0001-40</t>
        </is>
      </c>
      <c r="C2456" t="inlineStr">
        <is>
          <t>METALURGICA MOR SA</t>
        </is>
      </c>
    </row>
    <row r="2457">
      <c r="B2457" s="55" t="inlineStr">
        <is>
          <t>95.422.218/0001-40</t>
        </is>
      </c>
      <c r="C2457" t="inlineStr">
        <is>
          <t>METALURGICA MOR SA</t>
        </is>
      </c>
    </row>
    <row r="2458">
      <c r="B2458" s="55" t="inlineStr">
        <is>
          <t>96.727.482/0001-55</t>
        </is>
      </c>
      <c r="C2458" t="inlineStr">
        <is>
          <t>FARME BRITO LTDA</t>
        </is>
      </c>
    </row>
    <row r="2459">
      <c r="B2459" s="55" t="inlineStr">
        <is>
          <t>96.727.482/0001-55</t>
        </is>
      </c>
      <c r="C2459" t="inlineStr">
        <is>
          <t>FARME BRITO LTDA</t>
        </is>
      </c>
    </row>
    <row r="2460">
      <c r="B2460" s="55" t="inlineStr">
        <is>
          <t>96.727.482/0001-55</t>
        </is>
      </c>
      <c r="C2460" t="inlineStr">
        <is>
          <t>FARME BRITO LTDA</t>
        </is>
      </c>
    </row>
    <row r="2461">
      <c r="B2461" s="55" t="inlineStr">
        <is>
          <t>97.512.966/0003-01</t>
        </is>
      </c>
      <c r="C2461" t="inlineStr">
        <is>
          <t>SCHEER CHURRASQUEIRAS E ACESSORIOS LTDA</t>
        </is>
      </c>
    </row>
    <row r="2462">
      <c r="B2462" s="55" t="inlineStr">
        <is>
          <t>97.512.966/0003-01</t>
        </is>
      </c>
      <c r="C2462" t="inlineStr">
        <is>
          <t>SCHEER CHURRASQUEIRAS E ACESSORIOS LTDA</t>
        </is>
      </c>
    </row>
    <row r="2463">
      <c r="B2463" s="55" t="inlineStr">
        <is>
          <t>97.533.479/0001-63</t>
        </is>
      </c>
      <c r="C2463" t="inlineStr">
        <is>
          <t>AQUABRAZIL OUTDOORS PESCA E NAUTICA LTDA</t>
        </is>
      </c>
    </row>
    <row r="2464">
      <c r="B2464" s="55" t="inlineStr">
        <is>
          <t>97.533.479/0001-63</t>
        </is>
      </c>
      <c r="C2464" t="inlineStr">
        <is>
          <t>AQUABRAZIL OUTDOORS PESCA E NAUTICA LTDA</t>
        </is>
      </c>
    </row>
    <row r="2465">
      <c r="B2465" t="inlineStr">
        <is>
          <t>00.000.000/0001-00</t>
        </is>
      </c>
      <c r="C2465" t="inlineStr">
        <is>
          <t>Cybersource S/A.</t>
        </is>
      </c>
    </row>
    <row r="2466">
      <c r="B2466" t="inlineStr">
        <is>
          <t>00.000.000/0001-00</t>
        </is>
      </c>
      <c r="C2466" t="inlineStr">
        <is>
          <t>Cybersource S/A.</t>
        </is>
      </c>
    </row>
    <row r="2467">
      <c r="B2467" t="inlineStr">
        <is>
          <t>00.000.000/0001-00</t>
        </is>
      </c>
      <c r="C2467" t="inlineStr">
        <is>
          <t>Cybersource S/A.</t>
        </is>
      </c>
    </row>
    <row r="2468">
      <c r="B2468" t="inlineStr">
        <is>
          <t>00.000.000/0001-00</t>
        </is>
      </c>
      <c r="C2468" t="inlineStr">
        <is>
          <t>Nestlé de Colombia S.A</t>
        </is>
      </c>
    </row>
    <row r="2469">
      <c r="B2469" t="inlineStr">
        <is>
          <t>00.000.000/0001-00</t>
        </is>
      </c>
      <c r="C2469" t="inlineStr">
        <is>
          <t>Nestlé de Colombia S.A</t>
        </is>
      </c>
    </row>
    <row r="2470">
      <c r="B2470" t="inlineStr">
        <is>
          <t>00.000.000/0001-00</t>
        </is>
      </c>
      <c r="C2470" t="inlineStr">
        <is>
          <t>Nestlé de Colombia S.A</t>
        </is>
      </c>
    </row>
    <row r="2471">
      <c r="B2471" t="inlineStr">
        <is>
          <t>00.027.571/0001-10</t>
        </is>
      </c>
      <c r="C2471" t="inlineStr">
        <is>
          <t>ASSIST CARD DO BRASIL LTDA</t>
        </is>
      </c>
    </row>
    <row r="2472">
      <c r="B2472" t="inlineStr">
        <is>
          <t>00.027.571/0001-10</t>
        </is>
      </c>
      <c r="C2472" t="inlineStr">
        <is>
          <t>ASSIST CARD DO BRASIL LTDA</t>
        </is>
      </c>
    </row>
    <row r="2473">
      <c r="B2473" t="inlineStr">
        <is>
          <t>00.027.571/0001-10</t>
        </is>
      </c>
      <c r="C2473" t="inlineStr">
        <is>
          <t>ASSIST CARD DO BRASIL LTDA</t>
        </is>
      </c>
    </row>
    <row r="2474">
      <c r="B2474" t="inlineStr">
        <is>
          <t>00.285.753/0001-90</t>
        </is>
      </c>
      <c r="C2474" t="inlineStr">
        <is>
          <t>VENANCIO PRODUTOS FARMACEUTICOS LTDA.</t>
        </is>
      </c>
    </row>
    <row r="2475">
      <c r="B2475" t="inlineStr">
        <is>
          <t>00.285.753/0001-90</t>
        </is>
      </c>
      <c r="C2475" t="inlineStr">
        <is>
          <t>VENANCIO PRODUTOS FARMACEUTICOS LTDA.</t>
        </is>
      </c>
    </row>
    <row r="2476">
      <c r="B2476" t="inlineStr">
        <is>
          <t>00.285.753/0001-90</t>
        </is>
      </c>
      <c r="C2476" t="inlineStr">
        <is>
          <t>VENANCIO PRODUTOS FARMACEUTICOS LTDA.</t>
        </is>
      </c>
    </row>
    <row r="2477">
      <c r="B2477" t="inlineStr">
        <is>
          <t>00.292.858/0001-77</t>
        </is>
      </c>
      <c r="C2477" t="inlineStr">
        <is>
          <t>HERBALIFE INTERNATIONAL DO BRASIL LTDA</t>
        </is>
      </c>
    </row>
    <row r="2478">
      <c r="B2478" t="inlineStr">
        <is>
          <t>00.292.858/0001-77</t>
        </is>
      </c>
      <c r="C2478" t="inlineStr">
        <is>
          <t>HERBALIFE INTERNATIONAL DO BRASIL LTDA</t>
        </is>
      </c>
    </row>
    <row r="2479">
      <c r="B2479" t="inlineStr">
        <is>
          <t>00.415.789/0001-41</t>
        </is>
      </c>
      <c r="C2479" t="inlineStr">
        <is>
          <t>E REALIZACOES EDITORA, LIVRARIA E DISTRIBUIDORA LTDA - EM LIQUIDACAO EM LIQUIDACAO</t>
        </is>
      </c>
    </row>
    <row r="2480">
      <c r="B2480" t="inlineStr">
        <is>
          <t>00.486.423/0001-63</t>
        </is>
      </c>
      <c r="C2480" t="inlineStr">
        <is>
          <t>FARMACOTECNICA INST DE MANIPULACOES FARMACEUTICAS LTDA</t>
        </is>
      </c>
    </row>
    <row r="2481">
      <c r="B2481" t="inlineStr">
        <is>
          <t>00.486.423/0001-63</t>
        </is>
      </c>
      <c r="C2481" t="inlineStr">
        <is>
          <t>FARMACOTECNICA INST DE MANIPULACOES FARMACEUTICAS LTDA</t>
        </is>
      </c>
    </row>
    <row r="2482">
      <c r="B2482" t="inlineStr">
        <is>
          <t>00.486.423/0001-63</t>
        </is>
      </c>
      <c r="C2482" t="inlineStr">
        <is>
          <t>FARMACOTECNICA INST DE MANIPULACOES FARMACEUTICAS LTDA</t>
        </is>
      </c>
    </row>
    <row r="2483">
      <c r="B2483" t="inlineStr">
        <is>
          <t>00.489.050/0002-65</t>
        </is>
      </c>
      <c r="C2483" t="inlineStr">
        <is>
          <t>JJGC INDUSTRIA E COMERCIO DE MATERIAIS DENTARIOS S.A</t>
        </is>
      </c>
    </row>
    <row r="2484">
      <c r="B2484" t="inlineStr">
        <is>
          <t>00.545.378/0001-70</t>
        </is>
      </c>
      <c r="C2484" t="inlineStr">
        <is>
          <t>SERRA AZUL WATER PARK S/A</t>
        </is>
      </c>
    </row>
    <row r="2485">
      <c r="B2485" t="inlineStr">
        <is>
          <t>00.545.378/0001-70</t>
        </is>
      </c>
      <c r="C2485" t="inlineStr">
        <is>
          <t>SERRA AZUL WATER PARK S/A</t>
        </is>
      </c>
    </row>
    <row r="2486">
      <c r="B2486" t="inlineStr">
        <is>
          <t>00.545.378/0001-70</t>
        </is>
      </c>
      <c r="C2486" t="inlineStr">
        <is>
          <t>SERRA AZUL WATER PARK S/A</t>
        </is>
      </c>
    </row>
    <row r="2487">
      <c r="B2487" t="inlineStr">
        <is>
          <t>00.779.721/0001-41</t>
        </is>
      </c>
      <c r="C2487" t="inlineStr">
        <is>
          <t>CINEMARK BRASIL S.A.</t>
        </is>
      </c>
    </row>
    <row r="2488">
      <c r="B2488" t="inlineStr">
        <is>
          <t>00.779.721/0001-41</t>
        </is>
      </c>
      <c r="C2488" t="inlineStr">
        <is>
          <t>CINEMARK BRASIL S.A.</t>
        </is>
      </c>
    </row>
    <row r="2489">
      <c r="B2489" t="inlineStr">
        <is>
          <t>00.779.721/0001-41</t>
        </is>
      </c>
      <c r="C2489" t="inlineStr">
        <is>
          <t>CINEMARK BRASIL S.A.</t>
        </is>
      </c>
    </row>
    <row r="2490">
      <c r="B2490" t="inlineStr">
        <is>
          <t>00.779.721/0001-41</t>
        </is>
      </c>
      <c r="C2490" t="inlineStr">
        <is>
          <t>CINEMARK BRASIL S.A.</t>
        </is>
      </c>
    </row>
    <row r="2491">
      <c r="B2491" t="inlineStr">
        <is>
          <t>00.779.721/0001-41</t>
        </is>
      </c>
      <c r="C2491" t="inlineStr">
        <is>
          <t>CINEMARK BRASIL S.A.</t>
        </is>
      </c>
    </row>
    <row r="2492">
      <c r="B2492" t="inlineStr">
        <is>
          <t>00.779.721/0001-41</t>
        </is>
      </c>
      <c r="C2492" t="inlineStr">
        <is>
          <t>CINEMARK BRASIL S.A.</t>
        </is>
      </c>
    </row>
    <row r="2493">
      <c r="B2493" t="inlineStr">
        <is>
          <t>00.797.026/0001-02</t>
        </is>
      </c>
      <c r="C2493" t="inlineStr">
        <is>
          <t>TTW BRASIL OPERACOES TURISTICAS LTDA</t>
        </is>
      </c>
    </row>
    <row r="2494">
      <c r="B2494" t="inlineStr">
        <is>
          <t>00.804.304/0001-01</t>
        </is>
      </c>
      <c r="C2494" t="inlineStr">
        <is>
          <t>EMBARQUE TURISMO LTDA</t>
        </is>
      </c>
    </row>
    <row r="2495">
      <c r="B2495" t="inlineStr">
        <is>
          <t>00.804.304/0001-01</t>
        </is>
      </c>
      <c r="C2495" t="inlineStr">
        <is>
          <t>EMBARQUE TURISMO LTDA</t>
        </is>
      </c>
    </row>
    <row r="2496">
      <c r="B2496" t="inlineStr">
        <is>
          <t>01.020.029/0001-06</t>
        </is>
      </c>
      <c r="C2496" t="inlineStr">
        <is>
          <t>EUROP ASSISTANCE BRASIL SERVICOS DE ASSISTENCIA S/A.</t>
        </is>
      </c>
    </row>
    <row r="2497">
      <c r="B2497" t="inlineStr">
        <is>
          <t>01.020.029/0001-06</t>
        </is>
      </c>
      <c r="C2497" t="inlineStr">
        <is>
          <t>EUROP ASSISTANCE BRASIL SERVICOS DE ASSISTENCIA S/A.</t>
        </is>
      </c>
    </row>
    <row r="2498">
      <c r="B2498" t="inlineStr">
        <is>
          <t>01.020.029/0001-06</t>
        </is>
      </c>
      <c r="C2498" t="inlineStr">
        <is>
          <t>EUROP ASSISTANCE BRASIL SERVICOS DE ASSISTENCIA S/A.</t>
        </is>
      </c>
    </row>
    <row r="2499">
      <c r="B2499" t="inlineStr">
        <is>
          <t>01.020.029/0001-06</t>
        </is>
      </c>
      <c r="C2499" t="inlineStr">
        <is>
          <t>EUROP ASSISTANCE BRASIL SERVICOS DE ASSISTENCIA S/A.</t>
        </is>
      </c>
    </row>
    <row r="2500">
      <c r="B2500" t="inlineStr">
        <is>
          <t>01.020.029/0001-06</t>
        </is>
      </c>
      <c r="C2500" t="inlineStr">
        <is>
          <t>EUROP ASSISTANCE BRASIL SERVICOS DE ASSISTENCIA S/A.</t>
        </is>
      </c>
    </row>
    <row r="2501">
      <c r="B2501" t="inlineStr">
        <is>
          <t>01.027.058/0001-91</t>
        </is>
      </c>
      <c r="C2501" t="inlineStr">
        <is>
          <t>CIELO S.A - INSTITUICAO DE PAGAMENTO</t>
        </is>
      </c>
    </row>
    <row r="2502">
      <c r="B2502" t="inlineStr">
        <is>
          <t>01.027.058/0001-91</t>
        </is>
      </c>
      <c r="C2502" t="inlineStr">
        <is>
          <t>CIELO S.A - INSTITUICAO DE PAGAMENTO</t>
        </is>
      </c>
    </row>
    <row r="2503">
      <c r="B2503" t="inlineStr">
        <is>
          <t>01.027.058/0001-91</t>
        </is>
      </c>
      <c r="C2503" t="inlineStr">
        <is>
          <t>CIELO S.A - INSTITUICAO DE PAGAMENTO</t>
        </is>
      </c>
    </row>
    <row r="2504">
      <c r="B2504" t="inlineStr">
        <is>
          <t>01.027.058/0001-91</t>
        </is>
      </c>
      <c r="C2504" t="inlineStr">
        <is>
          <t>CIELO S.A - INSTITUICAO DE PAGAMENTO</t>
        </is>
      </c>
    </row>
    <row r="2505">
      <c r="B2505" t="inlineStr">
        <is>
          <t>01.027.058/0001-91</t>
        </is>
      </c>
      <c r="C2505" t="inlineStr">
        <is>
          <t>CIELO S.A - INSTITUICAO DE PAGAMENTO</t>
        </is>
      </c>
    </row>
    <row r="2506">
      <c r="B2506" t="inlineStr">
        <is>
          <t>01.027.058/0001-91</t>
        </is>
      </c>
      <c r="C2506" t="inlineStr">
        <is>
          <t>CIELO S.A - INSTITUICAO DE PAGAMENTO</t>
        </is>
      </c>
    </row>
    <row r="2507">
      <c r="B2507" t="inlineStr">
        <is>
          <t>01.027.058/0001-91</t>
        </is>
      </c>
      <c r="C2507" t="inlineStr">
        <is>
          <t>CIELO S.A - INSTITUICAO DE PAGAMENTO</t>
        </is>
      </c>
    </row>
    <row r="2508">
      <c r="B2508" t="inlineStr">
        <is>
          <t>01.027.058/0001-91</t>
        </is>
      </c>
      <c r="C2508" t="inlineStr">
        <is>
          <t>CIELO S.A - INSTITUICAO DE PAGAMENTO</t>
        </is>
      </c>
    </row>
    <row r="2509">
      <c r="B2509" t="inlineStr">
        <is>
          <t>01.027.058/0001-91</t>
        </is>
      </c>
      <c r="C2509" t="inlineStr">
        <is>
          <t>CIELO S.A - INSTITUICAO DE PAGAMENTO</t>
        </is>
      </c>
    </row>
    <row r="2510">
      <c r="B2510" t="inlineStr">
        <is>
          <t>01.027.058/0001-91</t>
        </is>
      </c>
      <c r="C2510" t="inlineStr">
        <is>
          <t>CIELO S.A - INSTITUICAO DE PAGAMENTO</t>
        </is>
      </c>
    </row>
    <row r="2511">
      <c r="B2511" t="inlineStr">
        <is>
          <t>01.027.058/0001-91</t>
        </is>
      </c>
      <c r="C2511" t="inlineStr">
        <is>
          <t>CIELO S.A - INSTITUICAO DE PAGAMENTO</t>
        </is>
      </c>
    </row>
    <row r="2512">
      <c r="B2512" t="inlineStr">
        <is>
          <t>01.027.058/0001-91</t>
        </is>
      </c>
      <c r="C2512" t="inlineStr">
        <is>
          <t>CIELO S.A - INSTITUICAO DE PAGAMENTO</t>
        </is>
      </c>
    </row>
    <row r="2513">
      <c r="B2513" t="inlineStr">
        <is>
          <t>01.027.058/0001-91</t>
        </is>
      </c>
      <c r="C2513" t="inlineStr">
        <is>
          <t>CIELO S.A - INSTITUICAO DE PAGAMENTO</t>
        </is>
      </c>
    </row>
    <row r="2514">
      <c r="B2514" t="inlineStr">
        <is>
          <t>01.027.058/0001-91</t>
        </is>
      </c>
      <c r="C2514" t="inlineStr">
        <is>
          <t>CIELO S.A - INSTITUICAO DE PAGAMENTO</t>
        </is>
      </c>
    </row>
    <row r="2515">
      <c r="B2515" t="inlineStr">
        <is>
          <t>01.027.058/0001-91</t>
        </is>
      </c>
      <c r="C2515" t="inlineStr">
        <is>
          <t>CIELO S.A - INSTITUICAO DE PAGAMENTO</t>
        </is>
      </c>
    </row>
    <row r="2516">
      <c r="B2516" t="inlineStr">
        <is>
          <t>01.027.058/0001-91</t>
        </is>
      </c>
      <c r="C2516" t="inlineStr">
        <is>
          <t>CIELO S.A - INSTITUICAO DE PAGAMENTO</t>
        </is>
      </c>
    </row>
    <row r="2517">
      <c r="B2517" t="inlineStr">
        <is>
          <t>01.027.058/0001-91</t>
        </is>
      </c>
      <c r="C2517" t="inlineStr">
        <is>
          <t>CIELO S.A - INSTITUICAO DE PAGAMENTO</t>
        </is>
      </c>
    </row>
    <row r="2518">
      <c r="B2518" t="inlineStr">
        <is>
          <t>01.027.058/0001-91</t>
        </is>
      </c>
      <c r="C2518" t="inlineStr">
        <is>
          <t>CIELO S.A - INSTITUICAO DE PAGAMENTO</t>
        </is>
      </c>
    </row>
    <row r="2519">
      <c r="B2519" t="inlineStr">
        <is>
          <t>01.027.058/0001-91</t>
        </is>
      </c>
      <c r="C2519" t="inlineStr">
        <is>
          <t>CIELO S.A - INSTITUICAO DE PAGAMENTO</t>
        </is>
      </c>
    </row>
    <row r="2520">
      <c r="B2520" t="inlineStr">
        <is>
          <t>01.027.058/0001-91</t>
        </is>
      </c>
      <c r="C2520" t="inlineStr">
        <is>
          <t>CIELO S.A - INSTITUICAO DE PAGAMENTO</t>
        </is>
      </c>
    </row>
    <row r="2521">
      <c r="B2521" t="inlineStr">
        <is>
          <t>01.027.058/0001-91</t>
        </is>
      </c>
      <c r="C2521" t="inlineStr">
        <is>
          <t>CIELO S.A - INSTITUICAO DE PAGAMENTO</t>
        </is>
      </c>
    </row>
    <row r="2522">
      <c r="B2522" t="inlineStr">
        <is>
          <t>01.027.058/0001-91</t>
        </is>
      </c>
      <c r="C2522" t="inlineStr">
        <is>
          <t>CIELO S.A - INSTITUICAO DE PAGAMENTO</t>
        </is>
      </c>
    </row>
    <row r="2523">
      <c r="B2523" t="inlineStr">
        <is>
          <t>01.027.058/0001-91</t>
        </is>
      </c>
      <c r="C2523" t="inlineStr">
        <is>
          <t>CIELO S.A - INSTITUICAO DE PAGAMENTO</t>
        </is>
      </c>
    </row>
    <row r="2524">
      <c r="B2524" t="inlineStr">
        <is>
          <t>01.027.058/0001-91</t>
        </is>
      </c>
      <c r="C2524" t="inlineStr">
        <is>
          <t>CIELO S.A - INSTITUICAO DE PAGAMENTO</t>
        </is>
      </c>
    </row>
    <row r="2525">
      <c r="B2525" t="inlineStr">
        <is>
          <t>01.027.058/0001-91</t>
        </is>
      </c>
      <c r="C2525" t="inlineStr">
        <is>
          <t>CIELO S.A - INSTITUICAO DE PAGAMENTO</t>
        </is>
      </c>
    </row>
    <row r="2526">
      <c r="B2526" t="inlineStr">
        <is>
          <t>01.027.058/0001-91</t>
        </is>
      </c>
      <c r="C2526" t="inlineStr">
        <is>
          <t>CIELO S.A - INSTITUICAO DE PAGAMENTO</t>
        </is>
      </c>
    </row>
    <row r="2527">
      <c r="B2527" t="inlineStr">
        <is>
          <t>01.027.058/0001-91</t>
        </is>
      </c>
      <c r="C2527" t="inlineStr">
        <is>
          <t>CIELO S.A - INSTITUICAO DE PAGAMENTO</t>
        </is>
      </c>
    </row>
    <row r="2528">
      <c r="B2528" t="inlineStr">
        <is>
          <t>01.027.058/0001-91</t>
        </is>
      </c>
      <c r="C2528" t="inlineStr">
        <is>
          <t>CIELO S.A - INSTITUICAO DE PAGAMENTO</t>
        </is>
      </c>
    </row>
    <row r="2529">
      <c r="B2529" t="inlineStr">
        <is>
          <t>01.027.058/0001-91</t>
        </is>
      </c>
      <c r="C2529" t="inlineStr">
        <is>
          <t>CIELO S.A - INSTITUICAO DE PAGAMENTO</t>
        </is>
      </c>
    </row>
    <row r="2530">
      <c r="B2530" t="inlineStr">
        <is>
          <t>01.027.058/0001-91</t>
        </is>
      </c>
      <c r="C2530" t="inlineStr">
        <is>
          <t>CIELO S.A - INSTITUICAO DE PAGAMENTO</t>
        </is>
      </c>
    </row>
    <row r="2531">
      <c r="B2531" t="inlineStr">
        <is>
          <t>01.027.058/0001-91</t>
        </is>
      </c>
      <c r="C2531" t="inlineStr">
        <is>
          <t>CIELO S.A - INSTITUICAO DE PAGAMENTO</t>
        </is>
      </c>
    </row>
    <row r="2532">
      <c r="B2532" t="inlineStr">
        <is>
          <t>01.146.603/0001-69</t>
        </is>
      </c>
      <c r="C2532" t="inlineStr">
        <is>
          <t>GACC - GRUPO DE ASSISTENCIA A CRIANCA COM CANCER</t>
        </is>
      </c>
    </row>
    <row r="2533">
      <c r="B2533" t="inlineStr">
        <is>
          <t>01.146.603/0001-69</t>
        </is>
      </c>
      <c r="C2533" t="inlineStr">
        <is>
          <t>GACC - GRUPO DE ASSISTENCIA A CRIANCA COM CANCER</t>
        </is>
      </c>
    </row>
    <row r="2534">
      <c r="B2534" t="inlineStr">
        <is>
          <t>01.146.603/0001-69</t>
        </is>
      </c>
      <c r="C2534" t="inlineStr">
        <is>
          <t>GACC - GRUPO DE ASSISTENCIA A CRIANCA COM CANCER</t>
        </is>
      </c>
    </row>
    <row r="2535">
      <c r="B2535" t="inlineStr">
        <is>
          <t>01.239.313/0001-60</t>
        </is>
      </c>
      <c r="C2535" t="inlineStr">
        <is>
          <t>CAMPOS FLORIDOS COMERCIO DE COSMETICOS LTDA</t>
        </is>
      </c>
    </row>
    <row r="2536">
      <c r="B2536" t="inlineStr">
        <is>
          <t>01.239.313/0001-60</t>
        </is>
      </c>
      <c r="C2536" t="inlineStr">
        <is>
          <t>CAMPOS FLORIDOS COMERCIO DE COSMETICOS LTDA</t>
        </is>
      </c>
    </row>
    <row r="2537">
      <c r="B2537" t="inlineStr">
        <is>
          <t>01.336.140/0001-06</t>
        </is>
      </c>
      <c r="C2537" t="inlineStr">
        <is>
          <t>BRAVIUM S.A</t>
        </is>
      </c>
    </row>
    <row r="2538">
      <c r="B2538" t="inlineStr">
        <is>
          <t>01.336.140/0001-06</t>
        </is>
      </c>
      <c r="C2538" t="inlineStr">
        <is>
          <t>BRAVIUM S.A</t>
        </is>
      </c>
    </row>
    <row r="2539">
      <c r="B2539" t="inlineStr">
        <is>
          <t>01.336.140/0001-06</t>
        </is>
      </c>
      <c r="C2539" t="inlineStr">
        <is>
          <t>BRAVIUM S.A</t>
        </is>
      </c>
    </row>
    <row r="2540">
      <c r="B2540" t="inlineStr">
        <is>
          <t>01.336.140/0001-06</t>
        </is>
      </c>
      <c r="C2540" t="inlineStr">
        <is>
          <t>BRAVIUM S.A</t>
        </is>
      </c>
    </row>
    <row r="2541">
      <c r="B2541" t="inlineStr">
        <is>
          <t>01.354.395/0001-93</t>
        </is>
      </c>
      <c r="C2541" t="inlineStr">
        <is>
          <t>DOT DIGITAL GROUP LTDA</t>
        </is>
      </c>
    </row>
    <row r="2542">
      <c r="B2542" t="inlineStr">
        <is>
          <t>01.354.395/0001-93</t>
        </is>
      </c>
      <c r="C2542" t="inlineStr">
        <is>
          <t>DOT DIGITAL GROUP LTDA</t>
        </is>
      </c>
    </row>
    <row r="2543">
      <c r="B2543" t="inlineStr">
        <is>
          <t>01.354.395/0001-93</t>
        </is>
      </c>
      <c r="C2543" t="inlineStr">
        <is>
          <t>DOT DIGITAL GROUP LTDA</t>
        </is>
      </c>
    </row>
    <row r="2544">
      <c r="B2544" t="inlineStr">
        <is>
          <t>01.354.395/0001-93</t>
        </is>
      </c>
      <c r="C2544" t="inlineStr">
        <is>
          <t>DOT DIGITAL GROUP LTDA</t>
        </is>
      </c>
    </row>
    <row r="2545">
      <c r="B2545" t="inlineStr">
        <is>
          <t>01.536.754/0001-23</t>
        </is>
      </c>
      <c r="C2545" t="inlineStr">
        <is>
          <t>J. CAMARA &amp; IRMAOS LTDA</t>
        </is>
      </c>
    </row>
    <row r="2546">
      <c r="B2546" t="inlineStr">
        <is>
          <t>01.536.754/0001-23</t>
        </is>
      </c>
      <c r="C2546" t="inlineStr">
        <is>
          <t>J. CAMARA &amp; IRMAOS LTDA</t>
        </is>
      </c>
    </row>
    <row r="2547">
      <c r="B2547" t="inlineStr">
        <is>
          <t>01.536.754/0001-23</t>
        </is>
      </c>
      <c r="C2547" t="inlineStr">
        <is>
          <t>J. CAMARA &amp; IRMAOS LTDA</t>
        </is>
      </c>
    </row>
    <row r="2548">
      <c r="B2548" t="inlineStr">
        <is>
          <t>01.536.754/0001-23</t>
        </is>
      </c>
      <c r="C2548" t="inlineStr">
        <is>
          <t>J. CAMARA &amp; IRMAOS LTDA</t>
        </is>
      </c>
    </row>
    <row r="2549">
      <c r="B2549" t="inlineStr">
        <is>
          <t>01.554.285/0001-75</t>
        </is>
      </c>
      <c r="C2549" t="inlineStr">
        <is>
          <t>CERTISIGN CERTIFICADORA DIGITAL S.A</t>
        </is>
      </c>
    </row>
    <row r="2550">
      <c r="B2550" t="inlineStr">
        <is>
          <t>01.554.285/0001-75</t>
        </is>
      </c>
      <c r="C2550" t="inlineStr">
        <is>
          <t>CERTISIGN CERTIFICADORA DIGITAL S.A</t>
        </is>
      </c>
    </row>
    <row r="2551">
      <c r="B2551" t="inlineStr">
        <is>
          <t>01.554.285/0001-75</t>
        </is>
      </c>
      <c r="C2551" t="inlineStr">
        <is>
          <t>CERTISIGN CERTIFICADORA DIGITAL S.A</t>
        </is>
      </c>
    </row>
    <row r="2552">
      <c r="B2552" t="inlineStr">
        <is>
          <t>01.637.895/0001-32</t>
        </is>
      </c>
      <c r="C2552" t="inlineStr">
        <is>
          <t>VOTORANTIM CIMENTOS S.A.</t>
        </is>
      </c>
    </row>
    <row r="2553">
      <c r="B2553" t="inlineStr">
        <is>
          <t>01.637.895/0001-32</t>
        </is>
      </c>
      <c r="C2553" t="inlineStr">
        <is>
          <t>VOTORANTIM CIMENTOS S.A.</t>
        </is>
      </c>
    </row>
    <row r="2554">
      <c r="B2554" t="inlineStr">
        <is>
          <t>01.637.895/0001-32</t>
        </is>
      </c>
      <c r="C2554" t="inlineStr">
        <is>
          <t>VOTORANTIM CIMENTOS S.A.</t>
        </is>
      </c>
    </row>
    <row r="2555">
      <c r="B2555" t="inlineStr">
        <is>
          <t>01.637.895/0001-32</t>
        </is>
      </c>
      <c r="C2555" t="inlineStr">
        <is>
          <t>VOTORANTIM CIMENTOS S.A.</t>
        </is>
      </c>
    </row>
    <row r="2556">
      <c r="B2556" t="inlineStr">
        <is>
          <t>01.937.635/0029-83</t>
        </is>
      </c>
      <c r="C2556" t="inlineStr">
        <is>
          <t>SONDA SUPERMERCADOS EXPORTACAO E IMPORTACAO S.A.</t>
        </is>
      </c>
    </row>
    <row r="2557">
      <c r="B2557" t="inlineStr">
        <is>
          <t>01.937.635/0029-83</t>
        </is>
      </c>
      <c r="C2557" t="inlineStr">
        <is>
          <t>SONDA SUPERMERCADOS EXPORTACAO E IMPORTACAO S.A.</t>
        </is>
      </c>
    </row>
    <row r="2558">
      <c r="B2558" t="inlineStr">
        <is>
          <t>01.937.635/0029-83</t>
        </is>
      </c>
      <c r="C2558" t="inlineStr">
        <is>
          <t>SONDA SUPERMERCADOS EXPORTACAO E IMPORTACAO S.A.</t>
        </is>
      </c>
    </row>
    <row r="2559">
      <c r="B2559" t="inlineStr">
        <is>
          <t>01.944.380/0001-85</t>
        </is>
      </c>
      <c r="C2559" t="inlineStr">
        <is>
          <t>VIGILANTES DO PESO MARKETING LTDA.</t>
        </is>
      </c>
    </row>
    <row r="2560">
      <c r="B2560" t="inlineStr">
        <is>
          <t>02.012.862/0001-60</t>
        </is>
      </c>
      <c r="C2560" t="inlineStr">
        <is>
          <t>TAM LINHAS AEREAS S/A.</t>
        </is>
      </c>
    </row>
    <row r="2561">
      <c r="B2561" t="inlineStr">
        <is>
          <t>02.012.862/0001-60</t>
        </is>
      </c>
      <c r="C2561" t="inlineStr">
        <is>
          <t>TAM LINHAS AEREAS S/A.</t>
        </is>
      </c>
    </row>
    <row r="2562">
      <c r="B2562" t="inlineStr">
        <is>
          <t>02.012.862/0001-60</t>
        </is>
      </c>
      <c r="C2562" t="inlineStr">
        <is>
          <t>TAM LINHAS AEREAS S/A.</t>
        </is>
      </c>
    </row>
    <row r="2563">
      <c r="B2563" t="inlineStr">
        <is>
          <t>02.012.862/0001-60</t>
        </is>
      </c>
      <c r="C2563" t="inlineStr">
        <is>
          <t>TAM LINHAS AEREAS S/A.</t>
        </is>
      </c>
    </row>
    <row r="2564">
      <c r="B2564" t="inlineStr">
        <is>
          <t>02.012.862/0001-60</t>
        </is>
      </c>
      <c r="C2564" t="inlineStr">
        <is>
          <t>TAM LINHAS AEREAS S/A.</t>
        </is>
      </c>
    </row>
    <row r="2565">
      <c r="B2565" t="inlineStr">
        <is>
          <t>02.012.862/0001-60</t>
        </is>
      </c>
      <c r="C2565" t="inlineStr">
        <is>
          <t>TAM LINHAS AEREAS S/A.</t>
        </is>
      </c>
    </row>
    <row r="2566">
      <c r="B2566" t="inlineStr">
        <is>
          <t>02.012.862/0001-60</t>
        </is>
      </c>
      <c r="C2566" t="inlineStr">
        <is>
          <t>TAM LINHAS AEREAS S/A.</t>
        </is>
      </c>
    </row>
    <row r="2567">
      <c r="B2567" t="inlineStr">
        <is>
          <t>02.012.862/0001-60</t>
        </is>
      </c>
      <c r="C2567" t="inlineStr">
        <is>
          <t>TAM LINHAS AEREAS S/A.</t>
        </is>
      </c>
    </row>
    <row r="2568">
      <c r="B2568" t="inlineStr">
        <is>
          <t>02.102.498/0001-29</t>
        </is>
      </c>
      <c r="C2568" t="inlineStr">
        <is>
          <t>METROPOLITAN LIFE SEGUROS E PREVIDENCIA PRIVADA SA</t>
        </is>
      </c>
    </row>
    <row r="2569">
      <c r="B2569" t="inlineStr">
        <is>
          <t>02.102.498/0001-29</t>
        </is>
      </c>
      <c r="C2569" t="inlineStr">
        <is>
          <t>METROPOLITAN LIFE SEGUROS E PREVIDENCIA PRIVADA SA</t>
        </is>
      </c>
    </row>
    <row r="2570">
      <c r="B2570" t="inlineStr">
        <is>
          <t>02.102.498/0001-29</t>
        </is>
      </c>
      <c r="C2570" t="inlineStr">
        <is>
          <t>METROPOLITAN LIFE SEGUROS E PREVIDENCIA PRIVADA SA</t>
        </is>
      </c>
    </row>
    <row r="2571">
      <c r="B2571" t="inlineStr">
        <is>
          <t>02.292.931/0002-17</t>
        </is>
      </c>
      <c r="C2571" t="inlineStr">
        <is>
          <t>RM FITNESS CENTER - ACADEMIA DE GINASTICA LTDA</t>
        </is>
      </c>
    </row>
    <row r="2572">
      <c r="B2572" t="inlineStr">
        <is>
          <t>02.292.931/0002-17</t>
        </is>
      </c>
      <c r="C2572" t="inlineStr">
        <is>
          <t>RM FITNESS CENTER - ACADEMIA DE GINASTICA LTDA</t>
        </is>
      </c>
    </row>
    <row r="2573">
      <c r="B2573" t="inlineStr">
        <is>
          <t>02.292.931/0002-17</t>
        </is>
      </c>
      <c r="C2573" t="inlineStr">
        <is>
          <t>RM FITNESS CENTER - ACADEMIA DE GINASTICA LTDA</t>
        </is>
      </c>
    </row>
    <row r="2574">
      <c r="B2574" t="inlineStr">
        <is>
          <t>02.447.949/0001-60</t>
        </is>
      </c>
      <c r="C2574" t="inlineStr">
        <is>
          <t>IE INTERNATIONAL EDUCATION S.A.</t>
        </is>
      </c>
    </row>
    <row r="2575">
      <c r="B2575" t="inlineStr">
        <is>
          <t>02.447.949/0001-60</t>
        </is>
      </c>
      <c r="C2575" t="inlineStr">
        <is>
          <t>IE INTERNATIONAL EDUCATION S.A.</t>
        </is>
      </c>
    </row>
    <row r="2576">
      <c r="B2576" t="inlineStr">
        <is>
          <t>02.447.949/0001-60</t>
        </is>
      </c>
      <c r="C2576" t="inlineStr">
        <is>
          <t>IE INTERNATIONAL EDUCATION S.A.</t>
        </is>
      </c>
    </row>
    <row r="2577">
      <c r="B2577" t="inlineStr">
        <is>
          <t>02.447.949/0001-60</t>
        </is>
      </c>
      <c r="C2577" t="inlineStr">
        <is>
          <t>IE INTERNATIONAL EDUCATION S.A.</t>
        </is>
      </c>
    </row>
    <row r="2578">
      <c r="B2578" t="inlineStr">
        <is>
          <t>02.447.949/0001-60</t>
        </is>
      </c>
      <c r="C2578" t="inlineStr">
        <is>
          <t>IE INTERNATIONAL EDUCATION S.A.</t>
        </is>
      </c>
    </row>
    <row r="2579">
      <c r="B2579" t="inlineStr">
        <is>
          <t>02.788.458/0001-82</t>
        </is>
      </c>
      <c r="C2579" t="inlineStr">
        <is>
          <t>MOBILITY TURISMO S/A</t>
        </is>
      </c>
    </row>
    <row r="2580">
      <c r="B2580" t="inlineStr">
        <is>
          <t>02.788.458/0001-82</t>
        </is>
      </c>
      <c r="C2580" t="inlineStr">
        <is>
          <t>MOBILITY TURISMO S/A</t>
        </is>
      </c>
    </row>
    <row r="2581">
      <c r="B2581" t="inlineStr">
        <is>
          <t>02.797.469/0002-00</t>
        </is>
      </c>
      <c r="C2581" t="inlineStr">
        <is>
          <t>DOM BOSCO ENSINO SUPERIOR LTDA.</t>
        </is>
      </c>
    </row>
    <row r="2582">
      <c r="B2582" t="inlineStr">
        <is>
          <t>02.797.469/0002-00</t>
        </is>
      </c>
      <c r="C2582" t="inlineStr">
        <is>
          <t>DOM BOSCO ENSINO SUPERIOR LTDA.</t>
        </is>
      </c>
    </row>
    <row r="2583">
      <c r="B2583" t="inlineStr">
        <is>
          <t>02.825.033/0004-49</t>
        </is>
      </c>
      <c r="C2583" t="inlineStr">
        <is>
          <t>SANTUARIO NACIONAL DE NOSSA SENHORA DA CONCEICAO APARECIDA</t>
        </is>
      </c>
    </row>
    <row r="2584">
      <c r="B2584" t="inlineStr">
        <is>
          <t>02.831.172/0002-13</t>
        </is>
      </c>
      <c r="C2584" t="inlineStr">
        <is>
          <t>KOCH HIPERMERCADO S/A</t>
        </is>
      </c>
    </row>
    <row r="2585">
      <c r="B2585" t="inlineStr">
        <is>
          <t>02.831.172/0002-13</t>
        </is>
      </c>
      <c r="C2585" t="inlineStr">
        <is>
          <t>KOCH HIPERMERCADO S/A</t>
        </is>
      </c>
    </row>
    <row r="2586">
      <c r="B2586" t="inlineStr">
        <is>
          <t>02.914.460/0422-36</t>
        </is>
      </c>
      <c r="C2586" t="inlineStr">
        <is>
          <t>SEARA ALIMENTOS LTDA</t>
        </is>
      </c>
    </row>
    <row r="2587">
      <c r="B2587" t="inlineStr">
        <is>
          <t>02.914.460/0422-36</t>
        </is>
      </c>
      <c r="C2587" t="inlineStr">
        <is>
          <t>SEARA ALIMENTOS LTDA</t>
        </is>
      </c>
    </row>
    <row r="2588">
      <c r="B2588" t="inlineStr">
        <is>
          <t>02.931.209/0001-02</t>
        </is>
      </c>
      <c r="C2588" t="inlineStr">
        <is>
          <t>HIGH-TOUR OPERADORA DE TURISMO E EVENTOS LTDA</t>
        </is>
      </c>
    </row>
    <row r="2589">
      <c r="B2589" t="inlineStr">
        <is>
          <t>02.931.209/0001-02</t>
        </is>
      </c>
      <c r="C2589" t="inlineStr">
        <is>
          <t>HIGH-TOUR OPERADORA DE TURISMO E EVENTOS LTDA</t>
        </is>
      </c>
    </row>
    <row r="2590">
      <c r="B2590" t="inlineStr">
        <is>
          <t>02.931.209/0001-02</t>
        </is>
      </c>
      <c r="C2590" t="inlineStr">
        <is>
          <t>HIGH-TOUR OPERADORA DE TURISMO E EVENTOS LTDA</t>
        </is>
      </c>
    </row>
    <row r="2591">
      <c r="B2591" t="inlineStr">
        <is>
          <t>02.967.773/0001-77</t>
        </is>
      </c>
      <c r="C2591" t="inlineStr">
        <is>
          <t>YAHOO DO BRASIL INTERNET LTDA</t>
        </is>
      </c>
    </row>
    <row r="2592">
      <c r="B2592" t="inlineStr">
        <is>
          <t>03.007.698/0001-65</t>
        </is>
      </c>
      <c r="C2592" t="inlineStr">
        <is>
          <t>SKY TEAM AGENCIA DE VIAGENS E TURISMO LTDA</t>
        </is>
      </c>
    </row>
    <row r="2593">
      <c r="B2593" t="inlineStr">
        <is>
          <t>03.206.500/0001-72</t>
        </is>
      </c>
      <c r="C2593" t="inlineStr">
        <is>
          <t>FARMAGRI FARMACIA DE MANIPULACAO LTDA</t>
        </is>
      </c>
    </row>
    <row r="2594">
      <c r="B2594" t="inlineStr">
        <is>
          <t>03.533.726/0001-88</t>
        </is>
      </c>
      <c r="C2594" t="inlineStr">
        <is>
          <t>UNIMED CUIABA COOPERATIVA DE TRABALHO MEDICO</t>
        </is>
      </c>
    </row>
    <row r="2595">
      <c r="B2595" t="inlineStr">
        <is>
          <t>03.533.726/0001-88</t>
        </is>
      </c>
      <c r="C2595" t="inlineStr">
        <is>
          <t>UNIMED CUIABA COOPERATIVA DE TRABALHO MEDICO</t>
        </is>
      </c>
    </row>
    <row r="2596">
      <c r="B2596" t="inlineStr">
        <is>
          <t>03.541.088/0033-24</t>
        </is>
      </c>
      <c r="C2596" t="inlineStr">
        <is>
          <t>SERVICO NACIONAL DE APRENDIZAGEM COMERCIAL</t>
        </is>
      </c>
    </row>
    <row r="2597">
      <c r="B2597" t="inlineStr">
        <is>
          <t>03.541.088/0033-24</t>
        </is>
      </c>
      <c r="C2597" t="inlineStr">
        <is>
          <t>SERVICO NACIONAL DE APRENDIZAGEM COMERCIAL</t>
        </is>
      </c>
    </row>
    <row r="2598">
      <c r="B2598" t="inlineStr">
        <is>
          <t>03.585.974/0001-72</t>
        </is>
      </c>
      <c r="C2598" t="inlineStr">
        <is>
          <t>OMNILINK TECNOLOGIA S.A.</t>
        </is>
      </c>
    </row>
    <row r="2599">
      <c r="B2599" t="inlineStr">
        <is>
          <t>03.585.974/0001-72</t>
        </is>
      </c>
      <c r="C2599" t="inlineStr">
        <is>
          <t>OMNILINK TECNOLOGIA S.A.</t>
        </is>
      </c>
    </row>
    <row r="2600">
      <c r="B2600" t="inlineStr">
        <is>
          <t>03.585.974/0001-72</t>
        </is>
      </c>
      <c r="C2600" t="inlineStr">
        <is>
          <t>OMNILINK TECNOLOGIA S.A.</t>
        </is>
      </c>
    </row>
    <row r="2601">
      <c r="B2601" t="inlineStr">
        <is>
          <t>03.585.974/0001-72</t>
        </is>
      </c>
      <c r="C2601" t="inlineStr">
        <is>
          <t>OMNILINK TECNOLOGIA S.A.</t>
        </is>
      </c>
    </row>
    <row r="2602">
      <c r="B2602" t="inlineStr">
        <is>
          <t>03.585.974/0001-72</t>
        </is>
      </c>
      <c r="C2602" t="inlineStr">
        <is>
          <t>OMNILINK TECNOLOGIA S.A.</t>
        </is>
      </c>
    </row>
    <row r="2603">
      <c r="B2603" t="inlineStr">
        <is>
          <t>03.585.974/0001-72</t>
        </is>
      </c>
      <c r="C2603" t="inlineStr">
        <is>
          <t>OMNILINK TECNOLOGIA S.A.</t>
        </is>
      </c>
    </row>
    <row r="2604">
      <c r="B2604" t="inlineStr">
        <is>
          <t>03.608.306/0002-02</t>
        </is>
      </c>
      <c r="C2604" t="inlineStr">
        <is>
          <t>LIVRARIA INTERNACIONAL-SBS LTDA.</t>
        </is>
      </c>
    </row>
    <row r="2605">
      <c r="B2605" t="inlineStr">
        <is>
          <t>03.608.306/0002-02</t>
        </is>
      </c>
      <c r="C2605" t="inlineStr">
        <is>
          <t>LIVRARIA INTERNACIONAL-SBS LTDA.</t>
        </is>
      </c>
    </row>
    <row r="2606">
      <c r="B2606" t="inlineStr">
        <is>
          <t>03.608.306/0002-02</t>
        </is>
      </c>
      <c r="C2606" t="inlineStr">
        <is>
          <t>LIVRARIA INTERNACIONAL-SBS LTDA.</t>
        </is>
      </c>
    </row>
    <row r="2607">
      <c r="B2607" t="inlineStr">
        <is>
          <t>03.608.306/0002-02</t>
        </is>
      </c>
      <c r="C2607" t="inlineStr">
        <is>
          <t>LIVRARIA INTERNACIONAL-SBS LTDA.</t>
        </is>
      </c>
    </row>
    <row r="2608">
      <c r="B2608" t="inlineStr">
        <is>
          <t>03.662.136/0001-55</t>
        </is>
      </c>
      <c r="C2608" t="inlineStr">
        <is>
          <t>DENTAL SORRIA LTDA</t>
        </is>
      </c>
    </row>
    <row r="2609">
      <c r="B2609" t="inlineStr">
        <is>
          <t>03.662.136/0001-55</t>
        </is>
      </c>
      <c r="C2609" t="inlineStr">
        <is>
          <t>DENTAL SORRIA LTDA</t>
        </is>
      </c>
    </row>
    <row r="2610">
      <c r="B2610" t="inlineStr">
        <is>
          <t>03.690.751/0001-75</t>
        </is>
      </c>
      <c r="C2610" t="inlineStr">
        <is>
          <t>BAZAR RIO 2005 CANTINA E ARTIGOS ESCOLARES LTDA</t>
        </is>
      </c>
    </row>
    <row r="2611">
      <c r="B2611" t="inlineStr">
        <is>
          <t>03.690.751/0001-75</t>
        </is>
      </c>
      <c r="C2611" t="inlineStr">
        <is>
          <t>BAZAR RIO 2005 CANTINA E ARTIGOS ESCOLARES LTDA</t>
        </is>
      </c>
    </row>
    <row r="2612">
      <c r="B2612" t="inlineStr">
        <is>
          <t>03.690.751/0001-75</t>
        </is>
      </c>
      <c r="C2612" t="inlineStr">
        <is>
          <t>BAZAR RIO 2005 CANTINA E ARTIGOS ESCOLARES LTDA</t>
        </is>
      </c>
    </row>
    <row r="2613">
      <c r="B2613" t="inlineStr">
        <is>
          <t>03.690.751/0001-75</t>
        </is>
      </c>
      <c r="C2613" t="inlineStr">
        <is>
          <t>BAZAR RIO 2005 CANTINA E ARTIGOS ESCOLARES LTDA</t>
        </is>
      </c>
    </row>
    <row r="2614">
      <c r="B2614" t="inlineStr">
        <is>
          <t>03.690.751/0001-75</t>
        </is>
      </c>
      <c r="C2614" t="inlineStr">
        <is>
          <t>BAZAR RIO 2005 CANTINA E ARTIGOS ESCOLARES LTDA</t>
        </is>
      </c>
    </row>
    <row r="2615">
      <c r="B2615" t="inlineStr">
        <is>
          <t>03.815.831/0001-00</t>
        </is>
      </c>
      <c r="C2615" t="inlineStr">
        <is>
          <t>FHS ADMINISTRACAO, PARTICIPACOES E SERVICOS S.A.</t>
        </is>
      </c>
    </row>
    <row r="2616">
      <c r="B2616" t="inlineStr">
        <is>
          <t>03.815.831/0001-00</t>
        </is>
      </c>
      <c r="C2616" t="inlineStr">
        <is>
          <t>FHS ADMINISTRACAO, PARTICIPACOES E SERVICOS S.A.</t>
        </is>
      </c>
    </row>
    <row r="2617">
      <c r="B2617" t="inlineStr">
        <is>
          <t>03.815.831/0001-00</t>
        </is>
      </c>
      <c r="C2617" t="inlineStr">
        <is>
          <t>FHS ADMINISTRACAO, PARTICIPACOES E SERVICOS S.A.</t>
        </is>
      </c>
    </row>
    <row r="2618">
      <c r="B2618" t="inlineStr">
        <is>
          <t>03.823.704/0001-52</t>
        </is>
      </c>
      <c r="C2618" t="inlineStr">
        <is>
          <t>ASSURANT SEGURADORA S.A.</t>
        </is>
      </c>
    </row>
    <row r="2619">
      <c r="B2619" t="inlineStr">
        <is>
          <t>03.823.704/0001-52</t>
        </is>
      </c>
      <c r="C2619" t="inlineStr">
        <is>
          <t>ASSURANT SEGURADORA S.A.</t>
        </is>
      </c>
    </row>
    <row r="2620">
      <c r="B2620" t="inlineStr">
        <is>
          <t>03.823.704/0001-52</t>
        </is>
      </c>
      <c r="C2620" t="inlineStr">
        <is>
          <t>ASSURANT SEGURADORA S.A.</t>
        </is>
      </c>
    </row>
    <row r="2621">
      <c r="B2621" t="inlineStr">
        <is>
          <t>03.832.130/0001-89</t>
        </is>
      </c>
      <c r="C2621" t="inlineStr">
        <is>
          <t>TRIADE SOLUCOES INTELIGENTES INFORMATICA LTDA</t>
        </is>
      </c>
    </row>
    <row r="2622">
      <c r="B2622" t="inlineStr">
        <is>
          <t>03.914.917/0001-90</t>
        </is>
      </c>
      <c r="C2622" t="inlineStr">
        <is>
          <t>SEGSAT TECNOLOGIA S.A.</t>
        </is>
      </c>
    </row>
    <row r="2623">
      <c r="B2623" t="inlineStr">
        <is>
          <t>03.914.917/0001-90</t>
        </is>
      </c>
      <c r="C2623" t="inlineStr">
        <is>
          <t>SEGSAT TECNOLOGIA S.A.</t>
        </is>
      </c>
    </row>
    <row r="2624">
      <c r="B2624" t="inlineStr">
        <is>
          <t>03.914.917/0001-90</t>
        </is>
      </c>
      <c r="C2624" t="inlineStr">
        <is>
          <t>SEGSAT TECNOLOGIA S.A.</t>
        </is>
      </c>
    </row>
    <row r="2625">
      <c r="B2625" t="inlineStr">
        <is>
          <t>03.973.259/0001-07</t>
        </is>
      </c>
      <c r="C2625" t="inlineStr">
        <is>
          <t>LUSANOVA DO BRASIL OPERADORA DE TURISMO LIMITADA</t>
        </is>
      </c>
    </row>
    <row r="2626">
      <c r="B2626" t="inlineStr">
        <is>
          <t>03.973.259/0001-07</t>
        </is>
      </c>
      <c r="C2626" t="inlineStr">
        <is>
          <t>LUSANOVA DO BRASIL OPERADORA DE TURISMO LIMITADA</t>
        </is>
      </c>
    </row>
    <row r="2627">
      <c r="B2627" t="inlineStr">
        <is>
          <t>03.973.259/0001-07</t>
        </is>
      </c>
      <c r="C2627" t="inlineStr">
        <is>
          <t>LUSANOVA DO BRASIL OPERADORA DE TURISMO LIMITADA</t>
        </is>
      </c>
    </row>
    <row r="2628">
      <c r="B2628" t="inlineStr">
        <is>
          <t>04.067.191/0001-60</t>
        </is>
      </c>
      <c r="C2628" t="inlineStr">
        <is>
          <t>EDITORA GLOBO S/A</t>
        </is>
      </c>
    </row>
    <row r="2629">
      <c r="B2629" t="inlineStr">
        <is>
          <t>04.067.191/0001-60</t>
        </is>
      </c>
      <c r="C2629" t="inlineStr">
        <is>
          <t>EDITORA GLOBO S/A</t>
        </is>
      </c>
    </row>
    <row r="2630">
      <c r="B2630" t="inlineStr">
        <is>
          <t>04.078.995/0001-64</t>
        </is>
      </c>
      <c r="C2630" t="inlineStr">
        <is>
          <t>5 A SEC DO BRASIL FRANCHISING LTDA</t>
        </is>
      </c>
    </row>
    <row r="2631">
      <c r="B2631" t="inlineStr">
        <is>
          <t>04.078.995/0001-64</t>
        </is>
      </c>
      <c r="C2631" t="inlineStr">
        <is>
          <t>5 A SEC DO BRASIL FRANCHISING LTDA</t>
        </is>
      </c>
    </row>
    <row r="2632">
      <c r="B2632" t="inlineStr">
        <is>
          <t>04.088.208/0001-65</t>
        </is>
      </c>
      <c r="C2632" t="inlineStr">
        <is>
          <t>SEM PARAR INSTITUICAO DE PAGAMENTO LTDA</t>
        </is>
      </c>
    </row>
    <row r="2633">
      <c r="B2633" t="inlineStr">
        <is>
          <t>04.201.876/0001-57</t>
        </is>
      </c>
      <c r="C2633" t="inlineStr">
        <is>
          <t>SAL - EMPREENDIMENTOS LTDA</t>
        </is>
      </c>
    </row>
    <row r="2634">
      <c r="B2634" t="inlineStr">
        <is>
          <t>04.201.876/0001-57</t>
        </is>
      </c>
      <c r="C2634" t="inlineStr">
        <is>
          <t>SAL - EMPREENDIMENTOS LTDA</t>
        </is>
      </c>
    </row>
    <row r="2635">
      <c r="B2635" t="inlineStr">
        <is>
          <t>04.201.876/0001-57</t>
        </is>
      </c>
      <c r="C2635" t="inlineStr">
        <is>
          <t>SAL - EMPREENDIMENTOS LTDA</t>
        </is>
      </c>
    </row>
    <row r="2636">
      <c r="B2636" t="inlineStr">
        <is>
          <t>04.227.467/0061-60</t>
        </is>
      </c>
      <c r="C2636" t="inlineStr">
        <is>
          <t>GENTIL NEGOCIOS COMERCIO E FRANCHISING LTDA</t>
        </is>
      </c>
    </row>
    <row r="2637">
      <c r="B2637" t="inlineStr">
        <is>
          <t>04.380.004/0001-01</t>
        </is>
      </c>
      <c r="C2637" t="inlineStr">
        <is>
          <t>MEDICINAL FARMACIA E MANIPULACAO LTDA</t>
        </is>
      </c>
    </row>
    <row r="2638">
      <c r="B2638" t="inlineStr">
        <is>
          <t>04.380.004/0001-01</t>
        </is>
      </c>
      <c r="C2638" t="inlineStr">
        <is>
          <t>MEDICINAL FARMACIA E MANIPULACAO LTDA</t>
        </is>
      </c>
    </row>
    <row r="2639">
      <c r="B2639" t="inlineStr">
        <is>
          <t>04.380.004/0001-01</t>
        </is>
      </c>
      <c r="C2639" t="inlineStr">
        <is>
          <t>MEDICINAL FARMACIA E MANIPULACAO LTDA</t>
        </is>
      </c>
    </row>
    <row r="2640">
      <c r="B2640" t="inlineStr">
        <is>
          <t>04.380.004/0001-01</t>
        </is>
      </c>
      <c r="C2640" t="inlineStr">
        <is>
          <t>MEDICINAL FARMACIA E MANIPULACAO LTDA</t>
        </is>
      </c>
    </row>
    <row r="2641">
      <c r="B2641" t="inlineStr">
        <is>
          <t>04.380.004/0001-01</t>
        </is>
      </c>
      <c r="C2641" t="inlineStr">
        <is>
          <t>MEDICINAL FARMACIA E MANIPULACAO LTDA</t>
        </is>
      </c>
    </row>
    <row r="2642">
      <c r="B2642" t="inlineStr">
        <is>
          <t>04.471.426/0001-84</t>
        </is>
      </c>
      <c r="C2642" t="inlineStr">
        <is>
          <t>SUNCOASTUSA VIAGENS E TURISMO LTDA</t>
        </is>
      </c>
    </row>
    <row r="2643">
      <c r="B2643" t="inlineStr">
        <is>
          <t>04.471.426/0001-84</t>
        </is>
      </c>
      <c r="C2643" t="inlineStr">
        <is>
          <t>SUNCOASTUSA VIAGENS E TURISMO LTDA</t>
        </is>
      </c>
    </row>
    <row r="2644">
      <c r="B2644" t="inlineStr">
        <is>
          <t>04.471.426/0001-84</t>
        </is>
      </c>
      <c r="C2644" t="inlineStr">
        <is>
          <t>SUNCOASTUSA VIAGENS E TURISMO LTDA</t>
        </is>
      </c>
    </row>
    <row r="2645">
      <c r="B2645" t="inlineStr">
        <is>
          <t>04.471.426/0001-84</t>
        </is>
      </c>
      <c r="C2645" t="inlineStr">
        <is>
          <t>SUNCOASTUSA VIAGENS E TURISMO LTDA</t>
        </is>
      </c>
    </row>
    <row r="2646">
      <c r="B2646" t="inlineStr">
        <is>
          <t>04.565.289/0001-47</t>
        </is>
      </c>
      <c r="C2646" t="inlineStr">
        <is>
          <t>BEMOL S/A</t>
        </is>
      </c>
    </row>
    <row r="2647">
      <c r="B2647" t="inlineStr">
        <is>
          <t>04.565.289/0001-47</t>
        </is>
      </c>
      <c r="C2647" t="inlineStr">
        <is>
          <t>BEMOL S/A</t>
        </is>
      </c>
    </row>
    <row r="2648">
      <c r="B2648" t="inlineStr">
        <is>
          <t>04.565.289/0001-47</t>
        </is>
      </c>
      <c r="C2648" t="inlineStr">
        <is>
          <t>BEMOL S/A</t>
        </is>
      </c>
    </row>
    <row r="2649">
      <c r="B2649" t="inlineStr">
        <is>
          <t>04.565.289/0001-47</t>
        </is>
      </c>
      <c r="C2649" t="inlineStr">
        <is>
          <t>BEMOL S/A</t>
        </is>
      </c>
    </row>
    <row r="2650">
      <c r="B2650" t="inlineStr">
        <is>
          <t>04.565.289/0001-47</t>
        </is>
      </c>
      <c r="C2650" t="inlineStr">
        <is>
          <t>BEMOL S/A</t>
        </is>
      </c>
    </row>
    <row r="2651">
      <c r="B2651" t="inlineStr">
        <is>
          <t>04.565.289/0001-47</t>
        </is>
      </c>
      <c r="C2651" t="inlineStr">
        <is>
          <t>BEMOL S/A</t>
        </is>
      </c>
    </row>
    <row r="2652">
      <c r="B2652" t="inlineStr">
        <is>
          <t>04.624.699/0001-11</t>
        </is>
      </c>
      <c r="C2652" t="inlineStr">
        <is>
          <t>POINTER NETWORKS S.A (baixada)</t>
        </is>
      </c>
    </row>
    <row r="2653">
      <c r="B2653" t="inlineStr">
        <is>
          <t>04.628.426/0001-45</t>
        </is>
      </c>
      <c r="C2653" t="inlineStr">
        <is>
          <t>TECHNOS DA AMAZONIA INDUSTRIA E COMERCIO S.A.</t>
        </is>
      </c>
    </row>
    <row r="2654">
      <c r="B2654" t="inlineStr">
        <is>
          <t>04.628.426/0001-45</t>
        </is>
      </c>
      <c r="C2654" t="inlineStr">
        <is>
          <t>TECHNOS DA AMAZONIA INDUSTRIA E COMERCIO S.A.</t>
        </is>
      </c>
    </row>
    <row r="2655">
      <c r="B2655" t="inlineStr">
        <is>
          <t>04.740.876/0001-25</t>
        </is>
      </c>
      <c r="C2655" t="inlineStr">
        <is>
          <t>ALELO INSTITUICAO DE PAGAMENTO SA</t>
        </is>
      </c>
    </row>
    <row r="2656">
      <c r="B2656" t="inlineStr">
        <is>
          <t>04.740.876/0001-25</t>
        </is>
      </c>
      <c r="C2656" t="inlineStr">
        <is>
          <t>ALELO INSTITUICAO DE PAGAMENTO SA</t>
        </is>
      </c>
    </row>
    <row r="2657">
      <c r="B2657" t="inlineStr">
        <is>
          <t>04.740.876/0001-25</t>
        </is>
      </c>
      <c r="C2657" t="inlineStr">
        <is>
          <t>ALELO INSTITUICAO DE PAGAMENTO SA</t>
        </is>
      </c>
    </row>
    <row r="2658">
      <c r="B2658" t="inlineStr">
        <is>
          <t>04.740.876/0001-25</t>
        </is>
      </c>
      <c r="C2658" t="inlineStr">
        <is>
          <t>ALELO INSTITUICAO DE PAGAMENTO SA</t>
        </is>
      </c>
    </row>
    <row r="2659">
      <c r="B2659" t="inlineStr">
        <is>
          <t>04.740.876/0001-25</t>
        </is>
      </c>
      <c r="C2659" t="inlineStr">
        <is>
          <t>ALELO INSTITUICAO DE PAGAMENTO SA</t>
        </is>
      </c>
    </row>
    <row r="2660">
      <c r="B2660" t="inlineStr">
        <is>
          <t>04.740.876/0001-25</t>
        </is>
      </c>
      <c r="C2660" t="inlineStr">
        <is>
          <t>ALELO INSTITUICAO DE PAGAMENTO SA</t>
        </is>
      </c>
    </row>
    <row r="2661">
      <c r="B2661" t="inlineStr">
        <is>
          <t>04.740.876/0001-25</t>
        </is>
      </c>
      <c r="C2661" t="inlineStr">
        <is>
          <t>ALELO INSTITUICAO DE PAGAMENTO SA</t>
        </is>
      </c>
    </row>
    <row r="2662">
      <c r="B2662" t="inlineStr">
        <is>
          <t>04.772.434/0001-60</t>
        </is>
      </c>
      <c r="C2662" t="inlineStr">
        <is>
          <t>PORTAL 8 COMERCIO E IMPORTACAO LTDA</t>
        </is>
      </c>
    </row>
    <row r="2663">
      <c r="B2663" t="inlineStr">
        <is>
          <t>04.789.159/0001-98</t>
        </is>
      </c>
      <c r="C2663" t="inlineStr">
        <is>
          <t>CORIS BRASIL TURISMO VIAGENS E ASSISTENCIA INTERNACIONAL LTDA</t>
        </is>
      </c>
    </row>
    <row r="2664">
      <c r="B2664" t="inlineStr">
        <is>
          <t>04.789.159/0001-98</t>
        </is>
      </c>
      <c r="C2664" t="inlineStr">
        <is>
          <t>CORIS BRASIL TURISMO VIAGENS E ASSISTENCIA INTERNACIONAL LTDA</t>
        </is>
      </c>
    </row>
    <row r="2665">
      <c r="B2665" t="inlineStr">
        <is>
          <t>04.789.159/0001-98</t>
        </is>
      </c>
      <c r="C2665" t="inlineStr">
        <is>
          <t>CORIS BRASIL TURISMO VIAGENS E ASSISTENCIA INTERNACIONAL LTDA</t>
        </is>
      </c>
    </row>
    <row r="2666">
      <c r="B2666" t="inlineStr">
        <is>
          <t>04.789.159/0001-98</t>
        </is>
      </c>
      <c r="C2666" t="inlineStr">
        <is>
          <t>CORIS BRASIL TURISMO VIAGENS E ASSISTENCIA INTERNACIONAL LTDA</t>
        </is>
      </c>
    </row>
    <row r="2667">
      <c r="B2667" t="inlineStr">
        <is>
          <t>04.798.925/0001-80</t>
        </is>
      </c>
      <c r="C2667" t="inlineStr">
        <is>
          <t>ART FARMA LTDA EM RECUPERACAO JUDICIAL</t>
        </is>
      </c>
    </row>
    <row r="2668">
      <c r="B2668" t="inlineStr">
        <is>
          <t>04.798.925/0001-80</t>
        </is>
      </c>
      <c r="C2668" t="inlineStr">
        <is>
          <t>ART FARMA LTDA EM RECUPERACAO JUDICIAL</t>
        </is>
      </c>
    </row>
    <row r="2669">
      <c r="B2669" t="inlineStr">
        <is>
          <t>04.798.925/0001-80</t>
        </is>
      </c>
      <c r="C2669" t="inlineStr">
        <is>
          <t>ART FARMA LTDA EM RECUPERACAO JUDICIAL</t>
        </is>
      </c>
    </row>
    <row r="2670">
      <c r="B2670" t="inlineStr">
        <is>
          <t>04.908.757/0001-39</t>
        </is>
      </c>
      <c r="C2670" t="inlineStr">
        <is>
          <t>COSTAO DO SANTINHO TURISMO E LAZER S.A.</t>
        </is>
      </c>
    </row>
    <row r="2671">
      <c r="B2671" t="inlineStr">
        <is>
          <t>04.908.757/0001-39</t>
        </is>
      </c>
      <c r="C2671" t="inlineStr">
        <is>
          <t>COSTAO DO SANTINHO TURISMO E LAZER S.A.</t>
        </is>
      </c>
    </row>
    <row r="2672">
      <c r="B2672" t="inlineStr">
        <is>
          <t>04.908.757/0001-39</t>
        </is>
      </c>
      <c r="C2672" t="inlineStr">
        <is>
          <t>COSTAO DO SANTINHO TURISMO E LAZER S.A.</t>
        </is>
      </c>
    </row>
    <row r="2673">
      <c r="B2673" t="inlineStr">
        <is>
          <t>04.908.757/0001-39</t>
        </is>
      </c>
      <c r="C2673" t="inlineStr">
        <is>
          <t>COSTAO DO SANTINHO TURISMO E LAZER S.A.</t>
        </is>
      </c>
    </row>
    <row r="2674">
      <c r="B2674" t="inlineStr">
        <is>
          <t>04.908.757/0001-39</t>
        </is>
      </c>
      <c r="C2674" t="inlineStr">
        <is>
          <t>COSTAO DO SANTINHO TURISMO E LAZER S.A.</t>
        </is>
      </c>
    </row>
    <row r="2675">
      <c r="B2675" t="inlineStr">
        <is>
          <t>04.942.346/0001-60</t>
        </is>
      </c>
      <c r="C2675" t="inlineStr">
        <is>
          <t>CHEBIB CONTROL TECNOLOGIAS LTDA</t>
        </is>
      </c>
    </row>
    <row r="2676">
      <c r="B2676" t="inlineStr">
        <is>
          <t>04.942.346/0001-60</t>
        </is>
      </c>
      <c r="C2676" t="inlineStr">
        <is>
          <t>CHEBIB CONTROL TECNOLOGIAS LTDA</t>
        </is>
      </c>
    </row>
    <row r="2677">
      <c r="B2677" t="inlineStr">
        <is>
          <t>04.942.346/0001-60</t>
        </is>
      </c>
      <c r="C2677" t="inlineStr">
        <is>
          <t>CHEBIB CONTROL TECNOLOGIAS LTDA</t>
        </is>
      </c>
    </row>
    <row r="2678">
      <c r="B2678" t="inlineStr">
        <is>
          <t>05.008.876/0001-06</t>
        </is>
      </c>
      <c r="C2678" t="inlineStr">
        <is>
          <t>VIAGENS PROMO TURISMO LTDA</t>
        </is>
      </c>
    </row>
    <row r="2679">
      <c r="B2679" t="inlineStr">
        <is>
          <t>05.008.876/0001-06</t>
        </is>
      </c>
      <c r="C2679" t="inlineStr">
        <is>
          <t>VIAGENS PROMO TURISMO LTDA</t>
        </is>
      </c>
    </row>
    <row r="2680">
      <c r="B2680" t="inlineStr">
        <is>
          <t>05.027.195/0043-36</t>
        </is>
      </c>
      <c r="C2680" t="inlineStr">
        <is>
          <t>ZINZANE COMERCIO E CONFECCAO DE VESTUARIO LTDA</t>
        </is>
      </c>
    </row>
    <row r="2681">
      <c r="B2681" t="inlineStr">
        <is>
          <t>05.027.195/0043-36</t>
        </is>
      </c>
      <c r="C2681" t="inlineStr">
        <is>
          <t>ZINZANE COMERCIO E CONFECCAO DE VESTUARIO LTDA</t>
        </is>
      </c>
    </row>
    <row r="2682">
      <c r="B2682" t="inlineStr">
        <is>
          <t>05.027.195/0043-36</t>
        </is>
      </c>
      <c r="C2682" t="inlineStr">
        <is>
          <t>ZINZANE COMERCIO E CONFECCAO DE VESTUARIO LTDA</t>
        </is>
      </c>
    </row>
    <row r="2683">
      <c r="B2683" t="inlineStr">
        <is>
          <t>05.164.667/0001-43</t>
        </is>
      </c>
      <c r="C2683" t="inlineStr">
        <is>
          <t>CENTER MEGA COMERCIO DE MATERIAIS PARA CONSTRUCAO LTDA</t>
        </is>
      </c>
    </row>
    <row r="2684">
      <c r="B2684" t="inlineStr">
        <is>
          <t>05.164.667/0001-43</t>
        </is>
      </c>
      <c r="C2684" t="inlineStr">
        <is>
          <t>CENTER MEGA COMERCIO DE MATERIAIS PARA CONSTRUCAO LTDA</t>
        </is>
      </c>
    </row>
    <row r="2685">
      <c r="B2685" t="inlineStr">
        <is>
          <t>05.164.667/0001-43</t>
        </is>
      </c>
      <c r="C2685" t="inlineStr">
        <is>
          <t>CENTER MEGA COMERCIO DE MATERIAIS PARA CONSTRUCAO LTDA</t>
        </is>
      </c>
    </row>
    <row r="2686">
      <c r="B2686" t="inlineStr">
        <is>
          <t>05.217.384/0002-01</t>
        </is>
      </c>
      <c r="C2686" t="inlineStr">
        <is>
          <t>H PLUS ADMINISTRACAO E HOTELARIA LTDA</t>
        </is>
      </c>
    </row>
    <row r="2687">
      <c r="B2687" t="inlineStr">
        <is>
          <t>05.217.384/0002-01</t>
        </is>
      </c>
      <c r="C2687" t="inlineStr">
        <is>
          <t>H PLUS ADMINISTRACAO E HOTELARIA LTDA</t>
        </is>
      </c>
    </row>
    <row r="2688">
      <c r="B2688" t="inlineStr">
        <is>
          <t>05.217.384/0002-01</t>
        </is>
      </c>
      <c r="C2688" t="inlineStr">
        <is>
          <t>H PLUS ADMINISTRACAO E HOTELARIA LTDA</t>
        </is>
      </c>
    </row>
    <row r="2689">
      <c r="B2689" t="inlineStr">
        <is>
          <t>05.217.384/0002-01</t>
        </is>
      </c>
      <c r="C2689" t="inlineStr">
        <is>
          <t>H PLUS ADMINISTRACAO E HOTELARIA LTDA</t>
        </is>
      </c>
    </row>
    <row r="2690">
      <c r="B2690" t="inlineStr">
        <is>
          <t>05.217.384/0005-46</t>
        </is>
      </c>
      <c r="C2690" t="inlineStr">
        <is>
          <t>H PLUS ADMINISTRACAO E HOTELARIA LTDA</t>
        </is>
      </c>
    </row>
    <row r="2691">
      <c r="B2691" t="inlineStr">
        <is>
          <t>05.217.384/0005-46</t>
        </is>
      </c>
      <c r="C2691" t="inlineStr">
        <is>
          <t>H PLUS ADMINISTRACAO E HOTELARIA LTDA</t>
        </is>
      </c>
    </row>
    <row r="2692">
      <c r="B2692" t="inlineStr">
        <is>
          <t>05.217.384/0005-46</t>
        </is>
      </c>
      <c r="C2692" t="inlineStr">
        <is>
          <t>H PLUS ADMINISTRACAO E HOTELARIA LTDA</t>
        </is>
      </c>
    </row>
    <row r="2693">
      <c r="B2693" t="inlineStr">
        <is>
          <t>05.217.384/0005-46</t>
        </is>
      </c>
      <c r="C2693" t="inlineStr">
        <is>
          <t>H PLUS ADMINISTRACAO E HOTELARIA LTDA</t>
        </is>
      </c>
    </row>
    <row r="2694">
      <c r="B2694" t="inlineStr">
        <is>
          <t>05.217.384/0006-27</t>
        </is>
      </c>
      <c r="C2694" t="inlineStr">
        <is>
          <t>H PLUS ADMINISTRACAO E HOTELARIA LTDA</t>
        </is>
      </c>
    </row>
    <row r="2695">
      <c r="B2695" t="inlineStr">
        <is>
          <t>05.217.384/0006-27</t>
        </is>
      </c>
      <c r="C2695" t="inlineStr">
        <is>
          <t>H PLUS ADMINISTRACAO E HOTELARIA LTDA</t>
        </is>
      </c>
    </row>
    <row r="2696">
      <c r="B2696" t="inlineStr">
        <is>
          <t>05.217.384/0006-27</t>
        </is>
      </c>
      <c r="C2696" t="inlineStr">
        <is>
          <t>H PLUS ADMINISTRACAO E HOTELARIA LTDA</t>
        </is>
      </c>
    </row>
    <row r="2697">
      <c r="B2697" t="inlineStr">
        <is>
          <t>05.217.384/0006-27</t>
        </is>
      </c>
      <c r="C2697" t="inlineStr">
        <is>
          <t>H PLUS ADMINISTRACAO E HOTELARIA LTDA</t>
        </is>
      </c>
    </row>
    <row r="2698">
      <c r="B2698" t="inlineStr">
        <is>
          <t>05.217.384/0010-03</t>
        </is>
      </c>
      <c r="C2698" t="inlineStr">
        <is>
          <t>H PLUS ADMINISTRACAO E HOTELARIA LTDA</t>
        </is>
      </c>
    </row>
    <row r="2699">
      <c r="B2699" t="inlineStr">
        <is>
          <t>05.217.384/0010-03</t>
        </is>
      </c>
      <c r="C2699" t="inlineStr">
        <is>
          <t>H PLUS ADMINISTRACAO E HOTELARIA LTDA</t>
        </is>
      </c>
    </row>
    <row r="2700">
      <c r="B2700" t="inlineStr">
        <is>
          <t>05.217.384/0010-03</t>
        </is>
      </c>
      <c r="C2700" t="inlineStr">
        <is>
          <t>H PLUS ADMINISTRACAO E HOTELARIA LTDA</t>
        </is>
      </c>
    </row>
    <row r="2701">
      <c r="B2701" t="inlineStr">
        <is>
          <t>05.217.384/0010-03</t>
        </is>
      </c>
      <c r="C2701" t="inlineStr">
        <is>
          <t>H PLUS ADMINISTRACAO E HOTELARIA LTDA</t>
        </is>
      </c>
    </row>
    <row r="2702">
      <c r="B2702" t="inlineStr">
        <is>
          <t>05.217.384/0011-94</t>
        </is>
      </c>
      <c r="C2702" t="inlineStr">
        <is>
          <t>H PLUS ADMINISTRACAO E HOTELARIA LTDA</t>
        </is>
      </c>
    </row>
    <row r="2703">
      <c r="B2703" t="inlineStr">
        <is>
          <t>05.217.384/0011-94</t>
        </is>
      </c>
      <c r="C2703" t="inlineStr">
        <is>
          <t>H PLUS ADMINISTRACAO E HOTELARIA LTDA</t>
        </is>
      </c>
    </row>
    <row r="2704">
      <c r="B2704" t="inlineStr">
        <is>
          <t>05.217.384/0011-94</t>
        </is>
      </c>
      <c r="C2704" t="inlineStr">
        <is>
          <t>H PLUS ADMINISTRACAO E HOTELARIA LTDA</t>
        </is>
      </c>
    </row>
    <row r="2705">
      <c r="B2705" t="inlineStr">
        <is>
          <t>05.217.384/0011-94</t>
        </is>
      </c>
      <c r="C2705" t="inlineStr">
        <is>
          <t>H PLUS ADMINISTRACAO E HOTELARIA LTDA</t>
        </is>
      </c>
    </row>
    <row r="2706">
      <c r="B2706" t="inlineStr">
        <is>
          <t>05.326.792/0001-02</t>
        </is>
      </c>
      <c r="C2706" t="inlineStr">
        <is>
          <t>GCS COMERCIO DE PNEUS LTDA</t>
        </is>
      </c>
    </row>
    <row r="2707">
      <c r="B2707" t="inlineStr">
        <is>
          <t>05.326.792/0001-02</t>
        </is>
      </c>
      <c r="C2707" t="inlineStr">
        <is>
          <t>GCS COMERCIO DE PNEUS LTDA</t>
        </is>
      </c>
    </row>
    <row r="2708">
      <c r="B2708" t="inlineStr">
        <is>
          <t>05.326.792/0001-02</t>
        </is>
      </c>
      <c r="C2708" t="inlineStr">
        <is>
          <t>GCS COMERCIO DE PNEUS LTDA</t>
        </is>
      </c>
    </row>
    <row r="2709">
      <c r="B2709" t="inlineStr">
        <is>
          <t>05.342.337/0001-09</t>
        </is>
      </c>
      <c r="C2709" t="inlineStr">
        <is>
          <t>MARYLIN KULKES CONSULTORIA EM ARTIGOS DE JOALHERIA LTDA</t>
        </is>
      </c>
    </row>
    <row r="2710">
      <c r="B2710" t="inlineStr">
        <is>
          <t>05.342.337/0001-09</t>
        </is>
      </c>
      <c r="C2710" t="inlineStr">
        <is>
          <t>MARYLIN KULKES CONSULTORIA EM ARTIGOS DE JOALHERIA LTDA</t>
        </is>
      </c>
    </row>
    <row r="2711">
      <c r="B2711" t="inlineStr">
        <is>
          <t>05.342.337/0001-09</t>
        </is>
      </c>
      <c r="C2711" t="inlineStr">
        <is>
          <t>MARYLIN KULKES CONSULTORIA EM ARTIGOS DE JOALHERIA LTDA</t>
        </is>
      </c>
    </row>
    <row r="2712">
      <c r="B2712" t="inlineStr">
        <is>
          <t>05.515.179/0001-33</t>
        </is>
      </c>
      <c r="C2712" t="inlineStr">
        <is>
          <t>GALLICA MANIPULACAO FARMACEUTICA LTDA</t>
        </is>
      </c>
    </row>
    <row r="2713">
      <c r="B2713" t="inlineStr">
        <is>
          <t>05.515.179/0001-33</t>
        </is>
      </c>
      <c r="C2713" t="inlineStr">
        <is>
          <t>GALLICA MANIPULACAO FARMACEUTICA LTDA</t>
        </is>
      </c>
    </row>
    <row r="2714">
      <c r="B2714" t="inlineStr">
        <is>
          <t>05.515.179/0001-33</t>
        </is>
      </c>
      <c r="C2714" t="inlineStr">
        <is>
          <t>GALLICA MANIPULACAO FARMACEUTICA LTDA</t>
        </is>
      </c>
    </row>
    <row r="2715">
      <c r="B2715" t="inlineStr">
        <is>
          <t>05.536.273/0001-79</t>
        </is>
      </c>
      <c r="C2715" t="inlineStr">
        <is>
          <t>FOCUS FITNESS ACADEMIA DE GINASTICA LTDA</t>
        </is>
      </c>
    </row>
    <row r="2716">
      <c r="B2716" t="inlineStr">
        <is>
          <t>05.536.273/0001-79</t>
        </is>
      </c>
      <c r="C2716" t="inlineStr">
        <is>
          <t>FOCUS FITNESS ACADEMIA DE GINASTICA LTDA</t>
        </is>
      </c>
    </row>
    <row r="2717">
      <c r="B2717" t="inlineStr">
        <is>
          <t>05.536.273/0001-79</t>
        </is>
      </c>
      <c r="C2717" t="inlineStr">
        <is>
          <t>FOCUS FITNESS ACADEMIA DE GINASTICA LTDA</t>
        </is>
      </c>
    </row>
    <row r="2718">
      <c r="B2718" t="inlineStr">
        <is>
          <t>05.558.568/0001-46</t>
        </is>
      </c>
      <c r="C2718" t="inlineStr">
        <is>
          <t>RESERVA FEITA TURISMO, EVENTOS E TECNOLOGIA LTDA</t>
        </is>
      </c>
    </row>
    <row r="2719">
      <c r="B2719" t="inlineStr">
        <is>
          <t>05.558.568/0001-46</t>
        </is>
      </c>
      <c r="C2719" t="inlineStr">
        <is>
          <t>RESERVA FEITA TURISMO, EVENTOS E TECNOLOGIA LTDA</t>
        </is>
      </c>
    </row>
    <row r="2720">
      <c r="B2720" t="inlineStr">
        <is>
          <t>05.558.568/0001-46</t>
        </is>
      </c>
      <c r="C2720" t="inlineStr">
        <is>
          <t>RESERVA FEITA TURISMO, EVENTOS E TECNOLOGIA LTDA</t>
        </is>
      </c>
    </row>
    <row r="2721">
      <c r="B2721" t="inlineStr">
        <is>
          <t>05.577.343/0001-37</t>
        </is>
      </c>
      <c r="C2721" t="inlineStr">
        <is>
          <t>MASTERCARD BRASIL SOLUCOES DE PAGAMENTO LTDA.</t>
        </is>
      </c>
    </row>
    <row r="2722">
      <c r="B2722" t="inlineStr">
        <is>
          <t>05.623.256/0001-79</t>
        </is>
      </c>
      <c r="C2722" t="inlineStr">
        <is>
          <t>INSIDE SISTEMAS LTDA</t>
        </is>
      </c>
    </row>
    <row r="2723">
      <c r="B2723" t="inlineStr">
        <is>
          <t>05.623.256/0001-79</t>
        </is>
      </c>
      <c r="C2723" t="inlineStr">
        <is>
          <t>INSIDE SISTEMAS LTDA</t>
        </is>
      </c>
    </row>
    <row r="2724">
      <c r="B2724" t="inlineStr">
        <is>
          <t>05.623.256/0001-79</t>
        </is>
      </c>
      <c r="C2724" t="inlineStr">
        <is>
          <t>INSIDE SISTEMAS LTDA</t>
        </is>
      </c>
    </row>
    <row r="2725">
      <c r="B2725" t="inlineStr">
        <is>
          <t>05.639.032/0001-55</t>
        </is>
      </c>
      <c r="C2725" t="inlineStr">
        <is>
          <t>CURANTE - FARMACIA DE MANIPULACAO LTDA</t>
        </is>
      </c>
    </row>
    <row r="2726">
      <c r="B2726" t="inlineStr">
        <is>
          <t>05.639.032/0001-55</t>
        </is>
      </c>
      <c r="C2726" t="inlineStr">
        <is>
          <t>CURANTE - FARMACIA DE MANIPULACAO LTDA</t>
        </is>
      </c>
    </row>
    <row r="2727">
      <c r="B2727" t="inlineStr">
        <is>
          <t>05.639.032/0001-55</t>
        </is>
      </c>
      <c r="C2727" t="inlineStr">
        <is>
          <t>CURANTE - FARMACIA DE MANIPULACAO LTDA</t>
        </is>
      </c>
    </row>
    <row r="2728">
      <c r="B2728" t="inlineStr">
        <is>
          <t>05.648.257/0031-93</t>
        </is>
      </c>
      <c r="C2728" t="inlineStr">
        <is>
          <t>BRASIL EDUCACAO S/A</t>
        </is>
      </c>
    </row>
    <row r="2729">
      <c r="B2729" t="inlineStr">
        <is>
          <t>05.648.257/0031-93</t>
        </is>
      </c>
      <c r="C2729" t="inlineStr">
        <is>
          <t>BRASIL EDUCACAO S/A</t>
        </is>
      </c>
    </row>
    <row r="2730">
      <c r="B2730" t="inlineStr">
        <is>
          <t>05.648.257/0031-93</t>
        </is>
      </c>
      <c r="C2730" t="inlineStr">
        <is>
          <t>BRASIL EDUCACAO S/A</t>
        </is>
      </c>
    </row>
    <row r="2731">
      <c r="B2731" t="inlineStr">
        <is>
          <t>05.648.257/0031-93</t>
        </is>
      </c>
      <c r="C2731" t="inlineStr">
        <is>
          <t>BRASIL EDUCACAO S/A</t>
        </is>
      </c>
    </row>
    <row r="2732">
      <c r="B2732" t="inlineStr">
        <is>
          <t>05.763.136/0001-77</t>
        </is>
      </c>
      <c r="C2732" t="inlineStr">
        <is>
          <t>MIV FARMACIA DE MANIPULACAO LTDA</t>
        </is>
      </c>
    </row>
    <row r="2733">
      <c r="B2733" t="inlineStr">
        <is>
          <t>05.763.136/0001-77</t>
        </is>
      </c>
      <c r="C2733" t="inlineStr">
        <is>
          <t>MIV FARMACIA DE MANIPULACAO LTDA</t>
        </is>
      </c>
    </row>
    <row r="2734">
      <c r="B2734" t="inlineStr">
        <is>
          <t>05.763.136/0001-77</t>
        </is>
      </c>
      <c r="C2734" t="inlineStr">
        <is>
          <t>MIV FARMACIA DE MANIPULACAO LTDA</t>
        </is>
      </c>
    </row>
    <row r="2735">
      <c r="B2735" t="inlineStr">
        <is>
          <t>05.763.136/0001-77</t>
        </is>
      </c>
      <c r="C2735" t="inlineStr">
        <is>
          <t>MIV FARMACIA DE MANIPULACAO LTDA</t>
        </is>
      </c>
    </row>
    <row r="2736">
      <c r="B2736" t="inlineStr">
        <is>
          <t>05.939.187/0001-07</t>
        </is>
      </c>
      <c r="C2736" t="inlineStr">
        <is>
          <t>MGTECH INFORMATICA E TECNOLOGIA LTDA</t>
        </is>
      </c>
    </row>
    <row r="2737">
      <c r="B2737" t="inlineStr">
        <is>
          <t>05.984.457/0001-00</t>
        </is>
      </c>
      <c r="C2737" t="inlineStr">
        <is>
          <t>NTS DO BRASIL COMERCIO DE MAQUINAS E FERRAMENTAS LTDA</t>
        </is>
      </c>
    </row>
    <row r="2738">
      <c r="B2738" t="inlineStr">
        <is>
          <t>05.984.457/0001-00</t>
        </is>
      </c>
      <c r="C2738" t="inlineStr">
        <is>
          <t>NTS DO BRASIL COMERCIO DE MAQUINAS E FERRAMENTAS LTDA</t>
        </is>
      </c>
    </row>
    <row r="2739">
      <c r="B2739" t="inlineStr">
        <is>
          <t>06.026.537/0001-07</t>
        </is>
      </c>
      <c r="C2739" t="inlineStr">
        <is>
          <t>SOCARRAO WEB SOLUTIONS LTDA</t>
        </is>
      </c>
    </row>
    <row r="2740">
      <c r="B2740" t="inlineStr">
        <is>
          <t>06.026.537/0001-07</t>
        </is>
      </c>
      <c r="C2740" t="inlineStr">
        <is>
          <t>SOCARRAO WEB SOLUTIONS LTDA</t>
        </is>
      </c>
    </row>
    <row r="2741">
      <c r="B2741" t="inlineStr">
        <is>
          <t>06.064.114/0001-81</t>
        </is>
      </c>
      <c r="C2741" t="inlineStr">
        <is>
          <t>COGRA DISTRIBUIDORA LTDA</t>
        </is>
      </c>
    </row>
    <row r="2742">
      <c r="B2742" t="inlineStr">
        <is>
          <t>06.064.114/0001-81</t>
        </is>
      </c>
      <c r="C2742" t="inlineStr">
        <is>
          <t>COGRA DISTRIBUIDORA LTDA</t>
        </is>
      </c>
    </row>
    <row r="2743">
      <c r="B2743" t="inlineStr">
        <is>
          <t>06.064.114/0001-81</t>
        </is>
      </c>
      <c r="C2743" t="inlineStr">
        <is>
          <t>COGRA DISTRIBUIDORA LTDA</t>
        </is>
      </c>
    </row>
    <row r="2744">
      <c r="B2744" t="inlineStr">
        <is>
          <t>06.253.931/0001-88</t>
        </is>
      </c>
      <c r="C2744" t="inlineStr">
        <is>
          <t>DOMESTICA LEGAL FOLHAS DE PAGAMENTO ONLINE LTDA</t>
        </is>
      </c>
    </row>
    <row r="2745">
      <c r="B2745" t="inlineStr">
        <is>
          <t>06.253.931/0001-88</t>
        </is>
      </c>
      <c r="C2745" t="inlineStr">
        <is>
          <t>DOMESTICA LEGAL FOLHAS DE PAGAMENTO ONLINE LTDA</t>
        </is>
      </c>
    </row>
    <row r="2746">
      <c r="B2746" t="inlineStr">
        <is>
          <t>06.253.931/0001-88</t>
        </is>
      </c>
      <c r="C2746" t="inlineStr">
        <is>
          <t>DOMESTICA LEGAL FOLHAS DE PAGAMENTO ONLINE LTDA</t>
        </is>
      </c>
    </row>
    <row r="2747">
      <c r="B2747" t="inlineStr">
        <is>
          <t>06.253.931/0001-88</t>
        </is>
      </c>
      <c r="C2747" t="inlineStr">
        <is>
          <t>DOMESTICA LEGAL FOLHAS DE PAGAMENTO ONLINE LTDA</t>
        </is>
      </c>
    </row>
    <row r="2748">
      <c r="B2748" t="inlineStr">
        <is>
          <t>06.253.931/0001-88</t>
        </is>
      </c>
      <c r="C2748" t="inlineStr">
        <is>
          <t>DOMESTICA LEGAL FOLHAS DE PAGAMENTO ONLINE LTDA</t>
        </is>
      </c>
    </row>
    <row r="2749">
      <c r="B2749" t="inlineStr">
        <is>
          <t>06.267.630/0001-03</t>
        </is>
      </c>
      <c r="C2749" t="inlineStr">
        <is>
          <t>COMPANHIA BRASILEIRA DE EDUCACAO E SISTEMAS DE ENSINO S.A</t>
        </is>
      </c>
    </row>
    <row r="2750">
      <c r="B2750" t="inlineStr">
        <is>
          <t>06.267.630/0001-03</t>
        </is>
      </c>
      <c r="C2750" t="inlineStr">
        <is>
          <t>COMPANHIA BRASILEIRA DE EDUCACAO E SISTEMAS DE ENSINO S.A</t>
        </is>
      </c>
    </row>
    <row r="2751">
      <c r="B2751" t="inlineStr">
        <is>
          <t>06.267.630/0027-42</t>
        </is>
      </c>
      <c r="C2751" t="inlineStr">
        <is>
          <t>COMPANHIA BRASILEIRA DE EDUCACAO E SISTEMAS DE ENSINO S.A</t>
        </is>
      </c>
    </row>
    <row r="2752">
      <c r="B2752" t="inlineStr">
        <is>
          <t>06.267.630/0027-42</t>
        </is>
      </c>
      <c r="C2752" t="inlineStr">
        <is>
          <t>COMPANHIA BRASILEIRA DE EDUCACAO E SISTEMAS DE ENSINO S.A</t>
        </is>
      </c>
    </row>
    <row r="2753">
      <c r="B2753" t="inlineStr">
        <is>
          <t>06.626.253/0001-51</t>
        </is>
      </c>
      <c r="C2753" t="inlineStr">
        <is>
          <t>EMPREENDIMENTOS PAGUE MENOS S/A</t>
        </is>
      </c>
    </row>
    <row r="2754">
      <c r="B2754" t="inlineStr">
        <is>
          <t>06.626.253/0001-51</t>
        </is>
      </c>
      <c r="C2754" t="inlineStr">
        <is>
          <t>EMPREENDIMENTOS PAGUE MENOS S/A</t>
        </is>
      </c>
    </row>
    <row r="2755">
      <c r="B2755" t="inlineStr">
        <is>
          <t>06.626.253/0001-51</t>
        </is>
      </c>
      <c r="C2755" t="inlineStr">
        <is>
          <t>EMPREENDIMENTOS PAGUE MENOS S/A</t>
        </is>
      </c>
    </row>
    <row r="2756">
      <c r="B2756" t="inlineStr">
        <is>
          <t>06.626.253/0001-51</t>
        </is>
      </c>
      <c r="C2756" t="inlineStr">
        <is>
          <t>EMPREENDIMENTOS PAGUE MENOS S/A</t>
        </is>
      </c>
    </row>
    <row r="2757">
      <c r="B2757" t="inlineStr">
        <is>
          <t>06.626.253/0001-51</t>
        </is>
      </c>
      <c r="C2757" t="inlineStr">
        <is>
          <t>EMPREENDIMENTOS PAGUE MENOS S/A</t>
        </is>
      </c>
    </row>
    <row r="2758">
      <c r="B2758" t="inlineStr">
        <is>
          <t>06.626.253/0001-51</t>
        </is>
      </c>
      <c r="C2758" t="inlineStr">
        <is>
          <t>EMPREENDIMENTOS PAGUE MENOS S/A</t>
        </is>
      </c>
    </row>
    <row r="2759">
      <c r="B2759" t="inlineStr">
        <is>
          <t>06.626.253/0001-51</t>
        </is>
      </c>
      <c r="C2759" t="inlineStr">
        <is>
          <t>EMPREENDIMENTOS PAGUE MENOS S/A</t>
        </is>
      </c>
    </row>
    <row r="2760">
      <c r="B2760" t="inlineStr">
        <is>
          <t>06.626.253/0001-51</t>
        </is>
      </c>
      <c r="C2760" t="inlineStr">
        <is>
          <t>EMPREENDIMENTOS PAGUE MENOS S/A</t>
        </is>
      </c>
    </row>
    <row r="2761">
      <c r="B2761" t="inlineStr">
        <is>
          <t>06.626.253/0001-51</t>
        </is>
      </c>
      <c r="C2761" t="inlineStr">
        <is>
          <t>EMPREENDIMENTOS PAGUE MENOS S/A</t>
        </is>
      </c>
    </row>
    <row r="2762">
      <c r="B2762" t="inlineStr">
        <is>
          <t>06.893.786/0001-08</t>
        </is>
      </c>
      <c r="C2762" t="inlineStr">
        <is>
          <t>SAINT PAUL EDUCACIONAL LTDA.</t>
        </is>
      </c>
    </row>
    <row r="2763">
      <c r="B2763" t="inlineStr">
        <is>
          <t>06.893.786/0001-08</t>
        </is>
      </c>
      <c r="C2763" t="inlineStr">
        <is>
          <t>SAINT PAUL EDUCACIONAL LTDA.</t>
        </is>
      </c>
    </row>
    <row r="2764">
      <c r="B2764" t="inlineStr">
        <is>
          <t>06.893.786/0001-08</t>
        </is>
      </c>
      <c r="C2764" t="inlineStr">
        <is>
          <t>SAINT PAUL EDUCACIONAL LTDA.</t>
        </is>
      </c>
    </row>
    <row r="2765">
      <c r="B2765" t="inlineStr">
        <is>
          <t>06.913.480/0001-68</t>
        </is>
      </c>
      <c r="C2765" t="inlineStr">
        <is>
          <t>DIMENSIONAL BRASIL SOLUCOES LTDA</t>
        </is>
      </c>
    </row>
    <row r="2766">
      <c r="B2766" t="inlineStr">
        <is>
          <t>06.913.480/0001-68</t>
        </is>
      </c>
      <c r="C2766" t="inlineStr">
        <is>
          <t>DIMENSIONAL BRASIL SOLUCOES LTDA</t>
        </is>
      </c>
    </row>
    <row r="2767">
      <c r="B2767" t="inlineStr">
        <is>
          <t>06.913.480/0001-68</t>
        </is>
      </c>
      <c r="C2767" t="inlineStr">
        <is>
          <t>DIMENSIONAL BRASIL SOLUCOES LTDA</t>
        </is>
      </c>
    </row>
    <row r="2768">
      <c r="B2768" t="inlineStr">
        <is>
          <t>06.913.480/0001-68</t>
        </is>
      </c>
      <c r="C2768" t="inlineStr">
        <is>
          <t>DIMENSIONAL BRASIL SOLUCOES LTDA</t>
        </is>
      </c>
    </row>
    <row r="2769">
      <c r="B2769" t="inlineStr">
        <is>
          <t>06.913.480/0001-68</t>
        </is>
      </c>
      <c r="C2769" t="inlineStr">
        <is>
          <t>DIMENSIONAL BRASIL SOLUCOES LTDA</t>
        </is>
      </c>
    </row>
    <row r="2770">
      <c r="B2770" t="inlineStr">
        <is>
          <t>07.015.691/0001-46</t>
        </is>
      </c>
      <c r="C2770" t="inlineStr">
        <is>
          <t>4 BIO MEDICAMENTOS S.A.</t>
        </is>
      </c>
    </row>
    <row r="2771">
      <c r="B2771" t="inlineStr">
        <is>
          <t>07.015.691/0001-46</t>
        </is>
      </c>
      <c r="C2771" t="inlineStr">
        <is>
          <t>4 BIO MEDICAMENTOS S.A.</t>
        </is>
      </c>
    </row>
    <row r="2772">
      <c r="B2772" t="inlineStr">
        <is>
          <t>07.015.691/0001-46</t>
        </is>
      </c>
      <c r="C2772" t="inlineStr">
        <is>
          <t>4 BIO MEDICAMENTOS S.A.</t>
        </is>
      </c>
    </row>
    <row r="2773">
      <c r="B2773" t="inlineStr">
        <is>
          <t>07.015.691/0001-46</t>
        </is>
      </c>
      <c r="C2773" t="inlineStr">
        <is>
          <t>4 BIO MEDICAMENTOS S.A.</t>
        </is>
      </c>
    </row>
    <row r="2774">
      <c r="B2774" t="inlineStr">
        <is>
          <t>07.015.691/0001-46</t>
        </is>
      </c>
      <c r="C2774" t="inlineStr">
        <is>
          <t>4 BIO MEDICAMENTOS S.A.</t>
        </is>
      </c>
    </row>
    <row r="2775">
      <c r="B2775" t="inlineStr">
        <is>
          <t>07.061.124/0001-26</t>
        </is>
      </c>
      <c r="C2775" t="inlineStr">
        <is>
          <t>CAMAQUA DISTRIBUIDORA LTDA</t>
        </is>
      </c>
    </row>
    <row r="2776">
      <c r="B2776" t="inlineStr">
        <is>
          <t>07.061.124/0001-26</t>
        </is>
      </c>
      <c r="C2776" t="inlineStr">
        <is>
          <t>CAMAQUA DISTRIBUIDORA LTDA</t>
        </is>
      </c>
    </row>
    <row r="2777">
      <c r="B2777" t="inlineStr">
        <is>
          <t>07.221.340/0001-91</t>
        </is>
      </c>
      <c r="C2777" t="inlineStr">
        <is>
          <t>LOWELL COSMETICOS DO BRASIL LTDA</t>
        </is>
      </c>
    </row>
    <row r="2778">
      <c r="B2778" t="inlineStr">
        <is>
          <t>07.221.340/0001-91</t>
        </is>
      </c>
      <c r="C2778" t="inlineStr">
        <is>
          <t>LOWELL COSMETICOS DO BRASIL LTDA</t>
        </is>
      </c>
    </row>
    <row r="2779">
      <c r="B2779" t="inlineStr">
        <is>
          <t>07.221.340/0001-91</t>
        </is>
      </c>
      <c r="C2779" t="inlineStr">
        <is>
          <t>LOWELL COSMETICOS DO BRASIL LTDA</t>
        </is>
      </c>
    </row>
    <row r="2780">
      <c r="B2780" t="inlineStr">
        <is>
          <t>07.221.340/0001-91</t>
        </is>
      </c>
      <c r="C2780" t="inlineStr">
        <is>
          <t>LOWELL COSMETICOS DO BRASIL LTDA</t>
        </is>
      </c>
    </row>
    <row r="2781">
      <c r="B2781" t="inlineStr">
        <is>
          <t>07.687.928/0001-35</t>
        </is>
      </c>
      <c r="C2781" t="inlineStr">
        <is>
          <t>WISH S.A.</t>
        </is>
      </c>
    </row>
    <row r="2782">
      <c r="B2782" t="inlineStr">
        <is>
          <t>07.687.928/0001-35</t>
        </is>
      </c>
      <c r="C2782" t="inlineStr">
        <is>
          <t>WISH S.A.</t>
        </is>
      </c>
    </row>
    <row r="2783">
      <c r="B2783" t="inlineStr">
        <is>
          <t>07.687.928/0001-35</t>
        </is>
      </c>
      <c r="C2783" t="inlineStr">
        <is>
          <t>WISH S.A.</t>
        </is>
      </c>
    </row>
    <row r="2784">
      <c r="B2784" t="inlineStr">
        <is>
          <t>07.718.633/0001-89</t>
        </is>
      </c>
      <c r="C2784" t="inlineStr">
        <is>
          <t>UNIDASUL DISTRIBUIDORA ALIMENTICIA S/A</t>
        </is>
      </c>
    </row>
    <row r="2785">
      <c r="B2785" t="inlineStr">
        <is>
          <t>07.718.633/0001-89</t>
        </is>
      </c>
      <c r="C2785" t="inlineStr">
        <is>
          <t>UNIDASUL DISTRIBUIDORA ALIMENTICIA S/A</t>
        </is>
      </c>
    </row>
    <row r="2786">
      <c r="B2786" t="inlineStr">
        <is>
          <t>07.718.633/0001-89</t>
        </is>
      </c>
      <c r="C2786" t="inlineStr">
        <is>
          <t>UNIDASUL DISTRIBUIDORA ALIMENTICIA S/A</t>
        </is>
      </c>
    </row>
    <row r="2787">
      <c r="B2787" t="inlineStr">
        <is>
          <t>07.737.623/0001-90</t>
        </is>
      </c>
      <c r="C2787" t="inlineStr">
        <is>
          <t>A ! BODYTECH PARTICIPACOES S.A</t>
        </is>
      </c>
    </row>
    <row r="2788">
      <c r="B2788" t="inlineStr">
        <is>
          <t>07.737.623/0001-90</t>
        </is>
      </c>
      <c r="C2788" t="inlineStr">
        <is>
          <t>A ! BODYTECH PARTICIPACOES S.A</t>
        </is>
      </c>
    </row>
    <row r="2789">
      <c r="B2789" t="inlineStr">
        <is>
          <t>07.737.623/0001-90</t>
        </is>
      </c>
      <c r="C2789" t="inlineStr">
        <is>
          <t>A ! BODYTECH PARTICIPACOES S.A</t>
        </is>
      </c>
    </row>
    <row r="2790">
      <c r="B2790" t="inlineStr">
        <is>
          <t>07.737.623/0001-90</t>
        </is>
      </c>
      <c r="C2790" t="inlineStr">
        <is>
          <t>A ! BODYTECH PARTICIPACOES S.A</t>
        </is>
      </c>
    </row>
    <row r="2791">
      <c r="B2791" t="inlineStr">
        <is>
          <t>07.756.995/0001-64</t>
        </is>
      </c>
      <c r="C2791" t="inlineStr">
        <is>
          <t>INFOJOBS BRASIL ATIVIDADES DE INTERNET LTDA.</t>
        </is>
      </c>
    </row>
    <row r="2792">
      <c r="B2792" t="inlineStr">
        <is>
          <t>07.756.995/0001-64</t>
        </is>
      </c>
      <c r="C2792" t="inlineStr">
        <is>
          <t>INFOJOBS BRASIL ATIVIDADES DE INTERNET LTDA.</t>
        </is>
      </c>
    </row>
    <row r="2793">
      <c r="B2793" t="inlineStr">
        <is>
          <t>07.756.995/0001-64</t>
        </is>
      </c>
      <c r="C2793" t="inlineStr">
        <is>
          <t>INFOJOBS BRASIL ATIVIDADES DE INTERNET LTDA.</t>
        </is>
      </c>
    </row>
    <row r="2794">
      <c r="B2794" t="inlineStr">
        <is>
          <t>07.760.188/0001-15</t>
        </is>
      </c>
      <c r="C2794" t="inlineStr">
        <is>
          <t>SM TRAVEL AGENCIA DE VIAGENS E TURISMO LTDA</t>
        </is>
      </c>
    </row>
    <row r="2795">
      <c r="B2795" t="inlineStr">
        <is>
          <t>07.760.188/0001-15</t>
        </is>
      </c>
      <c r="C2795" t="inlineStr">
        <is>
          <t>SM TRAVEL AGENCIA DE VIAGENS E TURISMO LTDA</t>
        </is>
      </c>
    </row>
    <row r="2796">
      <c r="B2796" t="inlineStr">
        <is>
          <t>07.760.188/0001-15</t>
        </is>
      </c>
      <c r="C2796" t="inlineStr">
        <is>
          <t>SM TRAVEL AGENCIA DE VIAGENS E TURISMO LTDA</t>
        </is>
      </c>
    </row>
    <row r="2797">
      <c r="B2797" t="inlineStr">
        <is>
          <t>07.760.299/0001-21</t>
        </is>
      </c>
      <c r="C2797" t="inlineStr">
        <is>
          <t>SOFACIL TECNOLOGIA LTDA</t>
        </is>
      </c>
    </row>
    <row r="2798">
      <c r="B2798" t="inlineStr">
        <is>
          <t>07.900.208/0001-06</t>
        </is>
      </c>
      <c r="C2798" t="inlineStr">
        <is>
          <t>ZZAB COMERCIO DE CALCADOS LTDA.</t>
        </is>
      </c>
    </row>
    <row r="2799">
      <c r="B2799" t="inlineStr">
        <is>
          <t>08.044.832/0001-11</t>
        </is>
      </c>
      <c r="C2799" t="inlineStr">
        <is>
          <t>FORMULA ACADEMIA LTDA</t>
        </is>
      </c>
    </row>
    <row r="2800">
      <c r="B2800" t="inlineStr">
        <is>
          <t>08.044.832/0001-11</t>
        </is>
      </c>
      <c r="C2800" t="inlineStr">
        <is>
          <t>FORMULA ACADEMIA LTDA</t>
        </is>
      </c>
    </row>
    <row r="2801">
      <c r="B2801" t="inlineStr">
        <is>
          <t>08.044.832/0001-11</t>
        </is>
      </c>
      <c r="C2801" t="inlineStr">
        <is>
          <t>FORMULA ACADEMIA LTDA</t>
        </is>
      </c>
    </row>
    <row r="2802">
      <c r="B2802" t="inlineStr">
        <is>
          <t>08.382.929/0001-34</t>
        </is>
      </c>
      <c r="C2802" t="inlineStr">
        <is>
          <t>RIQUENA NETO AR CONDICIONADO LTDA</t>
        </is>
      </c>
    </row>
    <row r="2803">
      <c r="B2803" t="inlineStr">
        <is>
          <t>08.382.929/0001-34</t>
        </is>
      </c>
      <c r="C2803" t="inlineStr">
        <is>
          <t>RIQUENA NETO AR CONDICIONADO LTDA</t>
        </is>
      </c>
    </row>
    <row r="2804">
      <c r="B2804" t="inlineStr">
        <is>
          <t>08.382.929/0001-34</t>
        </is>
      </c>
      <c r="C2804" t="inlineStr">
        <is>
          <t>RIQUENA NETO AR CONDICIONADO LTDA</t>
        </is>
      </c>
    </row>
    <row r="2805">
      <c r="B2805" t="inlineStr">
        <is>
          <t>08.412.977/0001-28</t>
        </is>
      </c>
      <c r="C2805" t="inlineStr">
        <is>
          <t>GIOSTRI EDITORA LTDA</t>
        </is>
      </c>
    </row>
    <row r="2806">
      <c r="B2806" t="inlineStr">
        <is>
          <t>08.412.977/0001-28</t>
        </is>
      </c>
      <c r="C2806" t="inlineStr">
        <is>
          <t>GIOSTRI EDITORA LTDA</t>
        </is>
      </c>
    </row>
    <row r="2807">
      <c r="B2807" t="inlineStr">
        <is>
          <t>08.412.977/0001-28</t>
        </is>
      </c>
      <c r="C2807" t="inlineStr">
        <is>
          <t>GIOSTRI EDITORA LTDA</t>
        </is>
      </c>
    </row>
    <row r="2808">
      <c r="B2808" t="inlineStr">
        <is>
          <t>08.476.852/0001-61</t>
        </is>
      </c>
      <c r="C2808" t="inlineStr">
        <is>
          <t>JCMP HOTEIS E COMERCIO LTDA</t>
        </is>
      </c>
    </row>
    <row r="2809">
      <c r="B2809" t="inlineStr">
        <is>
          <t>08.476.852/0001-61</t>
        </is>
      </c>
      <c r="C2809" t="inlineStr">
        <is>
          <t>JCMP HOTEIS E COMERCIO LTDA</t>
        </is>
      </c>
    </row>
    <row r="2810">
      <c r="B2810" t="inlineStr">
        <is>
          <t>08.476.852/0001-61</t>
        </is>
      </c>
      <c r="C2810" t="inlineStr">
        <is>
          <t>JCMP HOTEIS E COMERCIO LTDA</t>
        </is>
      </c>
    </row>
    <row r="2811">
      <c r="B2811" t="inlineStr">
        <is>
          <t>08.476.852/0001-61</t>
        </is>
      </c>
      <c r="C2811" t="inlineStr">
        <is>
          <t>JCMP HOTEIS E COMERCIO LTDA</t>
        </is>
      </c>
    </row>
    <row r="2812">
      <c r="B2812" t="inlineStr">
        <is>
          <t>08.476.852/0001-61</t>
        </is>
      </c>
      <c r="C2812" t="inlineStr">
        <is>
          <t>JCMP HOTEIS E COMERCIO LTDA</t>
        </is>
      </c>
    </row>
    <row r="2813">
      <c r="B2813" t="inlineStr">
        <is>
          <t>08.561.701/0001-01</t>
        </is>
      </c>
      <c r="C2813" t="inlineStr">
        <is>
          <t>PAGSEGURO INTERNET INSTITUICAO DE PAGAMENTO S.A.</t>
        </is>
      </c>
    </row>
    <row r="2814">
      <c r="B2814" t="inlineStr">
        <is>
          <t>08.613.254/0001-97</t>
        </is>
      </c>
      <c r="C2814" t="inlineStr">
        <is>
          <t>TB COMERCIO DE PRESENTES S.A.</t>
        </is>
      </c>
    </row>
    <row r="2815">
      <c r="B2815" t="inlineStr">
        <is>
          <t>08.613.254/0001-97</t>
        </is>
      </c>
      <c r="C2815" t="inlineStr">
        <is>
          <t>TB COMERCIO DE PRESENTES S.A.</t>
        </is>
      </c>
    </row>
    <row r="2816">
      <c r="B2816" t="inlineStr">
        <is>
          <t>08.621.379/0001-69</t>
        </is>
      </c>
      <c r="C2816" t="inlineStr">
        <is>
          <t>BRDF FITNESS CENTER - ACADEMIA DE GINASTICA S.A.</t>
        </is>
      </c>
    </row>
    <row r="2817">
      <c r="B2817" t="inlineStr">
        <is>
          <t>08.621.379/0001-69</t>
        </is>
      </c>
      <c r="C2817" t="inlineStr">
        <is>
          <t>BRDF FITNESS CENTER - ACADEMIA DE GINASTICA S.A.</t>
        </is>
      </c>
    </row>
    <row r="2818">
      <c r="B2818" t="inlineStr">
        <is>
          <t>08.621.379/0001-69</t>
        </is>
      </c>
      <c r="C2818" t="inlineStr">
        <is>
          <t>BRDF FITNESS CENTER - ACADEMIA DE GINASTICA S.A.</t>
        </is>
      </c>
    </row>
    <row r="2819">
      <c r="B2819" t="inlineStr">
        <is>
          <t>08.734.301/0001-50</t>
        </is>
      </c>
      <c r="C2819" t="inlineStr">
        <is>
          <t>QATAR AIRWAYS GROUP (Q.C.S.C.)</t>
        </is>
      </c>
    </row>
    <row r="2820">
      <c r="B2820" t="inlineStr">
        <is>
          <t>08.734.301/0001-50</t>
        </is>
      </c>
      <c r="C2820" t="inlineStr">
        <is>
          <t>QATAR AIRWAYS GROUP (Q.C.S.C.)</t>
        </is>
      </c>
    </row>
    <row r="2821">
      <c r="B2821" t="inlineStr">
        <is>
          <t>08.734.301/0001-50</t>
        </is>
      </c>
      <c r="C2821" t="inlineStr">
        <is>
          <t>QATAR AIRWAYS GROUP (Q.C.S.C.)</t>
        </is>
      </c>
    </row>
    <row r="2822">
      <c r="B2822" t="inlineStr">
        <is>
          <t>08.798.103/0001-50</t>
        </is>
      </c>
      <c r="C2822" t="inlineStr">
        <is>
          <t>BEST DISTRIBUIDORA DE BEBIDAS LTDA (baixada)</t>
        </is>
      </c>
    </row>
    <row r="2823">
      <c r="B2823" t="inlineStr">
        <is>
          <t>08.798.103/0001-50</t>
        </is>
      </c>
      <c r="C2823" t="inlineStr">
        <is>
          <t>BEST DISTRIBUIDORA DE BEBIDAS LTDA (baixada)</t>
        </is>
      </c>
    </row>
    <row r="2824">
      <c r="B2824" t="inlineStr">
        <is>
          <t>08.798.103/0001-50</t>
        </is>
      </c>
      <c r="C2824" t="inlineStr">
        <is>
          <t>BEST DISTRIBUIDORA DE BEBIDAS LTDA (baixada)</t>
        </is>
      </c>
    </row>
    <row r="2825">
      <c r="B2825" t="inlineStr">
        <is>
          <t>08.857.016/0001-27</t>
        </is>
      </c>
      <c r="C2825" t="inlineStr">
        <is>
          <t>EUROPLUS VIAGENS E TURISMO LTDA</t>
        </is>
      </c>
    </row>
    <row r="2826">
      <c r="B2826" t="inlineStr">
        <is>
          <t>08.857.016/0001-27</t>
        </is>
      </c>
      <c r="C2826" t="inlineStr">
        <is>
          <t>EUROPLUS VIAGENS E TURISMO LTDA</t>
        </is>
      </c>
    </row>
    <row r="2827">
      <c r="B2827" t="inlineStr">
        <is>
          <t>09.026.659/0001-91</t>
        </is>
      </c>
      <c r="C2827" t="inlineStr">
        <is>
          <t>SEAWAY CONFECCOES LTDA</t>
        </is>
      </c>
    </row>
    <row r="2828">
      <c r="B2828" t="inlineStr">
        <is>
          <t>09.026.659/0001-91</t>
        </is>
      </c>
      <c r="C2828" t="inlineStr">
        <is>
          <t>SEAWAY CONFECCOES LTDA</t>
        </is>
      </c>
    </row>
    <row r="2829">
      <c r="B2829" t="inlineStr">
        <is>
          <t>09.026.659/0001-91</t>
        </is>
      </c>
      <c r="C2829" t="inlineStr">
        <is>
          <t>SEAWAY CONFECCOES LTDA</t>
        </is>
      </c>
    </row>
    <row r="2830">
      <c r="B2830" t="inlineStr">
        <is>
          <t>09.026.659/0001-91</t>
        </is>
      </c>
      <c r="C2830" t="inlineStr">
        <is>
          <t>SEAWAY CONFECCOES LTDA</t>
        </is>
      </c>
    </row>
    <row r="2831">
      <c r="B2831" t="inlineStr">
        <is>
          <t>09.054.385/0001-44</t>
        </is>
      </c>
      <c r="C2831" t="inlineStr">
        <is>
          <t>INBRANDS S.A</t>
        </is>
      </c>
    </row>
    <row r="2832">
      <c r="B2832" t="inlineStr">
        <is>
          <t>09.054.385/0001-44</t>
        </is>
      </c>
      <c r="C2832" t="inlineStr">
        <is>
          <t>INBRANDS S.A</t>
        </is>
      </c>
    </row>
    <row r="2833">
      <c r="B2833" t="inlineStr">
        <is>
          <t>09.054.385/0001-44</t>
        </is>
      </c>
      <c r="C2833" t="inlineStr">
        <is>
          <t>INBRANDS S.A</t>
        </is>
      </c>
    </row>
    <row r="2834">
      <c r="B2834" t="inlineStr">
        <is>
          <t>09.054.385/0001-44</t>
        </is>
      </c>
      <c r="C2834" t="inlineStr">
        <is>
          <t>INBRANDS S.A</t>
        </is>
      </c>
    </row>
    <row r="2835">
      <c r="B2835" t="inlineStr">
        <is>
          <t>09.054.385/0001-44</t>
        </is>
      </c>
      <c r="C2835" t="inlineStr">
        <is>
          <t>INBRANDS S.A</t>
        </is>
      </c>
    </row>
    <row r="2836">
      <c r="B2836" t="inlineStr">
        <is>
          <t>09.054.385/0001-44</t>
        </is>
      </c>
      <c r="C2836" t="inlineStr">
        <is>
          <t>INBRANDS S.A</t>
        </is>
      </c>
    </row>
    <row r="2837">
      <c r="B2837" t="inlineStr">
        <is>
          <t>09.054.385/0001-44</t>
        </is>
      </c>
      <c r="C2837" t="inlineStr">
        <is>
          <t>INBRANDS S.A</t>
        </is>
      </c>
    </row>
    <row r="2838">
      <c r="B2838" t="inlineStr">
        <is>
          <t>09.089.849/0001-58</t>
        </is>
      </c>
      <c r="C2838" t="inlineStr">
        <is>
          <t>OSMAG-RIO E STOCK FRIO COMERCIO DE REFRIGERACAO LTDA</t>
        </is>
      </c>
    </row>
    <row r="2839">
      <c r="B2839" t="inlineStr">
        <is>
          <t>09.089.849/0001-58</t>
        </is>
      </c>
      <c r="C2839" t="inlineStr">
        <is>
          <t>OSMAG-RIO E STOCK FRIO COMERCIO DE REFRIGERACAO LTDA</t>
        </is>
      </c>
    </row>
    <row r="2840">
      <c r="B2840" t="inlineStr">
        <is>
          <t>09.089.849/0001-58</t>
        </is>
      </c>
      <c r="C2840" t="inlineStr">
        <is>
          <t>OSMAG-RIO E STOCK FRIO COMERCIO DE REFRIGERACAO LTDA</t>
        </is>
      </c>
    </row>
    <row r="2841">
      <c r="B2841" t="inlineStr">
        <is>
          <t>09.089.849/0001-58</t>
        </is>
      </c>
      <c r="C2841" t="inlineStr">
        <is>
          <t>OSMAG-RIO E STOCK FRIO COMERCIO DE REFRIGERACAO LTDA</t>
        </is>
      </c>
    </row>
    <row r="2842">
      <c r="B2842" t="inlineStr">
        <is>
          <t>09.127.271/0001-87</t>
        </is>
      </c>
      <c r="C2842" t="inlineStr">
        <is>
          <t>EHTL VIAGENS LTDA</t>
        </is>
      </c>
    </row>
    <row r="2843">
      <c r="B2843" t="inlineStr">
        <is>
          <t>09.127.271/0001-87</t>
        </is>
      </c>
      <c r="C2843" t="inlineStr">
        <is>
          <t>EHTL VIAGENS LTDA</t>
        </is>
      </c>
    </row>
    <row r="2844">
      <c r="B2844" t="inlineStr">
        <is>
          <t>09.127.271/0001-87</t>
        </is>
      </c>
      <c r="C2844" t="inlineStr">
        <is>
          <t>EHTL VIAGENS LTDA</t>
        </is>
      </c>
    </row>
    <row r="2845">
      <c r="B2845" t="inlineStr">
        <is>
          <t>09.127.271/0001-87</t>
        </is>
      </c>
      <c r="C2845" t="inlineStr">
        <is>
          <t>EHTL VIAGENS LTDA</t>
        </is>
      </c>
    </row>
    <row r="2846">
      <c r="B2846" t="inlineStr">
        <is>
          <t>09.180.505/0001-50</t>
        </is>
      </c>
      <c r="C2846" t="inlineStr">
        <is>
          <t>USEBENS SEGUROS S/A</t>
        </is>
      </c>
    </row>
    <row r="2847">
      <c r="B2847" t="inlineStr">
        <is>
          <t>09.180.505/0001-50</t>
        </is>
      </c>
      <c r="C2847" t="inlineStr">
        <is>
          <t>USEBENS SEGUROS S/A</t>
        </is>
      </c>
    </row>
    <row r="2848">
      <c r="B2848" t="inlineStr">
        <is>
          <t>09.180.505/0001-50</t>
        </is>
      </c>
      <c r="C2848" t="inlineStr">
        <is>
          <t>USEBENS SEGUROS S/A</t>
        </is>
      </c>
    </row>
    <row r="2849">
      <c r="B2849" t="inlineStr">
        <is>
          <t>09.204.187/0001-10</t>
        </is>
      </c>
      <c r="C2849" t="inlineStr">
        <is>
          <t>LATAM DISTRIBUIDORA DE COSMETICOS LTDA</t>
        </is>
      </c>
    </row>
    <row r="2850">
      <c r="B2850" t="inlineStr">
        <is>
          <t>09.204.187/0001-10</t>
        </is>
      </c>
      <c r="C2850" t="inlineStr">
        <is>
          <t>LATAM DISTRIBUIDORA DE COSMETICOS LTDA</t>
        </is>
      </c>
    </row>
    <row r="2851">
      <c r="B2851" t="inlineStr">
        <is>
          <t>09.204.187/0001-10</t>
        </is>
      </c>
      <c r="C2851" t="inlineStr">
        <is>
          <t>LATAM DISTRIBUIDORA DE COSMETICOS LTDA</t>
        </is>
      </c>
    </row>
    <row r="2852">
      <c r="B2852" t="inlineStr">
        <is>
          <t>09.204.187/0001-10</t>
        </is>
      </c>
      <c r="C2852" t="inlineStr">
        <is>
          <t>LATAM DISTRIBUIDORA DE COSMETICOS LTDA</t>
        </is>
      </c>
    </row>
    <row r="2853">
      <c r="B2853" t="inlineStr">
        <is>
          <t>09.204.187/0001-10</t>
        </is>
      </c>
      <c r="C2853" t="inlineStr">
        <is>
          <t>LATAM DISTRIBUIDORA DE COSMETICOS LTDA</t>
        </is>
      </c>
    </row>
    <row r="2854">
      <c r="B2854" t="inlineStr">
        <is>
          <t>09.317.212/0001-71</t>
        </is>
      </c>
      <c r="C2854" t="inlineStr">
        <is>
          <t>ELITE TRAVEL ASSESSORIA DE VIAGEM E OPERADORA TURISTICA LTDA</t>
        </is>
      </c>
    </row>
    <row r="2855">
      <c r="B2855" t="inlineStr">
        <is>
          <t>09.317.212/0001-71</t>
        </is>
      </c>
      <c r="C2855" t="inlineStr">
        <is>
          <t>ELITE TRAVEL ASSESSORIA DE VIAGEM E OPERADORA TURISTICA LTDA</t>
        </is>
      </c>
    </row>
    <row r="2856">
      <c r="B2856" t="inlineStr">
        <is>
          <t>09.317.212/0001-71</t>
        </is>
      </c>
      <c r="C2856" t="inlineStr">
        <is>
          <t>ELITE TRAVEL ASSESSORIA DE VIAGEM E OPERADORA TURISTICA LTDA</t>
        </is>
      </c>
    </row>
    <row r="2857">
      <c r="B2857" t="inlineStr">
        <is>
          <t>09.317.212/0001-71</t>
        </is>
      </c>
      <c r="C2857" t="inlineStr">
        <is>
          <t>ELITE TRAVEL ASSESSORIA DE VIAGEM E OPERADORA TURISTICA LTDA</t>
        </is>
      </c>
    </row>
    <row r="2858">
      <c r="B2858" t="inlineStr">
        <is>
          <t>09.338.704/0001-43</t>
        </is>
      </c>
      <c r="C2858" t="inlineStr">
        <is>
          <t>ASSOCIACAO EDUCACIONAL AFAM</t>
        </is>
      </c>
    </row>
    <row r="2859">
      <c r="B2859" t="inlineStr">
        <is>
          <t>09.338.704/0001-43</t>
        </is>
      </c>
      <c r="C2859" t="inlineStr">
        <is>
          <t>ASSOCIACAO EDUCACIONAL AFAM</t>
        </is>
      </c>
    </row>
    <row r="2860">
      <c r="B2860" t="inlineStr">
        <is>
          <t>09.338.704/0001-43</t>
        </is>
      </c>
      <c r="C2860" t="inlineStr">
        <is>
          <t>ASSOCIACAO EDUCACIONAL AFAM</t>
        </is>
      </c>
    </row>
    <row r="2861">
      <c r="B2861" t="inlineStr">
        <is>
          <t>09.339.936/0001-16</t>
        </is>
      </c>
      <c r="C2861" t="inlineStr">
        <is>
          <t>NS2.COM INTERNET S.A.</t>
        </is>
      </c>
    </row>
    <row r="2862">
      <c r="B2862" t="inlineStr">
        <is>
          <t>09.339.936/0001-16</t>
        </is>
      </c>
      <c r="C2862" t="inlineStr">
        <is>
          <t>NS2.COM INTERNET S.A.</t>
        </is>
      </c>
    </row>
    <row r="2863">
      <c r="B2863" t="inlineStr">
        <is>
          <t>09.339.936/0001-16</t>
        </is>
      </c>
      <c r="C2863" t="inlineStr">
        <is>
          <t>NS2.COM INTERNET S.A.</t>
        </is>
      </c>
    </row>
    <row r="2864">
      <c r="B2864" t="inlineStr">
        <is>
          <t>09.451.214/0001-59</t>
        </is>
      </c>
      <c r="C2864" t="inlineStr">
        <is>
          <t>DISTRIBUIDORA DE MOVEIS IPANEMA LTDA</t>
        </is>
      </c>
    </row>
    <row r="2865">
      <c r="B2865" t="inlineStr">
        <is>
          <t>09.451.214/0001-59</t>
        </is>
      </c>
      <c r="C2865" t="inlineStr">
        <is>
          <t>DISTRIBUIDORA DE MOVEIS IPANEMA LTDA</t>
        </is>
      </c>
    </row>
    <row r="2866">
      <c r="B2866" t="inlineStr">
        <is>
          <t>09.451.214/0001-59</t>
        </is>
      </c>
      <c r="C2866" t="inlineStr">
        <is>
          <t>DISTRIBUIDORA DE MOVEIS IPANEMA LTDA</t>
        </is>
      </c>
    </row>
    <row r="2867">
      <c r="B2867" t="inlineStr">
        <is>
          <t>09.509.549/0001-80</t>
        </is>
      </c>
      <c r="C2867" t="inlineStr">
        <is>
          <t>LATINOAMERICA TOUR VIAGENS E TURISMO LTDA</t>
        </is>
      </c>
    </row>
    <row r="2868">
      <c r="B2868" t="inlineStr">
        <is>
          <t>09.509.549/0001-80</t>
        </is>
      </c>
      <c r="C2868" t="inlineStr">
        <is>
          <t>LATINOAMERICA TOUR VIAGENS E TURISMO LTDA</t>
        </is>
      </c>
    </row>
    <row r="2869">
      <c r="B2869" t="inlineStr">
        <is>
          <t>09.813.204/0002-05</t>
        </is>
      </c>
      <c r="C2869" t="inlineStr">
        <is>
          <t>W2W E-COMMERCE DE VINHOS S/A</t>
        </is>
      </c>
    </row>
    <row r="2870">
      <c r="B2870" t="inlineStr">
        <is>
          <t>09.813.204/0002-05</t>
        </is>
      </c>
      <c r="C2870" t="inlineStr">
        <is>
          <t>W2W E-COMMERCE DE VINHOS S/A</t>
        </is>
      </c>
    </row>
    <row r="2871">
      <c r="B2871" t="inlineStr">
        <is>
          <t>10.140.643/0001-94</t>
        </is>
      </c>
      <c r="C2871" t="inlineStr">
        <is>
          <t>FARMACIA VIA SAUDE LTDA</t>
        </is>
      </c>
    </row>
    <row r="2872">
      <c r="B2872" t="inlineStr">
        <is>
          <t>10.140.643/0001-94</t>
        </is>
      </c>
      <c r="C2872" t="inlineStr">
        <is>
          <t>FARMACIA VIA SAUDE LTDA</t>
        </is>
      </c>
    </row>
    <row r="2873">
      <c r="B2873" t="inlineStr">
        <is>
          <t>10.140.643/0001-94</t>
        </is>
      </c>
      <c r="C2873" t="inlineStr">
        <is>
          <t>FARMACIA VIA SAUDE LTDA</t>
        </is>
      </c>
    </row>
    <row r="2874">
      <c r="B2874" t="inlineStr">
        <is>
          <t>10.158.838/0001-61</t>
        </is>
      </c>
      <c r="C2874" t="inlineStr">
        <is>
          <t>ISABELA FLORES INTERMEDIACOES LTDA</t>
        </is>
      </c>
    </row>
    <row r="2875">
      <c r="B2875" t="inlineStr">
        <is>
          <t>10.158.838/0001-61</t>
        </is>
      </c>
      <c r="C2875" t="inlineStr">
        <is>
          <t>ISABELA FLORES INTERMEDIACOES LTDA</t>
        </is>
      </c>
    </row>
    <row r="2876">
      <c r="B2876" t="inlineStr">
        <is>
          <t>10.158.838/0001-61</t>
        </is>
      </c>
      <c r="C2876" t="inlineStr">
        <is>
          <t>ISABELA FLORES INTERMEDIACOES LTDA</t>
        </is>
      </c>
    </row>
    <row r="2877">
      <c r="B2877" t="inlineStr">
        <is>
          <t>10.221.279/0001-97</t>
        </is>
      </c>
      <c r="C2877" t="inlineStr">
        <is>
          <t>CBSM - COMPANHIA BRASILEIRA DE SOLUCOES DE MARKETING</t>
        </is>
      </c>
    </row>
    <row r="2878">
      <c r="B2878" t="inlineStr">
        <is>
          <t>10.221.279/0001-97</t>
        </is>
      </c>
      <c r="C2878" t="inlineStr">
        <is>
          <t>CBSM - COMPANHIA BRASILEIRA DE SOLUCOES DE MARKETING</t>
        </is>
      </c>
    </row>
    <row r="2879">
      <c r="B2879" t="inlineStr">
        <is>
          <t>10.221.279/0001-97</t>
        </is>
      </c>
      <c r="C2879" t="inlineStr">
        <is>
          <t>CBSM - COMPANHIA BRASILEIRA DE SOLUCOES DE MARKETING</t>
        </is>
      </c>
    </row>
    <row r="2880">
      <c r="B2880" t="inlineStr">
        <is>
          <t>10.221.279/0001-97</t>
        </is>
      </c>
      <c r="C2880" t="inlineStr">
        <is>
          <t>CBSM - COMPANHIA BRASILEIRA DE SOLUCOES DE MARKETING</t>
        </is>
      </c>
    </row>
    <row r="2881">
      <c r="B2881" t="inlineStr">
        <is>
          <t>10.221.279/0001-97</t>
        </is>
      </c>
      <c r="C2881" t="inlineStr">
        <is>
          <t>CBSM - COMPANHIA BRASILEIRA DE SOLUCOES DE MARKETING</t>
        </is>
      </c>
    </row>
    <row r="2882">
      <c r="B2882" t="inlineStr">
        <is>
          <t>10.221.279/0001-97</t>
        </is>
      </c>
      <c r="C2882" t="inlineStr">
        <is>
          <t>CBSM - COMPANHIA BRASILEIRA DE SOLUCOES DE MARKETING</t>
        </is>
      </c>
    </row>
    <row r="2883">
      <c r="B2883" t="inlineStr">
        <is>
          <t>10.226.996/0001-01</t>
        </is>
      </c>
      <c r="C2883" t="inlineStr">
        <is>
          <t>CLARITYSOFT LTDA</t>
        </is>
      </c>
    </row>
    <row r="2884">
      <c r="B2884" t="inlineStr">
        <is>
          <t>10.230.480/0019-60</t>
        </is>
      </c>
      <c r="C2884" t="inlineStr">
        <is>
          <t>FERREIRA COSTA &amp; CIA LTDA</t>
        </is>
      </c>
    </row>
    <row r="2885">
      <c r="B2885" t="inlineStr">
        <is>
          <t>10.230.480/0019-60</t>
        </is>
      </c>
      <c r="C2885" t="inlineStr">
        <is>
          <t>FERREIRA COSTA &amp; CIA LTDA</t>
        </is>
      </c>
    </row>
    <row r="2886">
      <c r="B2886" t="inlineStr">
        <is>
          <t>10.316.298/0001-05</t>
        </is>
      </c>
      <c r="C2886" t="inlineStr">
        <is>
          <t>TICKET360 TECNOLOGIA E SOLUCOES LTDA</t>
        </is>
      </c>
    </row>
    <row r="2887">
      <c r="B2887" t="inlineStr">
        <is>
          <t>10.316.298/0001-05</t>
        </is>
      </c>
      <c r="C2887" t="inlineStr">
        <is>
          <t>TICKET360 TECNOLOGIA E SOLUCOES LTDA</t>
        </is>
      </c>
    </row>
    <row r="2888">
      <c r="B2888" t="inlineStr">
        <is>
          <t>10.348.318/0003-83</t>
        </is>
      </c>
      <c r="C2888" t="inlineStr">
        <is>
          <t>WINDSOR ADMINISTRACAO DE HOTEIS E SERVICOS S.A.</t>
        </is>
      </c>
    </row>
    <row r="2889">
      <c r="B2889" t="inlineStr">
        <is>
          <t>10.348.318/0003-83</t>
        </is>
      </c>
      <c r="C2889" t="inlineStr">
        <is>
          <t>WINDSOR ADMINISTRACAO DE HOTEIS E SERVICOS S.A.</t>
        </is>
      </c>
    </row>
    <row r="2890">
      <c r="B2890" t="inlineStr">
        <is>
          <t>10.348.318/0003-83</t>
        </is>
      </c>
      <c r="C2890" t="inlineStr">
        <is>
          <t>WINDSOR ADMINISTRACAO DE HOTEIS E SERVICOS S.A.</t>
        </is>
      </c>
    </row>
    <row r="2891">
      <c r="B2891" t="inlineStr">
        <is>
          <t>10.348.318/0003-83</t>
        </is>
      </c>
      <c r="C2891" t="inlineStr">
        <is>
          <t>WINDSOR ADMINISTRACAO DE HOTEIS E SERVICOS S.A.</t>
        </is>
      </c>
    </row>
    <row r="2892">
      <c r="B2892" t="inlineStr">
        <is>
          <t>10.348.318/0003-83</t>
        </is>
      </c>
      <c r="C2892" t="inlineStr">
        <is>
          <t>WINDSOR ADMINISTRACAO DE HOTEIS E SERVICOS S.A.</t>
        </is>
      </c>
    </row>
    <row r="2893">
      <c r="B2893" t="inlineStr">
        <is>
          <t>10.348.318/0003-83</t>
        </is>
      </c>
      <c r="C2893" t="inlineStr">
        <is>
          <t>WINDSOR ADMINISTRACAO DE HOTEIS E SERVICOS S.A.</t>
        </is>
      </c>
    </row>
    <row r="2894">
      <c r="B2894" t="inlineStr">
        <is>
          <t>10.490.181/0001-35</t>
        </is>
      </c>
      <c r="C2894" t="inlineStr">
        <is>
          <t>MADEIRAMADEIRA COMERCIO ELETRONICO S/A</t>
        </is>
      </c>
    </row>
    <row r="2895">
      <c r="B2895" t="inlineStr">
        <is>
          <t>10.490.181/0001-35</t>
        </is>
      </c>
      <c r="C2895" t="inlineStr">
        <is>
          <t>MADEIRAMADEIRA COMERCIO ELETRONICO S/A</t>
        </is>
      </c>
    </row>
    <row r="2896">
      <c r="B2896" t="inlineStr">
        <is>
          <t>10.490.181/0001-35</t>
        </is>
      </c>
      <c r="C2896" t="inlineStr">
        <is>
          <t>MADEIRAMADEIRA COMERCIO ELETRONICO S/A</t>
        </is>
      </c>
    </row>
    <row r="2897">
      <c r="B2897" t="inlineStr">
        <is>
          <t>10.490.181/0001-35</t>
        </is>
      </c>
      <c r="C2897" t="inlineStr">
        <is>
          <t>MADEIRAMADEIRA COMERCIO ELETRONICO S/A</t>
        </is>
      </c>
    </row>
    <row r="2898">
      <c r="B2898" t="inlineStr">
        <is>
          <t>10.555.312/0001-15</t>
        </is>
      </c>
      <c r="C2898" t="inlineStr">
        <is>
          <t>DENTAL PARTNER COMERCIO DE PRODUTOS E EQUIPAMENTOS ODONTOLOGICOS LTDA.</t>
        </is>
      </c>
    </row>
    <row r="2899">
      <c r="B2899" t="inlineStr">
        <is>
          <t>10.555.312/0001-15</t>
        </is>
      </c>
      <c r="C2899" t="inlineStr">
        <is>
          <t>DENTAL PARTNER COMERCIO DE PRODUTOS E EQUIPAMENTOS ODONTOLOGICOS LTDA.</t>
        </is>
      </c>
    </row>
    <row r="2900">
      <c r="B2900" t="inlineStr">
        <is>
          <t>10.555.312/0001-15</t>
        </is>
      </c>
      <c r="C2900" t="inlineStr">
        <is>
          <t>DENTAL PARTNER COMERCIO DE PRODUTOS E EQUIPAMENTOS ODONTOLOGICOS LTDA.</t>
        </is>
      </c>
    </row>
    <row r="2901">
      <c r="B2901" t="inlineStr">
        <is>
          <t>10.574.198/0001-70</t>
        </is>
      </c>
      <c r="C2901" t="inlineStr">
        <is>
          <t>AAX ACADEMIA DE EDUCACAO FISICA LTDA</t>
        </is>
      </c>
    </row>
    <row r="2902">
      <c r="B2902" t="inlineStr">
        <is>
          <t>10.574.198/0001-70</t>
        </is>
      </c>
      <c r="C2902" t="inlineStr">
        <is>
          <t>AAX ACADEMIA DE EDUCACAO FISICA LTDA</t>
        </is>
      </c>
    </row>
    <row r="2903">
      <c r="B2903" t="inlineStr">
        <is>
          <t>10.574.198/0001-70</t>
        </is>
      </c>
      <c r="C2903" t="inlineStr">
        <is>
          <t>AAX ACADEMIA DE EDUCACAO FISICA LTDA</t>
        </is>
      </c>
    </row>
    <row r="2904">
      <c r="B2904" t="inlineStr">
        <is>
          <t>10.733.184/0002-33</t>
        </is>
      </c>
      <c r="C2904" t="inlineStr">
        <is>
          <t>DAV ATACADISTA DE ARTIGOS DE VIAGEM LTDA</t>
        </is>
      </c>
    </row>
    <row r="2905">
      <c r="B2905" t="inlineStr">
        <is>
          <t>10.733.184/0002-33</t>
        </is>
      </c>
      <c r="C2905" t="inlineStr">
        <is>
          <t>DAV ATACADISTA DE ARTIGOS DE VIAGEM LTDA</t>
        </is>
      </c>
    </row>
    <row r="2906">
      <c r="B2906" t="inlineStr">
        <is>
          <t>10.733.184/0002-33</t>
        </is>
      </c>
      <c r="C2906" t="inlineStr">
        <is>
          <t>DAV ATACADISTA DE ARTIGOS DE VIAGEM LTDA</t>
        </is>
      </c>
    </row>
    <row r="2907">
      <c r="B2907" t="inlineStr">
        <is>
          <t>11.023.174/0130-93</t>
        </is>
      </c>
      <c r="C2907" t="inlineStr">
        <is>
          <t>PANDORA DO BRASIL COMERCIO LTDA</t>
        </is>
      </c>
    </row>
    <row r="2908">
      <c r="B2908" t="inlineStr">
        <is>
          <t>11.023.174/0130-93</t>
        </is>
      </c>
      <c r="C2908" t="inlineStr">
        <is>
          <t>PANDORA DO BRASIL COMERCIO LTDA</t>
        </is>
      </c>
    </row>
    <row r="2909">
      <c r="B2909" t="inlineStr">
        <is>
          <t>11.118.781/0001-30</t>
        </is>
      </c>
      <c r="C2909" t="inlineStr">
        <is>
          <t>MERCADO MAQUINAS LTDA</t>
        </is>
      </c>
    </row>
    <row r="2910">
      <c r="B2910" t="inlineStr">
        <is>
          <t>11.118.781/0001-30</t>
        </is>
      </c>
      <c r="C2910" t="inlineStr">
        <is>
          <t>MERCADO MAQUINAS LTDA</t>
        </is>
      </c>
    </row>
    <row r="2911">
      <c r="B2911" t="inlineStr">
        <is>
          <t>11.118.781/0001-30</t>
        </is>
      </c>
      <c r="C2911" t="inlineStr">
        <is>
          <t>MERCADO MAQUINAS LTDA</t>
        </is>
      </c>
    </row>
    <row r="2912">
      <c r="B2912" t="inlineStr">
        <is>
          <t>11.173.469/0001-49</t>
        </is>
      </c>
      <c r="C2912" t="inlineStr">
        <is>
          <t>DENILSON BARBOSA DA SILVA PAIVA JUNIOR</t>
        </is>
      </c>
    </row>
    <row r="2913">
      <c r="B2913" t="inlineStr">
        <is>
          <t>11.188.916/0001-33</t>
        </is>
      </c>
      <c r="C2913" t="inlineStr">
        <is>
          <t>TRAVEL PARTNER BRASIL AGENCIA DE TURISMO E VIAGENS LTDA.</t>
        </is>
      </c>
    </row>
    <row r="2914">
      <c r="B2914" t="inlineStr">
        <is>
          <t>11.188.916/0001-33</t>
        </is>
      </c>
      <c r="C2914" t="inlineStr">
        <is>
          <t>TRAVEL PARTNER BRASIL AGENCIA DE TURISMO E VIAGENS LTDA.</t>
        </is>
      </c>
    </row>
    <row r="2915">
      <c r="B2915" t="inlineStr">
        <is>
          <t>11.188.916/0001-33</t>
        </is>
      </c>
      <c r="C2915" t="inlineStr">
        <is>
          <t>TRAVEL PARTNER BRASIL AGENCIA DE TURISMO E VIAGENS LTDA.</t>
        </is>
      </c>
    </row>
    <row r="2916">
      <c r="B2916" t="inlineStr">
        <is>
          <t>11.188.916/0001-33</t>
        </is>
      </c>
      <c r="C2916" t="inlineStr">
        <is>
          <t>TRAVEL PARTNER BRASIL AGENCIA DE TURISMO E VIAGENS LTDA.</t>
        </is>
      </c>
    </row>
    <row r="2917">
      <c r="B2917" t="inlineStr">
        <is>
          <t>11.188.916/0001-33</t>
        </is>
      </c>
      <c r="C2917" t="inlineStr">
        <is>
          <t>TRAVEL PARTNER BRASIL AGENCIA DE TURISMO E VIAGENS LTDA.</t>
        </is>
      </c>
    </row>
    <row r="2918">
      <c r="B2918" t="inlineStr">
        <is>
          <t>11.188.916/0001-33</t>
        </is>
      </c>
      <c r="C2918" t="inlineStr">
        <is>
          <t>TRAVEL PARTNER BRASIL AGENCIA DE TURISMO E VIAGENS LTDA.</t>
        </is>
      </c>
    </row>
    <row r="2919">
      <c r="B2919" t="inlineStr">
        <is>
          <t>11.188.916/0001-33</t>
        </is>
      </c>
      <c r="C2919" t="inlineStr">
        <is>
          <t>TRAVEL PARTNER BRASIL AGENCIA DE TURISMO E VIAGENS LTDA.</t>
        </is>
      </c>
    </row>
    <row r="2920">
      <c r="B2920" t="inlineStr">
        <is>
          <t>11.188.916/0001-33</t>
        </is>
      </c>
      <c r="C2920" t="inlineStr">
        <is>
          <t>TRAVEL PARTNER BRASIL AGENCIA DE TURISMO E VIAGENS LTDA.</t>
        </is>
      </c>
    </row>
    <row r="2921">
      <c r="B2921" t="inlineStr">
        <is>
          <t>11.316.763/0001-62</t>
        </is>
      </c>
      <c r="C2921" t="inlineStr">
        <is>
          <t>MD EDUCACIONAL LTDA</t>
        </is>
      </c>
    </row>
    <row r="2922">
      <c r="B2922" t="inlineStr">
        <is>
          <t>11.316.763/0001-62</t>
        </is>
      </c>
      <c r="C2922" t="inlineStr">
        <is>
          <t>MD EDUCACIONAL LTDA</t>
        </is>
      </c>
    </row>
    <row r="2923">
      <c r="B2923" t="inlineStr">
        <is>
          <t>11.316.763/0001-62</t>
        </is>
      </c>
      <c r="C2923" t="inlineStr">
        <is>
          <t>MD EDUCACIONAL LTDA</t>
        </is>
      </c>
    </row>
    <row r="2924">
      <c r="B2924" t="inlineStr">
        <is>
          <t>11.319.526/0001-55</t>
        </is>
      </c>
      <c r="C2924" t="inlineStr">
        <is>
          <t>VSTP EDUCACAO S.A.</t>
        </is>
      </c>
    </row>
    <row r="2925">
      <c r="B2925" t="inlineStr">
        <is>
          <t>11.319.526/0001-55</t>
        </is>
      </c>
      <c r="C2925" t="inlineStr">
        <is>
          <t>VSTP EDUCACAO S.A.</t>
        </is>
      </c>
    </row>
    <row r="2926">
      <c r="B2926" t="inlineStr">
        <is>
          <t>11.319.526/0001-55</t>
        </is>
      </c>
      <c r="C2926" t="inlineStr">
        <is>
          <t>VSTP EDUCACAO S.A.</t>
        </is>
      </c>
    </row>
    <row r="2927">
      <c r="B2927" t="inlineStr">
        <is>
          <t>11.319.526/0001-55</t>
        </is>
      </c>
      <c r="C2927" t="inlineStr">
        <is>
          <t>VSTP EDUCACAO S.A.</t>
        </is>
      </c>
    </row>
    <row r="2928">
      <c r="B2928" t="inlineStr">
        <is>
          <t>11.426.381/0001-91</t>
        </is>
      </c>
      <c r="C2928" t="inlineStr">
        <is>
          <t>GAMA FITNESS CENTER - ACADEMIA DE GINASTICA S.A.</t>
        </is>
      </c>
    </row>
    <row r="2929">
      <c r="B2929" t="inlineStr">
        <is>
          <t>11.426.381/0001-91</t>
        </is>
      </c>
      <c r="C2929" t="inlineStr">
        <is>
          <t>GAMA FITNESS CENTER - ACADEMIA DE GINASTICA S.A.</t>
        </is>
      </c>
    </row>
    <row r="2930">
      <c r="B2930" t="inlineStr">
        <is>
          <t>11.426.381/0001-91</t>
        </is>
      </c>
      <c r="C2930" t="inlineStr">
        <is>
          <t>GAMA FITNESS CENTER - ACADEMIA DE GINASTICA S.A.</t>
        </is>
      </c>
    </row>
    <row r="2931">
      <c r="B2931" t="inlineStr">
        <is>
          <t>11.442.110/0001-20</t>
        </is>
      </c>
      <c r="C2931" t="inlineStr">
        <is>
          <t>ART VIAGENS E TURISMO LTDA  EM RECUPERACAO JUDICIAL</t>
        </is>
      </c>
    </row>
    <row r="2932">
      <c r="B2932" t="inlineStr">
        <is>
          <t>11.442.110/0001-20</t>
        </is>
      </c>
      <c r="C2932" t="inlineStr">
        <is>
          <t>ART VIAGENS E TURISMO LTDA  EM RECUPERACAO JUDICIAL</t>
        </is>
      </c>
    </row>
    <row r="2933">
      <c r="B2933" t="inlineStr">
        <is>
          <t>11.442.110/0001-20</t>
        </is>
      </c>
      <c r="C2933" t="inlineStr">
        <is>
          <t>ART VIAGENS E TURISMO LTDA  EM RECUPERACAO JUDICIAL</t>
        </is>
      </c>
    </row>
    <row r="2934">
      <c r="B2934" t="inlineStr">
        <is>
          <t>11.522.823/0001-01</t>
        </is>
      </c>
      <c r="C2934" t="inlineStr">
        <is>
          <t>BEFLY CONECTA AGENCIA DE VIAGENS E TURISMO LTDA</t>
        </is>
      </c>
    </row>
    <row r="2935">
      <c r="B2935" t="inlineStr">
        <is>
          <t>11.522.823/0001-01</t>
        </is>
      </c>
      <c r="C2935" t="inlineStr">
        <is>
          <t>BEFLY CONECTA AGENCIA DE VIAGENS E TURISMO LTDA</t>
        </is>
      </c>
    </row>
    <row r="2936">
      <c r="B2936" t="inlineStr">
        <is>
          <t>11.623.920/0001-82</t>
        </is>
      </c>
      <c r="C2936" t="inlineStr">
        <is>
          <t>VANNUCCI AUTOPECAS DO BRASIL LTDA</t>
        </is>
      </c>
    </row>
    <row r="2937">
      <c r="B2937" t="inlineStr">
        <is>
          <t>11.725.176/0001-27</t>
        </is>
      </c>
      <c r="C2937" t="inlineStr">
        <is>
          <t>BOA VISTA SERVICOS S.A.</t>
        </is>
      </c>
    </row>
    <row r="2938">
      <c r="B2938" t="inlineStr">
        <is>
          <t>11.725.176/0001-27</t>
        </is>
      </c>
      <c r="C2938" t="inlineStr">
        <is>
          <t>BOA VISTA SERVICOS S.A.</t>
        </is>
      </c>
    </row>
    <row r="2939">
      <c r="B2939" t="inlineStr">
        <is>
          <t>11.725.176/0001-27</t>
        </is>
      </c>
      <c r="C2939" t="inlineStr">
        <is>
          <t>BOA VISTA SERVICOS S.A.</t>
        </is>
      </c>
    </row>
    <row r="2940">
      <c r="B2940" t="inlineStr">
        <is>
          <t>11.805.397/0001-05</t>
        </is>
      </c>
      <c r="C2940" t="inlineStr">
        <is>
          <t>BEACH PARK HOTEIS E TURISMO S/A</t>
        </is>
      </c>
    </row>
    <row r="2941">
      <c r="B2941" t="inlineStr">
        <is>
          <t>11.805.397/0001-05</t>
        </is>
      </c>
      <c r="C2941" t="inlineStr">
        <is>
          <t>BEACH PARK HOTEIS E TURISMO S/A</t>
        </is>
      </c>
    </row>
    <row r="2942">
      <c r="B2942" t="inlineStr">
        <is>
          <t>11.805.397/0001-05</t>
        </is>
      </c>
      <c r="C2942" t="inlineStr">
        <is>
          <t>BEACH PARK HOTEIS E TURISMO S/A</t>
        </is>
      </c>
    </row>
    <row r="2943">
      <c r="B2943" t="inlineStr">
        <is>
          <t>11.911.525/0001-03</t>
        </is>
      </c>
      <c r="C2943" t="inlineStr">
        <is>
          <t>FARMACIA M.L.G. LTDA</t>
        </is>
      </c>
    </row>
    <row r="2944">
      <c r="B2944" t="inlineStr">
        <is>
          <t>11.911.525/0001-03</t>
        </is>
      </c>
      <c r="C2944" t="inlineStr">
        <is>
          <t>FARMACIA M.L.G. LTDA</t>
        </is>
      </c>
    </row>
    <row r="2945">
      <c r="B2945" t="inlineStr">
        <is>
          <t>11.911.525/0001-03</t>
        </is>
      </c>
      <c r="C2945" t="inlineStr">
        <is>
          <t>FARMACIA M.L.G. LTDA</t>
        </is>
      </c>
    </row>
    <row r="2946">
      <c r="B2946" t="inlineStr">
        <is>
          <t>12.356.100/0039-07</t>
        </is>
      </c>
      <c r="C2946" t="inlineStr">
        <is>
          <t>BMP UTILIDADES DOMESTICAS S.A.</t>
        </is>
      </c>
    </row>
    <row r="2947">
      <c r="B2947" t="inlineStr">
        <is>
          <t>12.356.100/0039-07</t>
        </is>
      </c>
      <c r="C2947" t="inlineStr">
        <is>
          <t>BMP UTILIDADES DOMESTICAS S.A.</t>
        </is>
      </c>
    </row>
    <row r="2948">
      <c r="B2948" t="inlineStr">
        <is>
          <t>12.455.479/0001-30</t>
        </is>
      </c>
      <c r="C2948" t="inlineStr">
        <is>
          <t>TORO INVESTIMENTOS S/A</t>
        </is>
      </c>
    </row>
    <row r="2949">
      <c r="B2949" t="inlineStr">
        <is>
          <t>12.455.479/0001-30</t>
        </is>
      </c>
      <c r="C2949" t="inlineStr">
        <is>
          <t>TORO INVESTIMENTOS S/A</t>
        </is>
      </c>
    </row>
    <row r="2950">
      <c r="B2950" t="inlineStr">
        <is>
          <t>12.455.479/0001-30</t>
        </is>
      </c>
      <c r="C2950" t="inlineStr">
        <is>
          <t>TORO INVESTIMENTOS S/A</t>
        </is>
      </c>
    </row>
    <row r="2951">
      <c r="B2951" t="inlineStr">
        <is>
          <t>12.659.502/0001-08</t>
        </is>
      </c>
      <c r="C2951" t="inlineStr">
        <is>
          <t>LSC INDUSTRIA E COMERCIO LTDA</t>
        </is>
      </c>
    </row>
    <row r="2952">
      <c r="B2952" t="inlineStr">
        <is>
          <t>12.888.241/0001-06</t>
        </is>
      </c>
      <c r="C2952" t="inlineStr">
        <is>
          <t>LIVELO S.A.</t>
        </is>
      </c>
    </row>
    <row r="2953">
      <c r="B2953" t="inlineStr">
        <is>
          <t>12.888.241/0001-06</t>
        </is>
      </c>
      <c r="C2953" t="inlineStr">
        <is>
          <t>LIVELO S.A.</t>
        </is>
      </c>
    </row>
    <row r="2954">
      <c r="B2954" t="inlineStr">
        <is>
          <t>12.888.241/0001-06</t>
        </is>
      </c>
      <c r="C2954" t="inlineStr">
        <is>
          <t>LIVELO S.A.</t>
        </is>
      </c>
    </row>
    <row r="2955">
      <c r="B2955" t="inlineStr">
        <is>
          <t>12.888.241/0001-06</t>
        </is>
      </c>
      <c r="C2955" t="inlineStr">
        <is>
          <t>LIVELO S.A.</t>
        </is>
      </c>
    </row>
    <row r="2956">
      <c r="B2956" t="inlineStr">
        <is>
          <t>12.960.020/0001-93</t>
        </is>
      </c>
      <c r="C2956" t="inlineStr">
        <is>
          <t>GD COMERCIO DE PRODUTOS FARMACEUTICOS LTDA</t>
        </is>
      </c>
    </row>
    <row r="2957">
      <c r="B2957" t="inlineStr">
        <is>
          <t>12.960.020/0001-93</t>
        </is>
      </c>
      <c r="C2957" t="inlineStr">
        <is>
          <t>GD COMERCIO DE PRODUTOS FARMACEUTICOS LTDA</t>
        </is>
      </c>
    </row>
    <row r="2958">
      <c r="B2958" t="inlineStr">
        <is>
          <t>12.960.020/0001-93</t>
        </is>
      </c>
      <c r="C2958" t="inlineStr">
        <is>
          <t>GD COMERCIO DE PRODUTOS FARMACEUTICOS LTDA</t>
        </is>
      </c>
    </row>
    <row r="2959">
      <c r="B2959" t="inlineStr">
        <is>
          <t>13.284.872/0001-70</t>
        </is>
      </c>
      <c r="C2959" t="inlineStr">
        <is>
          <t>IBR INSTITUTO BRANDAO DE REABILITACAO LTDA</t>
        </is>
      </c>
    </row>
    <row r="2960">
      <c r="B2960" t="inlineStr">
        <is>
          <t>13.331.495/0001-83</t>
        </is>
      </c>
      <c r="C2960" t="inlineStr">
        <is>
          <t>FLORES SHOP LTDA</t>
        </is>
      </c>
    </row>
    <row r="2961">
      <c r="B2961" t="inlineStr">
        <is>
          <t>13.399.454/0001-29</t>
        </is>
      </c>
      <c r="C2961" t="inlineStr">
        <is>
          <t>CYBERSOURCE SERVICOS DE PAGAMENTO LTDA.</t>
        </is>
      </c>
    </row>
    <row r="2962">
      <c r="B2962" t="inlineStr">
        <is>
          <t>13.415.304/0001-61</t>
        </is>
      </c>
      <c r="C2962" t="inlineStr">
        <is>
          <t>TAUA HOTEL E CONVENTION ATIBAIA LTDA</t>
        </is>
      </c>
    </row>
    <row r="2963">
      <c r="B2963" t="inlineStr">
        <is>
          <t>13.415.304/0001-61</t>
        </is>
      </c>
      <c r="C2963" t="inlineStr">
        <is>
          <t>TAUA HOTEL E CONVENTION ATIBAIA LTDA</t>
        </is>
      </c>
    </row>
    <row r="2964">
      <c r="B2964" t="inlineStr">
        <is>
          <t>13.415.304/0001-61</t>
        </is>
      </c>
      <c r="C2964" t="inlineStr">
        <is>
          <t>TAUA HOTEL E CONVENTION ATIBAIA LTDA</t>
        </is>
      </c>
    </row>
    <row r="2965">
      <c r="B2965" t="inlineStr">
        <is>
          <t>13.507.575/0001-47</t>
        </is>
      </c>
      <c r="C2965" t="inlineStr">
        <is>
          <t>AVIAREPS ASSESSORIA EM TURISMO LTDA.</t>
        </is>
      </c>
    </row>
    <row r="2966">
      <c r="B2966" t="inlineStr">
        <is>
          <t>13.507.575/0001-47</t>
        </is>
      </c>
      <c r="C2966" t="inlineStr">
        <is>
          <t>AVIAREPS ASSESSORIA EM TURISMO LTDA.</t>
        </is>
      </c>
    </row>
    <row r="2967">
      <c r="B2967" t="inlineStr">
        <is>
          <t>13.507.575/0001-47</t>
        </is>
      </c>
      <c r="C2967" t="inlineStr">
        <is>
          <t>AVIAREPS ASSESSORIA EM TURISMO LTDA.</t>
        </is>
      </c>
    </row>
    <row r="2968">
      <c r="B2968" t="inlineStr">
        <is>
          <t>13.612.214/0001-60</t>
        </is>
      </c>
      <c r="C2968" t="inlineStr">
        <is>
          <t>QUANTITY SERVICOS E COMERCIO DE PRODUTOS PARA SAUDE S.A.</t>
        </is>
      </c>
    </row>
    <row r="2969">
      <c r="B2969" t="inlineStr">
        <is>
          <t>13.612.214/0001-60</t>
        </is>
      </c>
      <c r="C2969" t="inlineStr">
        <is>
          <t>QUANTITY SERVICOS E COMERCIO DE PRODUTOS PARA SAUDE S.A.</t>
        </is>
      </c>
    </row>
    <row r="2970">
      <c r="B2970" t="inlineStr">
        <is>
          <t>13.612.214/0001-60</t>
        </is>
      </c>
      <c r="C2970" t="inlineStr">
        <is>
          <t>QUANTITY SERVICOS E COMERCIO DE PRODUTOS PARA SAUDE S.A.</t>
        </is>
      </c>
    </row>
    <row r="2971">
      <c r="B2971" t="inlineStr">
        <is>
          <t>13.612.214/0001-60</t>
        </is>
      </c>
      <c r="C2971" t="inlineStr">
        <is>
          <t>QUANTITY SERVICOS E COMERCIO DE PRODUTOS PARA SAUDE S.A.</t>
        </is>
      </c>
    </row>
    <row r="2972">
      <c r="B2972" t="inlineStr">
        <is>
          <t>13.781.692/0001-02</t>
        </is>
      </c>
      <c r="C2972" t="inlineStr">
        <is>
          <t>SOUTO DIAS COMERCIO, IMPORTACAO E EXPORTACAO LTDA EM RECUPERACAO JUDICIAL EM RECUPERACAO JUDICIAL</t>
        </is>
      </c>
    </row>
    <row r="2973">
      <c r="B2973" t="inlineStr">
        <is>
          <t>13.781.692/0001-02</t>
        </is>
      </c>
      <c r="C2973" t="inlineStr">
        <is>
          <t>SOUTO DIAS COMERCIO, IMPORTACAO E EXPORTACAO LTDA EM RECUPERACAO JUDICIAL EM RECUPERACAO JUDICIAL</t>
        </is>
      </c>
    </row>
    <row r="2974">
      <c r="B2974" t="inlineStr">
        <is>
          <t>13.781.692/0001-02</t>
        </is>
      </c>
      <c r="C2974" t="inlineStr">
        <is>
          <t>SOUTO DIAS COMERCIO, IMPORTACAO E EXPORTACAO LTDA EM RECUPERACAO JUDICIAL EM RECUPERACAO JUDICIAL</t>
        </is>
      </c>
    </row>
    <row r="2975">
      <c r="B2975" t="inlineStr">
        <is>
          <t>13.810.372/0001-25</t>
        </is>
      </c>
      <c r="C2975" t="inlineStr">
        <is>
          <t>BAHIA FITNESS CENTER - ACADEMIA DE GINASTICA LTDA</t>
        </is>
      </c>
    </row>
    <row r="2976">
      <c r="B2976" t="inlineStr">
        <is>
          <t>13.810.372/0001-25</t>
        </is>
      </c>
      <c r="C2976" t="inlineStr">
        <is>
          <t>BAHIA FITNESS CENTER - ACADEMIA DE GINASTICA LTDA</t>
        </is>
      </c>
    </row>
    <row r="2977">
      <c r="B2977" t="inlineStr">
        <is>
          <t>13.810.372/0001-25</t>
        </is>
      </c>
      <c r="C2977" t="inlineStr">
        <is>
          <t>BAHIA FITNESS CENTER - ACADEMIA DE GINASTICA LTDA</t>
        </is>
      </c>
    </row>
    <row r="2978">
      <c r="B2978" t="inlineStr">
        <is>
          <t>13.813.395/0002-74</t>
        </is>
      </c>
      <c r="C2978" t="inlineStr">
        <is>
          <t>BT01 FITNESS CENTER - ACADEMIA DE GINASTICA S.A.</t>
        </is>
      </c>
    </row>
    <row r="2979">
      <c r="B2979" t="inlineStr">
        <is>
          <t>13.813.395/0002-74</t>
        </is>
      </c>
      <c r="C2979" t="inlineStr">
        <is>
          <t>BT01 FITNESS CENTER - ACADEMIA DE GINASTICA S.A.</t>
        </is>
      </c>
    </row>
    <row r="2980">
      <c r="B2980" t="inlineStr">
        <is>
          <t>13.813.395/0002-74</t>
        </is>
      </c>
      <c r="C2980" t="inlineStr">
        <is>
          <t>BT01 FITNESS CENTER - ACADEMIA DE GINASTICA S.A.</t>
        </is>
      </c>
    </row>
    <row r="2981">
      <c r="B2981" t="inlineStr">
        <is>
          <t>13.882.847/0001-99</t>
        </is>
      </c>
      <c r="C2981" t="inlineStr">
        <is>
          <t>FERNANDA VENTURINI ESPORTE E BEM ESTAR LTDA</t>
        </is>
      </c>
    </row>
    <row r="2982">
      <c r="B2982" t="inlineStr">
        <is>
          <t>13.882.847/0001-99</t>
        </is>
      </c>
      <c r="C2982" t="inlineStr">
        <is>
          <t>FERNANDA VENTURINI ESPORTE E BEM ESTAR LTDA</t>
        </is>
      </c>
    </row>
    <row r="2983">
      <c r="B2983" t="inlineStr">
        <is>
          <t>13.882.847/0001-99</t>
        </is>
      </c>
      <c r="C2983" t="inlineStr">
        <is>
          <t>FERNANDA VENTURINI ESPORTE E BEM ESTAR LTDA</t>
        </is>
      </c>
    </row>
    <row r="2984">
      <c r="B2984" t="inlineStr">
        <is>
          <t>13.884.775/0001-19</t>
        </is>
      </c>
      <c r="C2984" t="inlineStr">
        <is>
          <t>MAGALUPAY INSTITUICAO DE PAGAMENTO S.A.</t>
        </is>
      </c>
    </row>
    <row r="2985">
      <c r="B2985" t="inlineStr">
        <is>
          <t>14.119.387/0001-04</t>
        </is>
      </c>
      <c r="C2985" t="inlineStr">
        <is>
          <t>DOUGLAS SANTOS TORRES DE OLIVEIRA</t>
        </is>
      </c>
    </row>
    <row r="2986">
      <c r="B2986" t="inlineStr">
        <is>
          <t>14.121.957/0001-09</t>
        </is>
      </c>
      <c r="C2986" t="inlineStr">
        <is>
          <t>VALID CERTIFICADORA DIGITAL LTDA.</t>
        </is>
      </c>
    </row>
    <row r="2987">
      <c r="B2987" t="inlineStr">
        <is>
          <t>14.378.093/0001-05</t>
        </is>
      </c>
      <c r="C2987" t="inlineStr">
        <is>
          <t>GLOBAL TRAVEL ADVISORS AGENCIA DE VIAGENS E TURISMO LTDA</t>
        </is>
      </c>
    </row>
    <row r="2988">
      <c r="B2988" t="inlineStr">
        <is>
          <t>14.378.093/0001-05</t>
        </is>
      </c>
      <c r="C2988" t="inlineStr">
        <is>
          <t>GLOBAL TRAVEL ADVISORS AGENCIA DE VIAGENS E TURISMO LTDA</t>
        </is>
      </c>
    </row>
    <row r="2989">
      <c r="B2989" t="inlineStr">
        <is>
          <t>14.378.093/0001-05</t>
        </is>
      </c>
      <c r="C2989" t="inlineStr">
        <is>
          <t>GLOBAL TRAVEL ADVISORS AGENCIA DE VIAGENS E TURISMO LTDA</t>
        </is>
      </c>
    </row>
    <row r="2990">
      <c r="B2990" t="inlineStr">
        <is>
          <t>14.764.367/0001-96</t>
        </is>
      </c>
      <c r="C2990" t="inlineStr">
        <is>
          <t>IOS COMERCIO DE ROUPAS LTDA</t>
        </is>
      </c>
    </row>
    <row r="2991">
      <c r="B2991" t="inlineStr">
        <is>
          <t>14.764.367/0001-96</t>
        </is>
      </c>
      <c r="C2991" t="inlineStr">
        <is>
          <t>IOS COMERCIO DE ROUPAS LTDA</t>
        </is>
      </c>
    </row>
    <row r="2992">
      <c r="B2992" t="inlineStr">
        <is>
          <t>14.773.721/0001-49</t>
        </is>
      </c>
      <c r="C2992" t="inlineStr">
        <is>
          <t>MALAI MANSO HOTEL RESORT S.A.</t>
        </is>
      </c>
    </row>
    <row r="2993">
      <c r="B2993" t="inlineStr">
        <is>
          <t>14.773.721/0001-49</t>
        </is>
      </c>
      <c r="C2993" t="inlineStr">
        <is>
          <t>MALAI MANSO HOTEL RESORT S.A.</t>
        </is>
      </c>
    </row>
    <row r="2994">
      <c r="B2994" t="inlineStr">
        <is>
          <t>14.773.721/0001-49</t>
        </is>
      </c>
      <c r="C2994" t="inlineStr">
        <is>
          <t>MALAI MANSO HOTEL RESORT S.A.</t>
        </is>
      </c>
    </row>
    <row r="2995">
      <c r="B2995" t="inlineStr">
        <is>
          <t>14.773.721/0001-49</t>
        </is>
      </c>
      <c r="C2995" t="inlineStr">
        <is>
          <t>MALAI MANSO HOTEL RESORT S.A.</t>
        </is>
      </c>
    </row>
    <row r="2996">
      <c r="B2996" t="inlineStr">
        <is>
          <t>14.773.721/0001-49</t>
        </is>
      </c>
      <c r="C2996" t="inlineStr">
        <is>
          <t>MALAI MANSO HOTEL RESORT S.A.</t>
        </is>
      </c>
    </row>
    <row r="2997">
      <c r="B2997" t="inlineStr">
        <is>
          <t>14.799.060/0001-20</t>
        </is>
      </c>
      <c r="C2997" t="inlineStr">
        <is>
          <t>TAYAYA ADMINISTRACAO E PARTICIPACOES LTDA</t>
        </is>
      </c>
    </row>
    <row r="2998">
      <c r="B2998" t="inlineStr">
        <is>
          <t>14.799.060/0001-20</t>
        </is>
      </c>
      <c r="C2998" t="inlineStr">
        <is>
          <t>TAYAYA ADMINISTRACAO E PARTICIPACOES LTDA</t>
        </is>
      </c>
    </row>
    <row r="2999">
      <c r="B2999" t="inlineStr">
        <is>
          <t>14.799.060/0001-20</t>
        </is>
      </c>
      <c r="C2999" t="inlineStr">
        <is>
          <t>TAYAYA ADMINISTRACAO E PARTICIPACOES LTDA</t>
        </is>
      </c>
    </row>
    <row r="3000">
      <c r="B3000" t="inlineStr">
        <is>
          <t>14.799.060/0001-20</t>
        </is>
      </c>
      <c r="C3000" t="inlineStr">
        <is>
          <t>TAYAYA ADMINISTRACAO E PARTICIPACOES LTDA</t>
        </is>
      </c>
    </row>
    <row r="3001">
      <c r="B3001" t="inlineStr">
        <is>
          <t>14.799.060/0001-20</t>
        </is>
      </c>
      <c r="C3001" t="inlineStr">
        <is>
          <t>TAYAYA ADMINISTRACAO E PARTICIPACOES LTDA</t>
        </is>
      </c>
    </row>
    <row r="3002">
      <c r="B3002" t="inlineStr">
        <is>
          <t>14.863.783/0001-41</t>
        </is>
      </c>
      <c r="C3002" t="inlineStr">
        <is>
          <t>GO FIT ACADEMIA E ESPORTES LTDA</t>
        </is>
      </c>
    </row>
    <row r="3003">
      <c r="B3003" t="inlineStr">
        <is>
          <t>14.863.783/0001-41</t>
        </is>
      </c>
      <c r="C3003" t="inlineStr">
        <is>
          <t>GO FIT ACADEMIA E ESPORTES LTDA</t>
        </is>
      </c>
    </row>
    <row r="3004">
      <c r="B3004" t="inlineStr">
        <is>
          <t>14.863.783/0001-41</t>
        </is>
      </c>
      <c r="C3004" t="inlineStr">
        <is>
          <t>GO FIT ACADEMIA E ESPORTES LTDA</t>
        </is>
      </c>
    </row>
    <row r="3005">
      <c r="B3005" t="inlineStr">
        <is>
          <t>14.868.712/0001-31</t>
        </is>
      </c>
      <c r="C3005" t="inlineStr">
        <is>
          <t>AKAD SEGUROS S.A.</t>
        </is>
      </c>
    </row>
    <row r="3006">
      <c r="B3006" t="inlineStr">
        <is>
          <t>14.868.712/0001-31</t>
        </is>
      </c>
      <c r="C3006" t="inlineStr">
        <is>
          <t>AKAD SEGUROS S.A.</t>
        </is>
      </c>
    </row>
    <row r="3007">
      <c r="B3007" t="inlineStr">
        <is>
          <t>15.218.102/0001-55</t>
        </is>
      </c>
      <c r="C3007" t="inlineStr">
        <is>
          <t>BELLADONNAS PHARMA FARMACIA DE MANIPULACAO LTDA</t>
        </is>
      </c>
    </row>
    <row r="3008">
      <c r="B3008" t="inlineStr">
        <is>
          <t>15.218.102/0001-55</t>
        </is>
      </c>
      <c r="C3008" t="inlineStr">
        <is>
          <t>BELLADONNAS PHARMA FARMACIA DE MANIPULACAO LTDA</t>
        </is>
      </c>
    </row>
    <row r="3009">
      <c r="B3009" t="inlineStr">
        <is>
          <t>15.218.102/0001-55</t>
        </is>
      </c>
      <c r="C3009" t="inlineStr">
        <is>
          <t>BELLADONNAS PHARMA FARMACIA DE MANIPULACAO LTDA</t>
        </is>
      </c>
    </row>
    <row r="3010">
      <c r="B3010" t="inlineStr">
        <is>
          <t>15.428.902/0001-09</t>
        </is>
      </c>
      <c r="C3010" t="inlineStr">
        <is>
          <t>SDM COMERCIALIZADORA DE PRODUTOS ORGANICOS LTDA</t>
        </is>
      </c>
    </row>
    <row r="3011">
      <c r="B3011" t="inlineStr">
        <is>
          <t>15.428.902/0001-09</t>
        </is>
      </c>
      <c r="C3011" t="inlineStr">
        <is>
          <t>SDM COMERCIALIZADORA DE PRODUTOS ORGANICOS LTDA</t>
        </is>
      </c>
    </row>
    <row r="3012">
      <c r="B3012" t="inlineStr">
        <is>
          <t>15.428.902/0001-09</t>
        </is>
      </c>
      <c r="C3012" t="inlineStr">
        <is>
          <t>SDM COMERCIALIZADORA DE PRODUTOS ORGANICOS LTDA</t>
        </is>
      </c>
    </row>
    <row r="3013">
      <c r="B3013" t="inlineStr">
        <is>
          <t>15.590.335/0001-84</t>
        </is>
      </c>
      <c r="C3013" t="inlineStr">
        <is>
          <t>ALVO ACADEMIA LTDA</t>
        </is>
      </c>
    </row>
    <row r="3014">
      <c r="B3014" t="inlineStr">
        <is>
          <t>15.590.335/0001-84</t>
        </is>
      </c>
      <c r="C3014" t="inlineStr">
        <is>
          <t>ALVO ACADEMIA LTDA</t>
        </is>
      </c>
    </row>
    <row r="3015">
      <c r="B3015" t="inlineStr">
        <is>
          <t>15.590.335/0001-84</t>
        </is>
      </c>
      <c r="C3015" t="inlineStr">
        <is>
          <t>ALVO ACADEMIA LTDA</t>
        </is>
      </c>
    </row>
    <row r="3016">
      <c r="B3016" t="inlineStr">
        <is>
          <t>15.754.475/0001-40</t>
        </is>
      </c>
      <c r="C3016" t="inlineStr">
        <is>
          <t>HOSTGATOR BRASIL LTDA.</t>
        </is>
      </c>
    </row>
    <row r="3017">
      <c r="B3017" t="inlineStr">
        <is>
          <t>15.754.475/0001-40</t>
        </is>
      </c>
      <c r="C3017" t="inlineStr">
        <is>
          <t>HOSTGATOR BRASIL LTDA.</t>
        </is>
      </c>
    </row>
    <row r="3018">
      <c r="B3018" t="inlineStr">
        <is>
          <t>15.754.475/0001-40</t>
        </is>
      </c>
      <c r="C3018" t="inlineStr">
        <is>
          <t>HOSTGATOR BRASIL LTDA.</t>
        </is>
      </c>
    </row>
    <row r="3019">
      <c r="B3019" t="inlineStr">
        <is>
          <t>15.754.475/0001-40</t>
        </is>
      </c>
      <c r="C3019" t="inlineStr">
        <is>
          <t>HOSTGATOR BRASIL LTDA.</t>
        </is>
      </c>
    </row>
    <row r="3020">
      <c r="B3020" t="inlineStr">
        <is>
          <t>15.754.475/0001-40</t>
        </is>
      </c>
      <c r="C3020" t="inlineStr">
        <is>
          <t>HOSTGATOR BRASIL LTDA.</t>
        </is>
      </c>
    </row>
    <row r="3021">
      <c r="B3021" t="inlineStr">
        <is>
          <t>15.754.475/0001-40</t>
        </is>
      </c>
      <c r="C3021" t="inlineStr">
        <is>
          <t>HOSTGATOR BRASIL LTDA.</t>
        </is>
      </c>
    </row>
    <row r="3022">
      <c r="B3022" t="inlineStr">
        <is>
          <t>15.767.893/0001-72</t>
        </is>
      </c>
      <c r="C3022" t="inlineStr">
        <is>
          <t>MFC ACADEMIA LTDA</t>
        </is>
      </c>
    </row>
    <row r="3023">
      <c r="B3023" t="inlineStr">
        <is>
          <t>15.767.893/0001-72</t>
        </is>
      </c>
      <c r="C3023" t="inlineStr">
        <is>
          <t>MFC ACADEMIA LTDA</t>
        </is>
      </c>
    </row>
    <row r="3024">
      <c r="B3024" t="inlineStr">
        <is>
          <t>15.767.893/0001-72</t>
        </is>
      </c>
      <c r="C3024" t="inlineStr">
        <is>
          <t>MFC ACADEMIA LTDA</t>
        </is>
      </c>
    </row>
    <row r="3025">
      <c r="B3025" t="inlineStr">
        <is>
          <t>16.219.099/0001-57</t>
        </is>
      </c>
      <c r="C3025" t="inlineStr">
        <is>
          <t>BRUMAR FARMACIA DE MANIPULACAO LTDA</t>
        </is>
      </c>
    </row>
    <row r="3026">
      <c r="B3026" t="inlineStr">
        <is>
          <t>16.219.099/0001-57</t>
        </is>
      </c>
      <c r="C3026" t="inlineStr">
        <is>
          <t>BRUMAR FARMACIA DE MANIPULACAO LTDA</t>
        </is>
      </c>
    </row>
    <row r="3027">
      <c r="B3027" t="inlineStr">
        <is>
          <t>16.219.099/0001-57</t>
        </is>
      </c>
      <c r="C3027" t="inlineStr">
        <is>
          <t>BRUMAR FARMACIA DE MANIPULACAO LTDA</t>
        </is>
      </c>
    </row>
    <row r="3028">
      <c r="B3028" t="inlineStr">
        <is>
          <t>16.219.099/0001-57</t>
        </is>
      </c>
      <c r="C3028" t="inlineStr">
        <is>
          <t>BRUMAR FARMACIA DE MANIPULACAO LTDA</t>
        </is>
      </c>
    </row>
    <row r="3029">
      <c r="B3029" t="inlineStr">
        <is>
          <t>16.912.899/0001-59</t>
        </is>
      </c>
      <c r="C3029" t="inlineStr">
        <is>
          <t>BSB SERVICOS DE INTERMEDIACAO DE NEGOCIOS E SOLUCOES WEB LTDA</t>
        </is>
      </c>
    </row>
    <row r="3030">
      <c r="B3030" t="inlineStr">
        <is>
          <t>16.912.899/0001-59</t>
        </is>
      </c>
      <c r="C3030" t="inlineStr">
        <is>
          <t>BSB SERVICOS DE INTERMEDIACAO DE NEGOCIOS E SOLUCOES WEB LTDA</t>
        </is>
      </c>
    </row>
    <row r="3031">
      <c r="B3031" t="inlineStr">
        <is>
          <t>16.912.899/0001-59</t>
        </is>
      </c>
      <c r="C3031" t="inlineStr">
        <is>
          <t>BSB SERVICOS DE INTERMEDIACAO DE NEGOCIOS E SOLUCOES WEB LTDA</t>
        </is>
      </c>
    </row>
    <row r="3032">
      <c r="B3032" t="inlineStr">
        <is>
          <t>16.912.899/0001-59</t>
        </is>
      </c>
      <c r="C3032" t="inlineStr">
        <is>
          <t>BSB SERVICOS DE INTERMEDIACAO DE NEGOCIOS E SOLUCOES WEB LTDA</t>
        </is>
      </c>
    </row>
    <row r="3033">
      <c r="B3033" t="inlineStr">
        <is>
          <t>16.912.899/0001-59</t>
        </is>
      </c>
      <c r="C3033" t="inlineStr">
        <is>
          <t>BSB SERVICOS DE INTERMEDIACAO DE NEGOCIOS E SOLUCOES WEB LTDA</t>
        </is>
      </c>
    </row>
    <row r="3034">
      <c r="B3034" t="inlineStr">
        <is>
          <t>16.912.899/0001-59</t>
        </is>
      </c>
      <c r="C3034" t="inlineStr">
        <is>
          <t>BSB SERVICOS DE INTERMEDIACAO DE NEGOCIOS E SOLUCOES WEB LTDA</t>
        </is>
      </c>
    </row>
    <row r="3035">
      <c r="B3035" t="inlineStr">
        <is>
          <t>16.991.645/0001-73</t>
        </is>
      </c>
      <c r="C3035" t="inlineStr">
        <is>
          <t>HSYSTEM TECNOLOGIA LTDA</t>
        </is>
      </c>
    </row>
    <row r="3036">
      <c r="B3036" t="inlineStr">
        <is>
          <t>16.991.645/0001-73</t>
        </is>
      </c>
      <c r="C3036" t="inlineStr">
        <is>
          <t>HSYSTEM TECNOLOGIA LTDA</t>
        </is>
      </c>
    </row>
    <row r="3037">
      <c r="B3037" t="inlineStr">
        <is>
          <t>16.991.645/0001-73</t>
        </is>
      </c>
      <c r="C3037" t="inlineStr">
        <is>
          <t>HSYSTEM TECNOLOGIA LTDA</t>
        </is>
      </c>
    </row>
    <row r="3038">
      <c r="B3038" t="inlineStr">
        <is>
          <t>17.062.326/0001-46</t>
        </is>
      </c>
      <c r="C3038" t="inlineStr">
        <is>
          <t>R C FITNESS CENTER LTDA</t>
        </is>
      </c>
    </row>
    <row r="3039">
      <c r="B3039" t="inlineStr">
        <is>
          <t>17.062.326/0001-46</t>
        </is>
      </c>
      <c r="C3039" t="inlineStr">
        <is>
          <t>R C FITNESS CENTER LTDA</t>
        </is>
      </c>
    </row>
    <row r="3040">
      <c r="B3040" t="inlineStr">
        <is>
          <t>17.062.326/0001-46</t>
        </is>
      </c>
      <c r="C3040" t="inlineStr">
        <is>
          <t>R C FITNESS CENTER LTDA</t>
        </is>
      </c>
    </row>
    <row r="3041">
      <c r="B3041" t="inlineStr">
        <is>
          <t>17.197.385/0001-21</t>
        </is>
      </c>
      <c r="C3041" t="inlineStr">
        <is>
          <t>ZURICH MINAS BRASIL SEGUROS S.A.</t>
        </is>
      </c>
    </row>
    <row r="3042">
      <c r="B3042" t="inlineStr">
        <is>
          <t>17.197.385/0001-21</t>
        </is>
      </c>
      <c r="C3042" t="inlineStr">
        <is>
          <t>ZURICH MINAS BRASIL SEGUROS S.A.</t>
        </is>
      </c>
    </row>
    <row r="3043">
      <c r="B3043" t="inlineStr">
        <is>
          <t>17.197.385/0001-21</t>
        </is>
      </c>
      <c r="C3043" t="inlineStr">
        <is>
          <t>ZURICH MINAS BRASIL SEGUROS S.A.</t>
        </is>
      </c>
    </row>
    <row r="3044">
      <c r="B3044" t="inlineStr">
        <is>
          <t>17.197.385/0001-21</t>
        </is>
      </c>
      <c r="C3044" t="inlineStr">
        <is>
          <t>ZURICH MINAS BRASIL SEGUROS S.A.</t>
        </is>
      </c>
    </row>
    <row r="3045">
      <c r="B3045" t="inlineStr">
        <is>
          <t>17.245.051/0001-86</t>
        </is>
      </c>
      <c r="C3045" t="inlineStr">
        <is>
          <t>INCOMFRAL - INDUSTRIA E COMERCIO DE FRALDAS LTDA</t>
        </is>
      </c>
    </row>
    <row r="3046">
      <c r="B3046" t="inlineStr">
        <is>
          <t>17.245.051/0001-86</t>
        </is>
      </c>
      <c r="C3046" t="inlineStr">
        <is>
          <t>INCOMFRAL - INDUSTRIA E COMERCIO DE FRALDAS LTDA</t>
        </is>
      </c>
    </row>
    <row r="3047">
      <c r="B3047" t="inlineStr">
        <is>
          <t>17.245.051/0001-86</t>
        </is>
      </c>
      <c r="C3047" t="inlineStr">
        <is>
          <t>INCOMFRAL - INDUSTRIA E COMERCIO DE FRALDAS LTDA</t>
        </is>
      </c>
    </row>
    <row r="3048">
      <c r="B3048" t="inlineStr">
        <is>
          <t>17.245.051/0001-86</t>
        </is>
      </c>
      <c r="C3048" t="inlineStr">
        <is>
          <t>INCOMFRAL - INDUSTRIA E COMERCIO DE FRALDAS LTDA</t>
        </is>
      </c>
    </row>
    <row r="3049">
      <c r="B3049" t="inlineStr">
        <is>
          <t>17.400.505/0001-46</t>
        </is>
      </c>
      <c r="C3049" t="inlineStr">
        <is>
          <t>ARTIA DESENVOLVIMENTO DE SISTEMAS LTDA</t>
        </is>
      </c>
    </row>
    <row r="3050">
      <c r="B3050" t="inlineStr">
        <is>
          <t>17.400.505/0001-46</t>
        </is>
      </c>
      <c r="C3050" t="inlineStr">
        <is>
          <t>ARTIA DESENVOLVIMENTO DE SISTEMAS LTDA</t>
        </is>
      </c>
    </row>
    <row r="3051">
      <c r="B3051" t="inlineStr">
        <is>
          <t>17.400.505/0001-46</t>
        </is>
      </c>
      <c r="C3051" t="inlineStr">
        <is>
          <t>ARTIA DESENVOLVIMENTO DE SISTEMAS LTDA</t>
        </is>
      </c>
    </row>
    <row r="3052">
      <c r="B3052" t="inlineStr">
        <is>
          <t>17.400.505/0001-46</t>
        </is>
      </c>
      <c r="C3052" t="inlineStr">
        <is>
          <t>ARTIA DESENVOLVIMENTO DE SISTEMAS LTDA</t>
        </is>
      </c>
    </row>
    <row r="3053">
      <c r="B3053" t="inlineStr">
        <is>
          <t>18.483.322/0001-02</t>
        </is>
      </c>
      <c r="C3053" t="inlineStr">
        <is>
          <t>ONESHOP DISTRIBUIDORA LTDA</t>
        </is>
      </c>
    </row>
    <row r="3054">
      <c r="B3054" t="inlineStr">
        <is>
          <t>18.483.322/0001-02</t>
        </is>
      </c>
      <c r="C3054" t="inlineStr">
        <is>
          <t>ONESHOP DISTRIBUIDORA LTDA</t>
        </is>
      </c>
    </row>
    <row r="3055">
      <c r="B3055" t="inlineStr">
        <is>
          <t>18.483.322/0001-02</t>
        </is>
      </c>
      <c r="C3055" t="inlineStr">
        <is>
          <t>ONESHOP DISTRIBUIDORA LTDA</t>
        </is>
      </c>
    </row>
    <row r="3056">
      <c r="B3056" t="inlineStr">
        <is>
          <t>18.483.322/0001-02</t>
        </is>
      </c>
      <c r="C3056" t="inlineStr">
        <is>
          <t>ONESHOP DISTRIBUIDORA LTDA</t>
        </is>
      </c>
    </row>
    <row r="3057">
      <c r="B3057" t="inlineStr">
        <is>
          <t>18.653.891/0001-40</t>
        </is>
      </c>
      <c r="C3057" t="inlineStr">
        <is>
          <t>FORMULA TIJU FITNESS CENTER - ACADEMIA DE GINASTICA LTDA</t>
        </is>
      </c>
    </row>
    <row r="3058">
      <c r="B3058" t="inlineStr">
        <is>
          <t>18.653.891/0001-40</t>
        </is>
      </c>
      <c r="C3058" t="inlineStr">
        <is>
          <t>FORMULA TIJU FITNESS CENTER - ACADEMIA DE GINASTICA LTDA</t>
        </is>
      </c>
    </row>
    <row r="3059">
      <c r="B3059" t="inlineStr">
        <is>
          <t>18.653.891/0001-40</t>
        </is>
      </c>
      <c r="C3059" t="inlineStr">
        <is>
          <t>FORMULA TIJU FITNESS CENTER - ACADEMIA DE GINASTICA LTDA</t>
        </is>
      </c>
    </row>
    <row r="3060">
      <c r="B3060" t="inlineStr">
        <is>
          <t>18.836.589/0001-28</t>
        </is>
      </c>
      <c r="C3060" t="inlineStr">
        <is>
          <t>BESTBUYHOTEL VIAGENS E TURISMO LTDA.</t>
        </is>
      </c>
    </row>
    <row r="3061">
      <c r="B3061" t="inlineStr">
        <is>
          <t>18.836.589/0001-28</t>
        </is>
      </c>
      <c r="C3061" t="inlineStr">
        <is>
          <t>BESTBUYHOTEL VIAGENS E TURISMO LTDA.</t>
        </is>
      </c>
    </row>
    <row r="3062">
      <c r="B3062" t="inlineStr">
        <is>
          <t>18.836.589/0001-28</t>
        </is>
      </c>
      <c r="C3062" t="inlineStr">
        <is>
          <t>BESTBUYHOTEL VIAGENS E TURISMO LTDA.</t>
        </is>
      </c>
    </row>
    <row r="3063">
      <c r="B3063" t="inlineStr">
        <is>
          <t>18.937.972/0001-72</t>
        </is>
      </c>
      <c r="C3063" t="inlineStr">
        <is>
          <t>MF STORE LTDA</t>
        </is>
      </c>
    </row>
    <row r="3064">
      <c r="B3064" t="inlineStr">
        <is>
          <t>19.266.668/0001-03</t>
        </is>
      </c>
      <c r="C3064" t="inlineStr">
        <is>
          <t>GRECIA ACADEMIA LTDA</t>
        </is>
      </c>
    </row>
    <row r="3065">
      <c r="B3065" t="inlineStr">
        <is>
          <t>19.266.668/0001-03</t>
        </is>
      </c>
      <c r="C3065" t="inlineStr">
        <is>
          <t>GRECIA ACADEMIA LTDA</t>
        </is>
      </c>
    </row>
    <row r="3066">
      <c r="B3066" t="inlineStr">
        <is>
          <t>19.266.668/0001-03</t>
        </is>
      </c>
      <c r="C3066" t="inlineStr">
        <is>
          <t>GRECIA ACADEMIA LTDA</t>
        </is>
      </c>
    </row>
    <row r="3067">
      <c r="B3067" t="inlineStr">
        <is>
          <t>19.668.272/0001-92</t>
        </is>
      </c>
      <c r="C3067" t="inlineStr">
        <is>
          <t>ATLETA E CIA LTDA</t>
        </is>
      </c>
    </row>
    <row r="3068">
      <c r="B3068" t="inlineStr">
        <is>
          <t>19.668.272/0001-92</t>
        </is>
      </c>
      <c r="C3068" t="inlineStr">
        <is>
          <t>ATLETA E CIA LTDA</t>
        </is>
      </c>
    </row>
    <row r="3069">
      <c r="B3069" t="inlineStr">
        <is>
          <t>19.668.272/0001-92</t>
        </is>
      </c>
      <c r="C3069" t="inlineStr">
        <is>
          <t>ATLETA E CIA LTDA</t>
        </is>
      </c>
    </row>
    <row r="3070">
      <c r="B3070" t="inlineStr">
        <is>
          <t>19.726.111/0001-08</t>
        </is>
      </c>
      <c r="C3070" t="inlineStr">
        <is>
          <t>CONCESSIONARIA AEROPORTO RIO DE JANEIRO S.A.</t>
        </is>
      </c>
    </row>
    <row r="3071">
      <c r="B3071" t="inlineStr">
        <is>
          <t>19.836.887/0001-80</t>
        </is>
      </c>
      <c r="C3071" t="inlineStr">
        <is>
          <t>DLP ACADEMIA LTDA</t>
        </is>
      </c>
    </row>
    <row r="3072">
      <c r="B3072" t="inlineStr">
        <is>
          <t>19.836.887/0001-80</t>
        </is>
      </c>
      <c r="C3072" t="inlineStr">
        <is>
          <t>DLP ACADEMIA LTDA</t>
        </is>
      </c>
    </row>
    <row r="3073">
      <c r="B3073" t="inlineStr">
        <is>
          <t>19.836.887/0001-80</t>
        </is>
      </c>
      <c r="C3073" t="inlineStr">
        <is>
          <t>DLP ACADEMIA LTDA</t>
        </is>
      </c>
    </row>
    <row r="3074">
      <c r="B3074" t="inlineStr">
        <is>
          <t>19.853.291/0001-99</t>
        </is>
      </c>
      <c r="C3074" t="inlineStr">
        <is>
          <t>POUSADA ARTE DA NATUREZA LTDA</t>
        </is>
      </c>
    </row>
    <row r="3075">
      <c r="B3075" t="inlineStr">
        <is>
          <t>19.853.291/0001-99</t>
        </is>
      </c>
      <c r="C3075" t="inlineStr">
        <is>
          <t>POUSADA ARTE DA NATUREZA LTDA</t>
        </is>
      </c>
    </row>
    <row r="3076">
      <c r="B3076" t="inlineStr">
        <is>
          <t>19.853.291/0001-99</t>
        </is>
      </c>
      <c r="C3076" t="inlineStr">
        <is>
          <t>POUSADA ARTE DA NATUREZA LTDA</t>
        </is>
      </c>
    </row>
    <row r="3077">
      <c r="B3077" t="inlineStr">
        <is>
          <t>19.939.987/0001-32</t>
        </is>
      </c>
      <c r="C3077" t="inlineStr">
        <is>
          <t>VRUNNY TECNOLOGIA LTDA</t>
        </is>
      </c>
    </row>
    <row r="3078">
      <c r="B3078" t="inlineStr">
        <is>
          <t>19.962.272/0001-09</t>
        </is>
      </c>
      <c r="C3078" t="inlineStr">
        <is>
          <t>BRASILDENTAL OPERADORA DE PLANOS ODONTOLOGICOS S.A.</t>
        </is>
      </c>
    </row>
    <row r="3079">
      <c r="B3079" t="inlineStr">
        <is>
          <t>19.962.272/0001-09</t>
        </is>
      </c>
      <c r="C3079" t="inlineStr">
        <is>
          <t>BRASILDENTAL OPERADORA DE PLANOS ODONTOLOGICOS S.A.</t>
        </is>
      </c>
    </row>
    <row r="3080">
      <c r="B3080" t="inlineStr">
        <is>
          <t>19.962.272/0001-09</t>
        </is>
      </c>
      <c r="C3080" t="inlineStr">
        <is>
          <t>BRASILDENTAL OPERADORA DE PLANOS ODONTOLOGICOS S.A.</t>
        </is>
      </c>
    </row>
    <row r="3081">
      <c r="B3081" t="inlineStr">
        <is>
          <t>20.646.890/0001-10</t>
        </is>
      </c>
      <c r="C3081" t="inlineStr">
        <is>
          <t>OMINT SEGUROS S.A.</t>
        </is>
      </c>
    </row>
    <row r="3082">
      <c r="B3082" t="inlineStr">
        <is>
          <t>20.646.890/0001-10</t>
        </is>
      </c>
      <c r="C3082" t="inlineStr">
        <is>
          <t>OMINT SEGUROS S.A.</t>
        </is>
      </c>
    </row>
    <row r="3083">
      <c r="B3083" t="inlineStr">
        <is>
          <t>20.992.373/0001-01</t>
        </is>
      </c>
      <c r="C3083" t="inlineStr">
        <is>
          <t>ACADEMIA DE GINASTICA NOVACENTER LTDA.</t>
        </is>
      </c>
    </row>
    <row r="3084">
      <c r="B3084" t="inlineStr">
        <is>
          <t>20.992.373/0001-01</t>
        </is>
      </c>
      <c r="C3084" t="inlineStr">
        <is>
          <t>ACADEMIA DE GINASTICA NOVACENTER LTDA.</t>
        </is>
      </c>
    </row>
    <row r="3085">
      <c r="B3085" t="inlineStr">
        <is>
          <t>20.992.373/0001-01</t>
        </is>
      </c>
      <c r="C3085" t="inlineStr">
        <is>
          <t>ACADEMIA DE GINASTICA NOVACENTER LTDA.</t>
        </is>
      </c>
    </row>
    <row r="3086">
      <c r="B3086" t="inlineStr">
        <is>
          <t>21.083.433/0001-28</t>
        </is>
      </c>
      <c r="C3086" t="inlineStr">
        <is>
          <t>VENTURA LEGNER COMERCIO E SERVICOS LTDA.</t>
        </is>
      </c>
    </row>
    <row r="3087">
      <c r="B3087" t="inlineStr">
        <is>
          <t>21.182.935/0001-06</t>
        </is>
      </c>
      <c r="C3087" t="inlineStr">
        <is>
          <t>ITERPEC SERVICOS EM TURISMO LTDA</t>
        </is>
      </c>
    </row>
    <row r="3088">
      <c r="B3088" t="inlineStr">
        <is>
          <t>21.182.935/0001-06</t>
        </is>
      </c>
      <c r="C3088" t="inlineStr">
        <is>
          <t>ITERPEC SERVICOS EM TURISMO LTDA</t>
        </is>
      </c>
    </row>
    <row r="3089">
      <c r="B3089" t="inlineStr">
        <is>
          <t>21.182.935/0001-06</t>
        </is>
      </c>
      <c r="C3089" t="inlineStr">
        <is>
          <t>ITERPEC SERVICOS EM TURISMO LTDA</t>
        </is>
      </c>
    </row>
    <row r="3090">
      <c r="B3090" t="inlineStr">
        <is>
          <t>21.261.563/0001-03</t>
        </is>
      </c>
      <c r="C3090" t="inlineStr">
        <is>
          <t>VP FITNESS CENTER ACADEMIA DE GINASTICA LTDA</t>
        </is>
      </c>
    </row>
    <row r="3091">
      <c r="B3091" t="inlineStr">
        <is>
          <t>21.261.563/0001-03</t>
        </is>
      </c>
      <c r="C3091" t="inlineStr">
        <is>
          <t>VP FITNESS CENTER ACADEMIA DE GINASTICA LTDA</t>
        </is>
      </c>
    </row>
    <row r="3092">
      <c r="B3092" t="inlineStr">
        <is>
          <t>21.261.563/0001-03</t>
        </is>
      </c>
      <c r="C3092" t="inlineStr">
        <is>
          <t>VP FITNESS CENTER ACADEMIA DE GINASTICA LTDA</t>
        </is>
      </c>
    </row>
    <row r="3093">
      <c r="B3093" t="inlineStr">
        <is>
          <t>21.406.359/0001-33</t>
        </is>
      </c>
      <c r="C3093" t="inlineStr">
        <is>
          <t>GOLD FITNESS LTDA</t>
        </is>
      </c>
    </row>
    <row r="3094">
      <c r="B3094" t="inlineStr">
        <is>
          <t>21.406.359/0001-33</t>
        </is>
      </c>
      <c r="C3094" t="inlineStr">
        <is>
          <t>GOLD FITNESS LTDA</t>
        </is>
      </c>
    </row>
    <row r="3095">
      <c r="B3095" t="inlineStr">
        <is>
          <t>21.406.359/0001-33</t>
        </is>
      </c>
      <c r="C3095" t="inlineStr">
        <is>
          <t>GOLD FITNESS LTDA</t>
        </is>
      </c>
    </row>
    <row r="3096">
      <c r="B3096" t="inlineStr">
        <is>
          <t>21.561.725/0001-29</t>
        </is>
      </c>
      <c r="C3096" t="inlineStr">
        <is>
          <t>SOLAR COMUNICACOES S.A. EM RECUPERACAO JUDICIAL</t>
        </is>
      </c>
    </row>
    <row r="3097">
      <c r="B3097" t="inlineStr">
        <is>
          <t>21.561.725/0001-29</t>
        </is>
      </c>
      <c r="C3097" t="inlineStr">
        <is>
          <t>SOLAR COMUNICACOES S.A. EM RECUPERACAO JUDICIAL</t>
        </is>
      </c>
    </row>
    <row r="3098">
      <c r="B3098" t="inlineStr">
        <is>
          <t>21.561.725/0001-29</t>
        </is>
      </c>
      <c r="C3098" t="inlineStr">
        <is>
          <t>SOLAR COMUNICACOES S.A. EM RECUPERACAO JUDICIAL</t>
        </is>
      </c>
    </row>
    <row r="3099">
      <c r="B3099" t="inlineStr">
        <is>
          <t>21.768.442/0001-52</t>
        </is>
      </c>
      <c r="C3099" t="inlineStr">
        <is>
          <t>INNER COMERCIO DE VINHOS LTDA</t>
        </is>
      </c>
    </row>
    <row r="3100">
      <c r="B3100" t="inlineStr">
        <is>
          <t>21.768.442/0001-52</t>
        </is>
      </c>
      <c r="C3100" t="inlineStr">
        <is>
          <t>INNER COMERCIO DE VINHOS LTDA</t>
        </is>
      </c>
    </row>
    <row r="3101">
      <c r="B3101" t="inlineStr">
        <is>
          <t>21.768.442/0001-52</t>
        </is>
      </c>
      <c r="C3101" t="inlineStr">
        <is>
          <t>INNER COMERCIO DE VINHOS LTDA</t>
        </is>
      </c>
    </row>
    <row r="3102">
      <c r="B3102" t="inlineStr">
        <is>
          <t>21.768.442/0001-52</t>
        </is>
      </c>
      <c r="C3102" t="inlineStr">
        <is>
          <t>INNER COMERCIO DE VINHOS LTDA</t>
        </is>
      </c>
    </row>
    <row r="3103">
      <c r="B3103" t="inlineStr">
        <is>
          <t>21.988.733/0001-56</t>
        </is>
      </c>
      <c r="C3103" t="inlineStr">
        <is>
          <t>RIO POTY BT FITNESS LTDA</t>
        </is>
      </c>
    </row>
    <row r="3104">
      <c r="B3104" t="inlineStr">
        <is>
          <t>21.988.733/0001-56</t>
        </is>
      </c>
      <c r="C3104" t="inlineStr">
        <is>
          <t>RIO POTY BT FITNESS LTDA</t>
        </is>
      </c>
    </row>
    <row r="3105">
      <c r="B3105" t="inlineStr">
        <is>
          <t>21.988.733/0001-56</t>
        </is>
      </c>
      <c r="C3105" t="inlineStr">
        <is>
          <t>RIO POTY BT FITNESS LTDA</t>
        </is>
      </c>
    </row>
    <row r="3106">
      <c r="B3106" t="inlineStr">
        <is>
          <t>22.020.994/0002-21</t>
        </is>
      </c>
      <c r="C3106" t="inlineStr">
        <is>
          <t>PRODUTOS FARMACEUTICOS BORGES LTDA</t>
        </is>
      </c>
    </row>
    <row r="3107">
      <c r="B3107" t="inlineStr">
        <is>
          <t>22.020.994/0002-21</t>
        </is>
      </c>
      <c r="C3107" t="inlineStr">
        <is>
          <t>PRODUTOS FARMACEUTICOS BORGES LTDA</t>
        </is>
      </c>
    </row>
    <row r="3108">
      <c r="B3108" t="inlineStr">
        <is>
          <t>22.020.994/0002-21</t>
        </is>
      </c>
      <c r="C3108" t="inlineStr">
        <is>
          <t>PRODUTOS FARMACEUTICOS BORGES LTDA</t>
        </is>
      </c>
    </row>
    <row r="3109">
      <c r="B3109" t="inlineStr">
        <is>
          <t>22.542.876/0001-00</t>
        </is>
      </c>
      <c r="C3109" t="inlineStr">
        <is>
          <t>E-BLOCK LOCACOES LTDA</t>
        </is>
      </c>
    </row>
    <row r="3110">
      <c r="B3110" t="inlineStr">
        <is>
          <t>22.542.876/0001-00</t>
        </is>
      </c>
      <c r="C3110" t="inlineStr">
        <is>
          <t>E-BLOCK LOCACOES LTDA</t>
        </is>
      </c>
    </row>
    <row r="3111">
      <c r="B3111" t="inlineStr">
        <is>
          <t>22.662.069/0001-13</t>
        </is>
      </c>
      <c r="C3111" t="inlineStr">
        <is>
          <t>TRANSFER SERVICOS EMPRESARIAIS LTDA</t>
        </is>
      </c>
    </row>
    <row r="3112">
      <c r="B3112" t="inlineStr">
        <is>
          <t>22.662.069/0001-13</t>
        </is>
      </c>
      <c r="C3112" t="inlineStr">
        <is>
          <t>TRANSFER SERVICOS EMPRESARIAIS LTDA</t>
        </is>
      </c>
    </row>
    <row r="3113">
      <c r="B3113" t="inlineStr">
        <is>
          <t>22.662.069/0001-13</t>
        </is>
      </c>
      <c r="C3113" t="inlineStr">
        <is>
          <t>TRANSFER SERVICOS EMPRESARIAIS LTDA</t>
        </is>
      </c>
    </row>
    <row r="3114">
      <c r="B3114" t="inlineStr">
        <is>
          <t>22.662.069/0001-13</t>
        </is>
      </c>
      <c r="C3114" t="inlineStr">
        <is>
          <t>TRANSFER SERVICOS EMPRESARIAIS LTDA</t>
        </is>
      </c>
    </row>
    <row r="3115">
      <c r="B3115" t="inlineStr">
        <is>
          <t>23.079.033/0001-74</t>
        </is>
      </c>
      <c r="C3115" t="inlineStr">
        <is>
          <t>JIREH ACADEMIA DE GINASTICA LTDA</t>
        </is>
      </c>
    </row>
    <row r="3116">
      <c r="B3116" t="inlineStr">
        <is>
          <t>23.079.033/0001-74</t>
        </is>
      </c>
      <c r="C3116" t="inlineStr">
        <is>
          <t>JIREH ACADEMIA DE GINASTICA LTDA</t>
        </is>
      </c>
    </row>
    <row r="3117">
      <c r="B3117" t="inlineStr">
        <is>
          <t>23.079.033/0001-74</t>
        </is>
      </c>
      <c r="C3117" t="inlineStr">
        <is>
          <t>JIREH ACADEMIA DE GINASTICA LTDA</t>
        </is>
      </c>
    </row>
    <row r="3118">
      <c r="B3118" t="inlineStr">
        <is>
          <t>23.209.013/0001-70</t>
        </is>
      </c>
      <c r="C3118" t="inlineStr">
        <is>
          <t>DIS COMERCIO DE ELETRODOMESTICOS S.A</t>
        </is>
      </c>
    </row>
    <row r="3119">
      <c r="B3119" t="inlineStr">
        <is>
          <t>23.209.013/0001-70</t>
        </is>
      </c>
      <c r="C3119" t="inlineStr">
        <is>
          <t>DIS COMERCIO DE ELETRODOMESTICOS S.A</t>
        </is>
      </c>
    </row>
    <row r="3120">
      <c r="B3120" t="inlineStr">
        <is>
          <t>23.209.013/0001-70</t>
        </is>
      </c>
      <c r="C3120" t="inlineStr">
        <is>
          <t>DIS COMERCIO DE ELETRODOMESTICOS S.A</t>
        </is>
      </c>
    </row>
    <row r="3121">
      <c r="B3121" t="inlineStr">
        <is>
          <t>23.209.013/0001-70</t>
        </is>
      </c>
      <c r="C3121" t="inlineStr">
        <is>
          <t>DIS COMERCIO DE ELETRODOMESTICOS S.A</t>
        </is>
      </c>
    </row>
    <row r="3122">
      <c r="B3122" t="inlineStr">
        <is>
          <t>23.209.013/0001-70</t>
        </is>
      </c>
      <c r="C3122" t="inlineStr">
        <is>
          <t>DIS COMERCIO DE ELETRODOMESTICOS S.A</t>
        </is>
      </c>
    </row>
    <row r="3123">
      <c r="B3123" t="inlineStr">
        <is>
          <t>23.306.928/0001-02</t>
        </is>
      </c>
      <c r="C3123" t="inlineStr">
        <is>
          <t>TBO HOLIDAYS BRASIL AGENCIA DE VIAGENS E RESERVAS LTDA.</t>
        </is>
      </c>
    </row>
    <row r="3124">
      <c r="B3124" t="inlineStr">
        <is>
          <t>23.306.928/0001-02</t>
        </is>
      </c>
      <c r="C3124" t="inlineStr">
        <is>
          <t>TBO HOLIDAYS BRASIL AGENCIA DE VIAGENS E RESERVAS LTDA.</t>
        </is>
      </c>
    </row>
    <row r="3125">
      <c r="B3125" t="inlineStr">
        <is>
          <t>23.306.928/0001-02</t>
        </is>
      </c>
      <c r="C3125" t="inlineStr">
        <is>
          <t>TBO HOLIDAYS BRASIL AGENCIA DE VIAGENS E RESERVAS LTDA.</t>
        </is>
      </c>
    </row>
    <row r="3126">
      <c r="B3126" t="inlineStr">
        <is>
          <t>23.306.928/0001-02</t>
        </is>
      </c>
      <c r="C3126" t="inlineStr">
        <is>
          <t>TBO HOLIDAYS BRASIL AGENCIA DE VIAGENS E RESERVAS LTDA.</t>
        </is>
      </c>
    </row>
    <row r="3127">
      <c r="B3127" t="inlineStr">
        <is>
          <t>23.568.551/0001-51</t>
        </is>
      </c>
      <c r="C3127" t="inlineStr">
        <is>
          <t>JPMC ACADEMIA DE GINASTICA LTDA.</t>
        </is>
      </c>
    </row>
    <row r="3128">
      <c r="B3128" t="inlineStr">
        <is>
          <t>23.568.551/0001-51</t>
        </is>
      </c>
      <c r="C3128" t="inlineStr">
        <is>
          <t>JPMC ACADEMIA DE GINASTICA LTDA.</t>
        </is>
      </c>
    </row>
    <row r="3129">
      <c r="B3129" t="inlineStr">
        <is>
          <t>23.568.551/0001-51</t>
        </is>
      </c>
      <c r="C3129" t="inlineStr">
        <is>
          <t>JPMC ACADEMIA DE GINASTICA LTDA.</t>
        </is>
      </c>
    </row>
    <row r="3130">
      <c r="B3130" t="inlineStr">
        <is>
          <t>23.806.945/0001-09</t>
        </is>
      </c>
      <c r="C3130" t="inlineStr">
        <is>
          <t>ALIANCA HOTEIS E EMPREENDIMENTOS LTDA</t>
        </is>
      </c>
    </row>
    <row r="3131">
      <c r="B3131" t="inlineStr">
        <is>
          <t>23.806.945/0001-09</t>
        </is>
      </c>
      <c r="C3131" t="inlineStr">
        <is>
          <t>ALIANCA HOTEIS E EMPREENDIMENTOS LTDA</t>
        </is>
      </c>
    </row>
    <row r="3132">
      <c r="B3132" t="inlineStr">
        <is>
          <t>23.806.945/0001-09</t>
        </is>
      </c>
      <c r="C3132" t="inlineStr">
        <is>
          <t>ALIANCA HOTEIS E EMPREENDIMENTOS LTDA</t>
        </is>
      </c>
    </row>
    <row r="3133">
      <c r="B3133" t="inlineStr">
        <is>
          <t>23.806.945/0001-09</t>
        </is>
      </c>
      <c r="C3133" t="inlineStr">
        <is>
          <t>ALIANCA HOTEIS E EMPREENDIMENTOS LTDA</t>
        </is>
      </c>
    </row>
    <row r="3134">
      <c r="B3134" t="inlineStr">
        <is>
          <t>24.073.694/0001-55</t>
        </is>
      </c>
      <c r="C3134" t="inlineStr">
        <is>
          <t>CIL - COMERCIO DE INFORMATICA LTDA</t>
        </is>
      </c>
    </row>
    <row r="3135">
      <c r="B3135" t="inlineStr">
        <is>
          <t>24.073.694/0001-55</t>
        </is>
      </c>
      <c r="C3135" t="inlineStr">
        <is>
          <t>CIL - COMERCIO DE INFORMATICA LTDA</t>
        </is>
      </c>
    </row>
    <row r="3136">
      <c r="B3136" t="inlineStr">
        <is>
          <t>24.073.694/0001-55</t>
        </is>
      </c>
      <c r="C3136" t="inlineStr">
        <is>
          <t>CIL - COMERCIO DE INFORMATICA LTDA</t>
        </is>
      </c>
    </row>
    <row r="3137">
      <c r="B3137" t="inlineStr">
        <is>
          <t>24.073.694/0001-55</t>
        </is>
      </c>
      <c r="C3137" t="inlineStr">
        <is>
          <t>CIL - COMERCIO DE INFORMATICA LTDA</t>
        </is>
      </c>
    </row>
    <row r="3138">
      <c r="B3138" t="inlineStr">
        <is>
          <t>24.073.694/0001-55</t>
        </is>
      </c>
      <c r="C3138" t="inlineStr">
        <is>
          <t>CIL - COMERCIO DE INFORMATICA LTDA</t>
        </is>
      </c>
    </row>
    <row r="3139">
      <c r="B3139" t="inlineStr">
        <is>
          <t>24.073.694/0001-55</t>
        </is>
      </c>
      <c r="C3139" t="inlineStr">
        <is>
          <t>CIL - COMERCIO DE INFORMATICA LTDA</t>
        </is>
      </c>
    </row>
    <row r="3140">
      <c r="B3140" t="inlineStr">
        <is>
          <t>24.233.204/0001-30</t>
        </is>
      </c>
      <c r="C3140" t="inlineStr">
        <is>
          <t>AGOSTINHO D'ONOFRIO NETTO</t>
        </is>
      </c>
    </row>
    <row r="3141">
      <c r="B3141" t="inlineStr">
        <is>
          <t>24.336.035/0001-64</t>
        </is>
      </c>
      <c r="C3141" t="inlineStr">
        <is>
          <t>RSX ACADEMIA DE EDUCACAO FISICA LTDA</t>
        </is>
      </c>
    </row>
    <row r="3142">
      <c r="B3142" t="inlineStr">
        <is>
          <t>24.336.035/0001-64</t>
        </is>
      </c>
      <c r="C3142" t="inlineStr">
        <is>
          <t>RSX ACADEMIA DE EDUCACAO FISICA LTDA</t>
        </is>
      </c>
    </row>
    <row r="3143">
      <c r="B3143" t="inlineStr">
        <is>
          <t>24.336.035/0001-64</t>
        </is>
      </c>
      <c r="C3143" t="inlineStr">
        <is>
          <t>RSX ACADEMIA DE EDUCACAO FISICA LTDA</t>
        </is>
      </c>
    </row>
    <row r="3144">
      <c r="B3144" t="inlineStr">
        <is>
          <t>24.341.342/0001-33</t>
        </is>
      </c>
      <c r="C3144" t="inlineStr">
        <is>
          <t>FITTI PAGAMENTOS LTDA</t>
        </is>
      </c>
    </row>
    <row r="3145">
      <c r="B3145" t="inlineStr">
        <is>
          <t>24.731.215/0001-40</t>
        </is>
      </c>
      <c r="C3145" t="inlineStr">
        <is>
          <t>JV MARKETPLACE JEWELLERY COMERCIO DE JOIAS E RELOGIOS LTDA.</t>
        </is>
      </c>
    </row>
    <row r="3146">
      <c r="B3146" t="inlineStr">
        <is>
          <t>24.763.731/0001-57</t>
        </is>
      </c>
      <c r="C3146" t="inlineStr">
        <is>
          <t>R11 TRAVEL VIAGENS E TURISMO LTDA.</t>
        </is>
      </c>
    </row>
    <row r="3147">
      <c r="B3147" t="inlineStr">
        <is>
          <t>24.763.731/0001-57</t>
        </is>
      </c>
      <c r="C3147" t="inlineStr">
        <is>
          <t>R11 TRAVEL VIAGENS E TURISMO LTDA.</t>
        </is>
      </c>
    </row>
    <row r="3148">
      <c r="B3148" t="inlineStr">
        <is>
          <t>24.763.731/0001-57</t>
        </is>
      </c>
      <c r="C3148" t="inlineStr">
        <is>
          <t>R11 TRAVEL VIAGENS E TURISMO LTDA.</t>
        </is>
      </c>
    </row>
    <row r="3149">
      <c r="B3149" t="inlineStr">
        <is>
          <t>24.813.491/0001-58</t>
        </is>
      </c>
      <c r="C3149" t="inlineStr">
        <is>
          <t>LH - LANCE HOTEIS LTDA  EM RECUPERACAO JUDICIAL</t>
        </is>
      </c>
    </row>
    <row r="3150">
      <c r="B3150" t="inlineStr">
        <is>
          <t>26.038.751/0001-90</t>
        </is>
      </c>
      <c r="C3150" t="inlineStr">
        <is>
          <t>BLUE PARK AQUATICO S/A</t>
        </is>
      </c>
    </row>
    <row r="3151">
      <c r="B3151" t="inlineStr">
        <is>
          <t>26.038.751/0001-90</t>
        </is>
      </c>
      <c r="C3151" t="inlineStr">
        <is>
          <t>BLUE PARK AQUATICO S/A</t>
        </is>
      </c>
    </row>
    <row r="3152">
      <c r="B3152" t="inlineStr">
        <is>
          <t>26.318.085/0001-44</t>
        </is>
      </c>
      <c r="C3152" t="inlineStr">
        <is>
          <t>FMX ACADEMIA DE EDUCACAO FISICA LTDA</t>
        </is>
      </c>
    </row>
    <row r="3153">
      <c r="B3153" t="inlineStr">
        <is>
          <t>26.318.085/0001-44</t>
        </is>
      </c>
      <c r="C3153" t="inlineStr">
        <is>
          <t>FMX ACADEMIA DE EDUCACAO FISICA LTDA</t>
        </is>
      </c>
    </row>
    <row r="3154">
      <c r="B3154" t="inlineStr">
        <is>
          <t>26.318.085/0001-44</t>
        </is>
      </c>
      <c r="C3154" t="inlineStr">
        <is>
          <t>FMX ACADEMIA DE EDUCACAO FISICA LTDA</t>
        </is>
      </c>
    </row>
    <row r="3155">
      <c r="B3155" t="inlineStr">
        <is>
          <t>26.502.092/0001-00</t>
        </is>
      </c>
      <c r="C3155" t="inlineStr">
        <is>
          <t>ACADEMIA DE GINASTICA NOVA PAULISTA LTDA.</t>
        </is>
      </c>
    </row>
    <row r="3156">
      <c r="B3156" t="inlineStr">
        <is>
          <t>26.502.092/0001-00</t>
        </is>
      </c>
      <c r="C3156" t="inlineStr">
        <is>
          <t>ACADEMIA DE GINASTICA NOVA PAULISTA LTDA.</t>
        </is>
      </c>
    </row>
    <row r="3157">
      <c r="B3157" t="inlineStr">
        <is>
          <t>26.502.092/0001-00</t>
        </is>
      </c>
      <c r="C3157" t="inlineStr">
        <is>
          <t>ACADEMIA DE GINASTICA NOVA PAULISTA LTDA.</t>
        </is>
      </c>
    </row>
    <row r="3158">
      <c r="B3158" t="inlineStr">
        <is>
          <t>26.655.646/0001-09</t>
        </is>
      </c>
      <c r="C3158" t="inlineStr">
        <is>
          <t>INSTITUTO BRASILEIRO DE ENERGIA RECICLAVEL - IBER</t>
        </is>
      </c>
    </row>
    <row r="3159">
      <c r="B3159" t="inlineStr">
        <is>
          <t>26.655.646/0001-09</t>
        </is>
      </c>
      <c r="C3159" t="inlineStr">
        <is>
          <t>INSTITUTO BRASILEIRO DE ENERGIA RECICLAVEL - IBER</t>
        </is>
      </c>
    </row>
    <row r="3160">
      <c r="B3160" t="inlineStr">
        <is>
          <t>26.669.170/0001-57</t>
        </is>
      </c>
      <c r="C3160" t="inlineStr">
        <is>
          <t>123 VIAGENS E TURISMO LTDA  EM RECUPERACAO JUDICIAL</t>
        </is>
      </c>
    </row>
    <row r="3161">
      <c r="B3161" t="inlineStr">
        <is>
          <t>26.669.170/0001-57</t>
        </is>
      </c>
      <c r="C3161" t="inlineStr">
        <is>
          <t>123 VIAGENS E TURISMO LTDA  EM RECUPERACAO JUDICIAL</t>
        </is>
      </c>
    </row>
    <row r="3162">
      <c r="B3162" t="inlineStr">
        <is>
          <t>26.669.170/0001-57</t>
        </is>
      </c>
      <c r="C3162" t="inlineStr">
        <is>
          <t>123 VIAGENS E TURISMO LTDA  EM RECUPERACAO JUDICIAL</t>
        </is>
      </c>
    </row>
    <row r="3163">
      <c r="B3163" t="inlineStr">
        <is>
          <t>26.669.170/0001-57</t>
        </is>
      </c>
      <c r="C3163" t="inlineStr">
        <is>
          <t>123 VIAGENS E TURISMO LTDA  EM RECUPERACAO JUDICIAL</t>
        </is>
      </c>
    </row>
    <row r="3164">
      <c r="B3164" t="inlineStr">
        <is>
          <t>26.669.170/0001-57</t>
        </is>
      </c>
      <c r="C3164" t="inlineStr">
        <is>
          <t>123 VIAGENS E TURISMO LTDA  EM RECUPERACAO JUDICIAL</t>
        </is>
      </c>
    </row>
    <row r="3165">
      <c r="B3165" t="inlineStr">
        <is>
          <t>26.720.719/0001-90</t>
        </is>
      </c>
      <c r="C3165" t="inlineStr">
        <is>
          <t>NETIFY DO BRASIL INTERNET SERVICES LTDA</t>
        </is>
      </c>
    </row>
    <row r="3166">
      <c r="B3166" t="inlineStr">
        <is>
          <t>26.720.719/0001-90</t>
        </is>
      </c>
      <c r="C3166" t="inlineStr">
        <is>
          <t>NETIFY DO BRASIL INTERNET SERVICES LTDA</t>
        </is>
      </c>
    </row>
    <row r="3167">
      <c r="B3167" t="inlineStr">
        <is>
          <t>26.786.813/0001-42</t>
        </is>
      </c>
      <c r="C3167" t="inlineStr">
        <is>
          <t>MADEIRANIT PARTICIPACOES S/A</t>
        </is>
      </c>
    </row>
    <row r="3168">
      <c r="B3168" t="inlineStr">
        <is>
          <t>26.786.813/0001-42</t>
        </is>
      </c>
      <c r="C3168" t="inlineStr">
        <is>
          <t>MADEIRANIT PARTICIPACOES S/A</t>
        </is>
      </c>
    </row>
    <row r="3169">
      <c r="B3169" t="inlineStr">
        <is>
          <t>26.786.813/0001-42</t>
        </is>
      </c>
      <c r="C3169" t="inlineStr">
        <is>
          <t>MADEIRANIT PARTICIPACOES S/A</t>
        </is>
      </c>
    </row>
    <row r="3170">
      <c r="B3170" t="inlineStr">
        <is>
          <t>26.786.813/0001-42</t>
        </is>
      </c>
      <c r="C3170" t="inlineStr">
        <is>
          <t>MADEIRANIT PARTICIPACOES S/A</t>
        </is>
      </c>
    </row>
    <row r="3171">
      <c r="B3171" t="inlineStr">
        <is>
          <t>26.786.813/0001-42</t>
        </is>
      </c>
      <c r="C3171" t="inlineStr">
        <is>
          <t>MADEIRANIT PARTICIPACOES S/A</t>
        </is>
      </c>
    </row>
    <row r="3172">
      <c r="B3172" t="inlineStr">
        <is>
          <t>26.786.813/0001-42</t>
        </is>
      </c>
      <c r="C3172" t="inlineStr">
        <is>
          <t>MADEIRANIT PARTICIPACOES S/A</t>
        </is>
      </c>
    </row>
    <row r="3173">
      <c r="B3173" t="inlineStr">
        <is>
          <t>26.871.302/0001-29</t>
        </is>
      </c>
      <c r="C3173" t="inlineStr">
        <is>
          <t>VILLAGE GROUP SERVICOS LTDA</t>
        </is>
      </c>
    </row>
    <row r="3174">
      <c r="B3174" t="inlineStr">
        <is>
          <t>26.871.302/0001-29</t>
        </is>
      </c>
      <c r="C3174" t="inlineStr">
        <is>
          <t>VILLAGE GROUP SERVICOS LTDA</t>
        </is>
      </c>
    </row>
    <row r="3175">
      <c r="B3175" t="inlineStr">
        <is>
          <t>26.871.302/0001-29</t>
        </is>
      </c>
      <c r="C3175" t="inlineStr">
        <is>
          <t>VILLAGE GROUP SERVICOS LTDA</t>
        </is>
      </c>
    </row>
    <row r="3176">
      <c r="B3176" t="inlineStr">
        <is>
          <t>27.865.757/0001-02</t>
        </is>
      </c>
      <c r="C3176" t="inlineStr">
        <is>
          <t>GLOBO COMUNICACAO E PARTICIPACOES S/A</t>
        </is>
      </c>
    </row>
    <row r="3177">
      <c r="B3177" t="inlineStr">
        <is>
          <t>27.865.757/0001-02</t>
        </is>
      </c>
      <c r="C3177" t="inlineStr">
        <is>
          <t>GLOBO COMUNICACAO E PARTICIPACOES S/A</t>
        </is>
      </c>
    </row>
    <row r="3178">
      <c r="B3178" t="inlineStr">
        <is>
          <t>27.865.757/0001-02</t>
        </is>
      </c>
      <c r="C3178" t="inlineStr">
        <is>
          <t>GLOBO COMUNICACAO E PARTICIPACOES S/A</t>
        </is>
      </c>
    </row>
    <row r="3179">
      <c r="B3179" t="inlineStr">
        <is>
          <t>28.445.729/0081-75</t>
        </is>
      </c>
      <c r="C3179" t="inlineStr">
        <is>
          <t>SOMOS SONHO LTDA</t>
        </is>
      </c>
    </row>
    <row r="3180">
      <c r="B3180" t="inlineStr">
        <is>
          <t>29.177.827/0001-57</t>
        </is>
      </c>
      <c r="C3180" t="inlineStr">
        <is>
          <t>CLUB MERCADO MIX - SERVICOS TECNOLOGICOS LTDA.</t>
        </is>
      </c>
    </row>
    <row r="3181">
      <c r="B3181" t="inlineStr">
        <is>
          <t>29.302.348/0001-15</t>
        </is>
      </c>
      <c r="C3181" t="inlineStr">
        <is>
          <t>GURGELMIX MAQUINAS E FERRAMENTAS S.A.</t>
        </is>
      </c>
    </row>
    <row r="3182">
      <c r="B3182" t="inlineStr">
        <is>
          <t>29.302.348/0001-15</t>
        </is>
      </c>
      <c r="C3182" t="inlineStr">
        <is>
          <t>GURGELMIX MAQUINAS E FERRAMENTAS S.A.</t>
        </is>
      </c>
    </row>
    <row r="3183">
      <c r="B3183" t="inlineStr">
        <is>
          <t>29.302.348/0001-15</t>
        </is>
      </c>
      <c r="C3183" t="inlineStr">
        <is>
          <t>GURGELMIX MAQUINAS E FERRAMENTAS S.A.</t>
        </is>
      </c>
    </row>
    <row r="3184">
      <c r="B3184" t="inlineStr">
        <is>
          <t>29.302.348/0001-15</t>
        </is>
      </c>
      <c r="C3184" t="inlineStr">
        <is>
          <t>GURGELMIX MAQUINAS E FERRAMENTAS S.A.</t>
        </is>
      </c>
    </row>
    <row r="3185">
      <c r="B3185" t="inlineStr">
        <is>
          <t>29.302.348/0001-15</t>
        </is>
      </c>
      <c r="C3185" t="inlineStr">
        <is>
          <t>GURGELMIX MAQUINAS E FERRAMENTAS S.A.</t>
        </is>
      </c>
    </row>
    <row r="3186">
      <c r="B3186" t="inlineStr">
        <is>
          <t>29.309.127/0001-79</t>
        </is>
      </c>
      <c r="C3186" t="inlineStr">
        <is>
          <t>AMIL ASSISTENCIA MEDICA INTERNACIONAL S.A.</t>
        </is>
      </c>
    </row>
    <row r="3187">
      <c r="B3187" t="inlineStr">
        <is>
          <t>29.309.127/0001-79</t>
        </is>
      </c>
      <c r="C3187" t="inlineStr">
        <is>
          <t>AMIL ASSISTENCIA MEDICA INTERNACIONAL S.A.</t>
        </is>
      </c>
    </row>
    <row r="3188">
      <c r="B3188" t="inlineStr">
        <is>
          <t>29.309.127/0001-79</t>
        </is>
      </c>
      <c r="C3188" t="inlineStr">
        <is>
          <t>AMIL ASSISTENCIA MEDICA INTERNACIONAL S.A.</t>
        </is>
      </c>
    </row>
    <row r="3189">
      <c r="B3189" t="inlineStr">
        <is>
          <t>29.309.127/0001-79</t>
        </is>
      </c>
      <c r="C3189" t="inlineStr">
        <is>
          <t>AMIL ASSISTENCIA MEDICA INTERNACIONAL S.A.</t>
        </is>
      </c>
    </row>
    <row r="3190">
      <c r="B3190" t="inlineStr">
        <is>
          <t>29.309.127/0001-79</t>
        </is>
      </c>
      <c r="C3190" t="inlineStr">
        <is>
          <t>AMIL ASSISTENCIA MEDICA INTERNACIONAL S.A.</t>
        </is>
      </c>
    </row>
    <row r="3191">
      <c r="B3191" t="inlineStr">
        <is>
          <t>29.334.079/0001-79</t>
        </is>
      </c>
      <c r="C3191" t="inlineStr">
        <is>
          <t>H PLUS HOTEIS LR LTDA</t>
        </is>
      </c>
    </row>
    <row r="3192">
      <c r="B3192" t="inlineStr">
        <is>
          <t>29.334.079/0001-79</t>
        </is>
      </c>
      <c r="C3192" t="inlineStr">
        <is>
          <t>H PLUS HOTEIS LR LTDA</t>
        </is>
      </c>
    </row>
    <row r="3193">
      <c r="B3193" t="inlineStr">
        <is>
          <t>29.334.079/0001-79</t>
        </is>
      </c>
      <c r="C3193" t="inlineStr">
        <is>
          <t>H PLUS HOTEIS LR LTDA</t>
        </is>
      </c>
    </row>
    <row r="3194">
      <c r="B3194" t="inlineStr">
        <is>
          <t>29.356.859/0003-81</t>
        </is>
      </c>
      <c r="C3194" t="inlineStr">
        <is>
          <t>RICCO ALIMENTOS HORTIFRUTIGRANJEIROS LTDA</t>
        </is>
      </c>
    </row>
    <row r="3195">
      <c r="B3195" t="inlineStr">
        <is>
          <t>30.294.125/0001-32</t>
        </is>
      </c>
      <c r="C3195" t="inlineStr">
        <is>
          <t>PETIN INTELIGENCIA EM NEGOCIOS LTDA</t>
        </is>
      </c>
    </row>
    <row r="3196">
      <c r="B3196" t="inlineStr">
        <is>
          <t>30.351.040/0001-49</t>
        </is>
      </c>
      <c r="C3196" t="inlineStr">
        <is>
          <t>BMG RESTAURANTES LTDA</t>
        </is>
      </c>
    </row>
    <row r="3197">
      <c r="B3197" t="inlineStr">
        <is>
          <t>30.352.861/0001-08</t>
        </is>
      </c>
      <c r="C3197" t="inlineStr">
        <is>
          <t>INSERT CODE INFORMATICA LTDA</t>
        </is>
      </c>
    </row>
    <row r="3198">
      <c r="B3198" t="inlineStr">
        <is>
          <t>30.549.651/0001-04</t>
        </is>
      </c>
      <c r="C3198" t="inlineStr">
        <is>
          <t>COMPROPAY MEIOS DE PAGAMENTOS LTDA</t>
        </is>
      </c>
    </row>
    <row r="3199">
      <c r="B3199" t="inlineStr">
        <is>
          <t>30.743.538/0001-57</t>
        </is>
      </c>
      <c r="C3199" t="inlineStr">
        <is>
          <t>DELCI PEREIRA DA SILVA &amp; CIA. LTDA.</t>
        </is>
      </c>
    </row>
    <row r="3200">
      <c r="B3200" t="inlineStr">
        <is>
          <t>30.743.538/0001-57</t>
        </is>
      </c>
      <c r="C3200" t="inlineStr">
        <is>
          <t>DELCI PEREIRA DA SILVA &amp; CIA. LTDA.</t>
        </is>
      </c>
    </row>
    <row r="3201">
      <c r="B3201" t="inlineStr">
        <is>
          <t>31.551.765/0001-43</t>
        </is>
      </c>
      <c r="C3201" t="inlineStr">
        <is>
          <t>VISA DO BRASIL EMPREENDIMENTOS LTDA</t>
        </is>
      </c>
    </row>
    <row r="3202">
      <c r="B3202" t="inlineStr">
        <is>
          <t>31.551.765/0001-43</t>
        </is>
      </c>
      <c r="C3202" t="inlineStr">
        <is>
          <t>VISA DO BRASIL EMPREENDIMENTOS LTDA</t>
        </is>
      </c>
    </row>
    <row r="3203">
      <c r="B3203" t="inlineStr">
        <is>
          <t>31.551.765/0001-43</t>
        </is>
      </c>
      <c r="C3203" t="inlineStr">
        <is>
          <t>VISA DO BRASIL EMPREENDIMENTOS LTDA</t>
        </is>
      </c>
    </row>
    <row r="3204">
      <c r="B3204" t="inlineStr">
        <is>
          <t>31.563.034/0002-07</t>
        </is>
      </c>
      <c r="C3204" t="inlineStr">
        <is>
          <t>FEEDBACKTUR VIAGENS LTDA</t>
        </is>
      </c>
    </row>
    <row r="3205">
      <c r="B3205" t="inlineStr">
        <is>
          <t>31.563.034/0002-07</t>
        </is>
      </c>
      <c r="C3205" t="inlineStr">
        <is>
          <t>FEEDBACKTUR VIAGENS LTDA</t>
        </is>
      </c>
    </row>
    <row r="3206">
      <c r="B3206" t="inlineStr">
        <is>
          <t>31.563.034/0002-07</t>
        </is>
      </c>
      <c r="C3206" t="inlineStr">
        <is>
          <t>FEEDBACKTUR VIAGENS LTDA</t>
        </is>
      </c>
    </row>
    <row r="3207">
      <c r="B3207" t="inlineStr">
        <is>
          <t>31.565.104/0021-10</t>
        </is>
      </c>
      <c r="C3207" t="inlineStr">
        <is>
          <t>PEPSICO DO BRASIL LTDA</t>
        </is>
      </c>
    </row>
    <row r="3208">
      <c r="B3208" t="inlineStr">
        <is>
          <t>31.743.818/0001-28</t>
        </is>
      </c>
      <c r="C3208" t="inlineStr">
        <is>
          <t>LOJAS SIMONETTI LTDA</t>
        </is>
      </c>
    </row>
    <row r="3209">
      <c r="B3209" t="inlineStr">
        <is>
          <t>31.743.818/0001-28</t>
        </is>
      </c>
      <c r="C3209" t="inlineStr">
        <is>
          <t>LOJAS SIMONETTI LTDA</t>
        </is>
      </c>
    </row>
    <row r="3210">
      <c r="B3210" t="inlineStr">
        <is>
          <t>31.743.818/0001-28</t>
        </is>
      </c>
      <c r="C3210" t="inlineStr">
        <is>
          <t>LOJAS SIMONETTI LTDA</t>
        </is>
      </c>
    </row>
    <row r="3211">
      <c r="B3211" t="inlineStr">
        <is>
          <t>32.212.269/0001-28</t>
        </is>
      </c>
      <c r="C3211" t="inlineStr">
        <is>
          <t>PORTAL ELETRICO COMERCIAL DE MATERIAIS ELETRICOS LTDA.</t>
        </is>
      </c>
    </row>
    <row r="3212">
      <c r="B3212" t="inlineStr">
        <is>
          <t>32.786.608/0001-80</t>
        </is>
      </c>
      <c r="C3212" t="inlineStr">
        <is>
          <t>OAK HOTELARIA LTDA</t>
        </is>
      </c>
    </row>
    <row r="3213">
      <c r="B3213" t="inlineStr">
        <is>
          <t>32.868.002/0007-89</t>
        </is>
      </c>
      <c r="C3213" t="inlineStr">
        <is>
          <t>PISOLAR COMERCIO DE TINTAS LTDA</t>
        </is>
      </c>
    </row>
    <row r="3214">
      <c r="B3214" t="inlineStr">
        <is>
          <t>32.868.002/0007-89</t>
        </is>
      </c>
      <c r="C3214" t="inlineStr">
        <is>
          <t>PISOLAR COMERCIO DE TINTAS LTDA</t>
        </is>
      </c>
    </row>
    <row r="3215">
      <c r="B3215" t="inlineStr">
        <is>
          <t>32.868.002/0007-89</t>
        </is>
      </c>
      <c r="C3215" t="inlineStr">
        <is>
          <t>PISOLAR COMERCIO DE TINTAS LTDA</t>
        </is>
      </c>
    </row>
    <row r="3216">
      <c r="B3216" t="inlineStr">
        <is>
          <t>32.868.002/0007-89</t>
        </is>
      </c>
      <c r="C3216" t="inlineStr">
        <is>
          <t>PISOLAR COMERCIO DE TINTAS LTDA</t>
        </is>
      </c>
    </row>
    <row r="3217">
      <c r="B3217" t="inlineStr">
        <is>
          <t>32.868.002/0007-89</t>
        </is>
      </c>
      <c r="C3217" t="inlineStr">
        <is>
          <t>PISOLAR COMERCIO DE TINTAS LTDA</t>
        </is>
      </c>
    </row>
    <row r="3218">
      <c r="B3218" t="inlineStr">
        <is>
          <t>32.868.002/0007-89</t>
        </is>
      </c>
      <c r="C3218" t="inlineStr">
        <is>
          <t>PISOLAR COMERCIO DE TINTAS LTDA</t>
        </is>
      </c>
    </row>
    <row r="3219">
      <c r="B3219" t="inlineStr">
        <is>
          <t>32.868.002/0007-89</t>
        </is>
      </c>
      <c r="C3219" t="inlineStr">
        <is>
          <t>PISOLAR COMERCIO DE TINTAS LTDA</t>
        </is>
      </c>
    </row>
    <row r="3220">
      <c r="B3220" t="inlineStr">
        <is>
          <t>32.955.811/0001-32</t>
        </is>
      </c>
      <c r="C3220" t="inlineStr">
        <is>
          <t>CAM LOCACAO DE SOFTWARE LTDA</t>
        </is>
      </c>
    </row>
    <row r="3221">
      <c r="B3221" t="inlineStr">
        <is>
          <t>33.183.773/0001-00</t>
        </is>
      </c>
      <c r="C3221" t="inlineStr">
        <is>
          <t>KAMEL TURISMO LIMITADA</t>
        </is>
      </c>
    </row>
    <row r="3222">
      <c r="B3222" t="inlineStr">
        <is>
          <t>33.183.773/0001-00</t>
        </is>
      </c>
      <c r="C3222" t="inlineStr">
        <is>
          <t>KAMEL TURISMO LIMITADA</t>
        </is>
      </c>
    </row>
    <row r="3223">
      <c r="B3223" t="inlineStr">
        <is>
          <t>33.183.773/0001-00</t>
        </is>
      </c>
      <c r="C3223" t="inlineStr">
        <is>
          <t>KAMEL TURISMO LIMITADA</t>
        </is>
      </c>
    </row>
    <row r="3224">
      <c r="B3224" t="inlineStr">
        <is>
          <t>33.200.056/0001-49</t>
        </is>
      </c>
      <c r="C3224" t="inlineStr">
        <is>
          <t>LOJAS RIACHUELO SA</t>
        </is>
      </c>
    </row>
    <row r="3225">
      <c r="B3225" t="inlineStr">
        <is>
          <t>33.200.056/0001-49</t>
        </is>
      </c>
      <c r="C3225" t="inlineStr">
        <is>
          <t>LOJAS RIACHUELO SA</t>
        </is>
      </c>
    </row>
    <row r="3226">
      <c r="B3226" t="inlineStr">
        <is>
          <t>33.200.056/0001-49</t>
        </is>
      </c>
      <c r="C3226" t="inlineStr">
        <is>
          <t>LOJAS RIACHUELO SA</t>
        </is>
      </c>
    </row>
    <row r="3227">
      <c r="B3227" t="inlineStr">
        <is>
          <t>33.372.251/0062-78</t>
        </is>
      </c>
      <c r="C3227" t="inlineStr">
        <is>
          <t>IBM BRASIL-INDUSTRIA MAQUINAS E SERVICOS LIMITADA</t>
        </is>
      </c>
    </row>
    <row r="3228">
      <c r="B3228" t="inlineStr">
        <is>
          <t>33.372.251/0062-78</t>
        </is>
      </c>
      <c r="C3228" t="inlineStr">
        <is>
          <t>IBM BRASIL-INDUSTRIA MAQUINAS E SERVICOS LIMITADA</t>
        </is>
      </c>
    </row>
    <row r="3229">
      <c r="B3229" t="inlineStr">
        <is>
          <t>33.372.251/0062-78</t>
        </is>
      </c>
      <c r="C3229" t="inlineStr">
        <is>
          <t>IBM BRASIL-INDUSTRIA MAQUINAS E SERVICOS LIMITADA</t>
        </is>
      </c>
    </row>
    <row r="3230">
      <c r="B3230" t="inlineStr">
        <is>
          <t>33.372.251/0062-78</t>
        </is>
      </c>
      <c r="C3230" t="inlineStr">
        <is>
          <t>IBM BRASIL-INDUSTRIA MAQUINAS E SERVICOS LIMITADA</t>
        </is>
      </c>
    </row>
    <row r="3231">
      <c r="B3231" t="inlineStr">
        <is>
          <t>33.448.150/0001-11</t>
        </is>
      </c>
      <c r="C3231" t="inlineStr">
        <is>
          <t>AZUL COMPANHIA DE SEGUROS GERAIS</t>
        </is>
      </c>
    </row>
    <row r="3232">
      <c r="B3232" t="inlineStr">
        <is>
          <t>33.448.150/0001-11</t>
        </is>
      </c>
      <c r="C3232" t="inlineStr">
        <is>
          <t>AZUL COMPANHIA DE SEGUROS GERAIS</t>
        </is>
      </c>
    </row>
    <row r="3233">
      <c r="B3233" t="inlineStr">
        <is>
          <t>33.448.150/0001-11</t>
        </is>
      </c>
      <c r="C3233" t="inlineStr">
        <is>
          <t>AZUL COMPANHIA DE SEGUROS GERAIS</t>
        </is>
      </c>
    </row>
    <row r="3234">
      <c r="B3234" t="inlineStr">
        <is>
          <t>33.461.740/0001-84</t>
        </is>
      </c>
      <c r="C3234" t="inlineStr">
        <is>
          <t>DEUTSCHE LUFTHANSA AG</t>
        </is>
      </c>
    </row>
    <row r="3235">
      <c r="B3235" t="inlineStr">
        <is>
          <t>33.461.740/0001-84</t>
        </is>
      </c>
      <c r="C3235" t="inlineStr">
        <is>
          <t>DEUTSCHE LUFTHANSA AG</t>
        </is>
      </c>
    </row>
    <row r="3236">
      <c r="B3236" t="inlineStr">
        <is>
          <t>33.461.740/0001-84</t>
        </is>
      </c>
      <c r="C3236" t="inlineStr">
        <is>
          <t>DEUTSCHE LUFTHANSA AG</t>
        </is>
      </c>
    </row>
    <row r="3237">
      <c r="B3237" t="inlineStr">
        <is>
          <t>33.579.376/0001-51</t>
        </is>
      </c>
      <c r="C3237" t="inlineStr">
        <is>
          <t>SOCIEDADE BIBLICA DO BRASIL</t>
        </is>
      </c>
    </row>
    <row r="3238">
      <c r="B3238" t="inlineStr">
        <is>
          <t>33.579.376/0001-51</t>
        </is>
      </c>
      <c r="C3238" t="inlineStr">
        <is>
          <t>SOCIEDADE BIBLICA DO BRASIL</t>
        </is>
      </c>
    </row>
    <row r="3239">
      <c r="B3239" t="inlineStr">
        <is>
          <t>33.579.376/0001-51</t>
        </is>
      </c>
      <c r="C3239" t="inlineStr">
        <is>
          <t>SOCIEDADE BIBLICA DO BRASIL</t>
        </is>
      </c>
    </row>
    <row r="3240">
      <c r="B3240" t="inlineStr">
        <is>
          <t>33.579.376/0001-51</t>
        </is>
      </c>
      <c r="C3240" t="inlineStr">
        <is>
          <t>SOCIEDADE BIBLICA DO BRASIL</t>
        </is>
      </c>
    </row>
    <row r="3241">
      <c r="B3241" t="inlineStr">
        <is>
          <t>33.579.376/0001-51</t>
        </is>
      </c>
      <c r="C3241" t="inlineStr">
        <is>
          <t>SOCIEDADE BIBLICA DO BRASIL</t>
        </is>
      </c>
    </row>
    <row r="3242">
      <c r="B3242" t="inlineStr">
        <is>
          <t>33.638.388/0001-00</t>
        </is>
      </c>
      <c r="C3242" t="inlineStr">
        <is>
          <t>INSTITUTO PROTETOR DOS POBRES E CRIANCAS ABRIGO MARIA IMACULADA</t>
        </is>
      </c>
    </row>
    <row r="3243">
      <c r="B3243" t="inlineStr">
        <is>
          <t>33.638.388/0001-00</t>
        </is>
      </c>
      <c r="C3243" t="inlineStr">
        <is>
          <t>INSTITUTO PROTETOR DOS POBRES E CRIANCAS ABRIGO MARIA IMACULADA</t>
        </is>
      </c>
    </row>
    <row r="3244">
      <c r="B3244" t="inlineStr">
        <is>
          <t>33.638.388/0001-00</t>
        </is>
      </c>
      <c r="C3244" t="inlineStr">
        <is>
          <t>INSTITUTO PROTETOR DOS POBRES E CRIANCAS ABRIGO MARIA IMACULADA</t>
        </is>
      </c>
    </row>
    <row r="3245">
      <c r="B3245" t="inlineStr">
        <is>
          <t>33.674.514/0001-81</t>
        </is>
      </c>
      <c r="C3245" t="inlineStr">
        <is>
          <t>XEPPA.COM SERVICOS DE INFORMACOES ONLINE LTDA (baixada)</t>
        </is>
      </c>
    </row>
    <row r="3246">
      <c r="B3246" t="inlineStr">
        <is>
          <t>33.771.486/0001-10</t>
        </is>
      </c>
      <c r="C3246" t="inlineStr">
        <is>
          <t>BONITOUR VIAGENS E TURISMO LTDA</t>
        </is>
      </c>
    </row>
    <row r="3247">
      <c r="B3247" t="inlineStr">
        <is>
          <t>34.308.177/0001-71</t>
        </is>
      </c>
      <c r="C3247" t="inlineStr">
        <is>
          <t>ZAPPING DO BRASIL LTDA</t>
        </is>
      </c>
    </row>
    <row r="3248">
      <c r="B3248" t="inlineStr">
        <is>
          <t>34.308.177/0001-71</t>
        </is>
      </c>
      <c r="C3248" t="inlineStr">
        <is>
          <t>ZAPPING DO BRASIL LTDA</t>
        </is>
      </c>
    </row>
    <row r="3249">
      <c r="B3249" t="inlineStr">
        <is>
          <t>34.308.177/0001-71</t>
        </is>
      </c>
      <c r="C3249" t="inlineStr">
        <is>
          <t>ZAPPING DO BRASIL LTDA</t>
        </is>
      </c>
    </row>
    <row r="3250">
      <c r="B3250" t="inlineStr">
        <is>
          <t>34.308.177/0001-71</t>
        </is>
      </c>
      <c r="C3250" t="inlineStr">
        <is>
          <t>ZAPPING DO BRASIL LTDA</t>
        </is>
      </c>
    </row>
    <row r="3251">
      <c r="B3251" t="inlineStr">
        <is>
          <t>34.669.665/0003-76</t>
        </is>
      </c>
      <c r="C3251" t="inlineStr">
        <is>
          <t>P4 PAGAMENTOS LTDA</t>
        </is>
      </c>
    </row>
    <row r="3252">
      <c r="B3252" t="inlineStr">
        <is>
          <t>34.669.665/0003-76</t>
        </is>
      </c>
      <c r="C3252" t="inlineStr">
        <is>
          <t>P4 PAGAMENTOS LTDA</t>
        </is>
      </c>
    </row>
    <row r="3253">
      <c r="B3253" t="inlineStr">
        <is>
          <t>34.669.665/0003-76</t>
        </is>
      </c>
      <c r="C3253" t="inlineStr">
        <is>
          <t>P4 PAGAMENTOS LTDA</t>
        </is>
      </c>
    </row>
    <row r="3254">
      <c r="B3254" t="inlineStr">
        <is>
          <t>34.669.665/0003-76</t>
        </is>
      </c>
      <c r="C3254" t="inlineStr">
        <is>
          <t>P4 PAGAMENTOS LTDA</t>
        </is>
      </c>
    </row>
    <row r="3255">
      <c r="B3255" t="inlineStr">
        <is>
          <t>34.686.568/0001-20</t>
        </is>
      </c>
      <c r="C3255" t="inlineStr">
        <is>
          <t>FARMACIA PERSONALE LTDA</t>
        </is>
      </c>
    </row>
    <row r="3256">
      <c r="B3256" t="inlineStr">
        <is>
          <t>34.686.568/0001-20</t>
        </is>
      </c>
      <c r="C3256" t="inlineStr">
        <is>
          <t>FARMACIA PERSONALE LTDA</t>
        </is>
      </c>
    </row>
    <row r="3257">
      <c r="B3257" t="inlineStr">
        <is>
          <t>34.686.568/0001-20</t>
        </is>
      </c>
      <c r="C3257" t="inlineStr">
        <is>
          <t>FARMACIA PERSONALE LTDA</t>
        </is>
      </c>
    </row>
    <row r="3258">
      <c r="B3258" t="inlineStr">
        <is>
          <t>35.503.303/0001-01</t>
        </is>
      </c>
      <c r="C3258" t="inlineStr">
        <is>
          <t>DARKSIDE STORE COMERCIO LTDA</t>
        </is>
      </c>
    </row>
    <row r="3259">
      <c r="B3259" t="inlineStr">
        <is>
          <t>36.882.405/0001-48</t>
        </is>
      </c>
      <c r="C3259" t="inlineStr">
        <is>
          <t>M B DA SILVA PAROLIN E CIA LTDA</t>
        </is>
      </c>
    </row>
    <row r="3260">
      <c r="B3260" t="inlineStr">
        <is>
          <t>36.882.405/0001-48</t>
        </is>
      </c>
      <c r="C3260" t="inlineStr">
        <is>
          <t>M B DA SILVA PAROLIN E CIA LTDA</t>
        </is>
      </c>
    </row>
    <row r="3261">
      <c r="B3261" t="inlineStr">
        <is>
          <t>36.882.405/0001-48</t>
        </is>
      </c>
      <c r="C3261" t="inlineStr">
        <is>
          <t>M B DA SILVA PAROLIN E CIA LTDA</t>
        </is>
      </c>
    </row>
    <row r="3262">
      <c r="B3262" t="inlineStr">
        <is>
          <t>37.189.889/0001-07</t>
        </is>
      </c>
      <c r="C3262" t="inlineStr">
        <is>
          <t>MK ECOMM LTDA</t>
        </is>
      </c>
    </row>
    <row r="3263">
      <c r="B3263" t="inlineStr">
        <is>
          <t>37.189.889/0001-07</t>
        </is>
      </c>
      <c r="C3263" t="inlineStr">
        <is>
          <t>MK ECOMM LTDA</t>
        </is>
      </c>
    </row>
    <row r="3264">
      <c r="B3264" t="inlineStr">
        <is>
          <t>37.189.889/0001-07</t>
        </is>
      </c>
      <c r="C3264" t="inlineStr">
        <is>
          <t>MK ECOMM LTDA</t>
        </is>
      </c>
    </row>
    <row r="3265">
      <c r="B3265" t="inlineStr">
        <is>
          <t>37.189.889/0001-07</t>
        </is>
      </c>
      <c r="C3265" t="inlineStr">
        <is>
          <t>MK ECOMM LTDA</t>
        </is>
      </c>
    </row>
    <row r="3266">
      <c r="B3266" t="inlineStr">
        <is>
          <t>37.189.889/0001-07</t>
        </is>
      </c>
      <c r="C3266" t="inlineStr">
        <is>
          <t>MK ECOMM LTDA</t>
        </is>
      </c>
    </row>
    <row r="3267">
      <c r="B3267" t="inlineStr">
        <is>
          <t>37.426.051/0008-66</t>
        </is>
      </c>
      <c r="C3267" t="inlineStr">
        <is>
          <t>BELL RIO COSMETICOS LTDA</t>
        </is>
      </c>
    </row>
    <row r="3268">
      <c r="B3268" t="inlineStr">
        <is>
          <t>37.426.051/0008-66</t>
        </is>
      </c>
      <c r="C3268" t="inlineStr">
        <is>
          <t>BELL RIO COSMETICOS LTDA</t>
        </is>
      </c>
    </row>
    <row r="3269">
      <c r="B3269" t="inlineStr">
        <is>
          <t>37.426.051/0008-66</t>
        </is>
      </c>
      <c r="C3269" t="inlineStr">
        <is>
          <t>BELL RIO COSMETICOS LTDA</t>
        </is>
      </c>
    </row>
    <row r="3270">
      <c r="B3270" t="inlineStr">
        <is>
          <t>37.426.051/0008-66</t>
        </is>
      </c>
      <c r="C3270" t="inlineStr">
        <is>
          <t>BELL RIO COSMETICOS LTDA</t>
        </is>
      </c>
    </row>
    <row r="3271">
      <c r="B3271" t="inlineStr">
        <is>
          <t>37.631.772/0001-31</t>
        </is>
      </c>
      <c r="C3271" t="inlineStr">
        <is>
          <t>BERNARD MORENO BOLACELL</t>
        </is>
      </c>
    </row>
    <row r="3272">
      <c r="B3272" t="inlineStr">
        <is>
          <t>37.631.772/0001-31</t>
        </is>
      </c>
      <c r="C3272" t="inlineStr">
        <is>
          <t>BERNARD MORENO BOLACELL</t>
        </is>
      </c>
    </row>
    <row r="3273">
      <c r="B3273" t="inlineStr">
        <is>
          <t>37.631.772/0001-31</t>
        </is>
      </c>
      <c r="C3273" t="inlineStr">
        <is>
          <t>BERNARD MORENO BOLACELL</t>
        </is>
      </c>
    </row>
    <row r="3274">
      <c r="B3274" t="inlineStr">
        <is>
          <t>39.744.143/0001-43</t>
        </is>
      </c>
      <c r="C3274" t="inlineStr">
        <is>
          <t>BEE2PAY TRAVEL SOLUTIONS S.A</t>
        </is>
      </c>
    </row>
    <row r="3275">
      <c r="B3275" t="inlineStr">
        <is>
          <t>39.744.143/0001-43</t>
        </is>
      </c>
      <c r="C3275" t="inlineStr">
        <is>
          <t>BEE2PAY TRAVEL SOLUTIONS S.A</t>
        </is>
      </c>
    </row>
    <row r="3276">
      <c r="B3276" t="inlineStr">
        <is>
          <t>39.744.143/0001-43</t>
        </is>
      </c>
      <c r="C3276" t="inlineStr">
        <is>
          <t>BEE2PAY TRAVEL SOLUTIONS S.A</t>
        </is>
      </c>
    </row>
    <row r="3277">
      <c r="B3277" t="inlineStr">
        <is>
          <t>39.744.143/0001-43</t>
        </is>
      </c>
      <c r="C3277" t="inlineStr">
        <is>
          <t>BEE2PAY TRAVEL SOLUTIONS S.A</t>
        </is>
      </c>
    </row>
    <row r="3278">
      <c r="B3278" t="inlineStr">
        <is>
          <t>39.851.059/0002-00</t>
        </is>
      </c>
      <c r="C3278" t="inlineStr">
        <is>
          <t>MAYA BEAUTY DISTRIBUICAO DE COSMETICOS LTDA</t>
        </is>
      </c>
    </row>
    <row r="3279">
      <c r="B3279" t="inlineStr">
        <is>
          <t>39.851.059/0002-00</t>
        </is>
      </c>
      <c r="C3279" t="inlineStr">
        <is>
          <t>MAYA BEAUTY DISTRIBUICAO DE COSMETICOS LTDA</t>
        </is>
      </c>
    </row>
    <row r="3280">
      <c r="B3280" t="inlineStr">
        <is>
          <t>39.893.680/0002-36</t>
        </is>
      </c>
      <c r="C3280" t="inlineStr">
        <is>
          <t>SUPERCOMM S.A.</t>
        </is>
      </c>
    </row>
    <row r="3281">
      <c r="B3281" t="inlineStr">
        <is>
          <t>39.893.680/0002-36</t>
        </is>
      </c>
      <c r="C3281" t="inlineStr">
        <is>
          <t>SUPERCOMM S.A.</t>
        </is>
      </c>
    </row>
    <row r="3282">
      <c r="B3282" t="inlineStr">
        <is>
          <t>39.893.680/0002-36</t>
        </is>
      </c>
      <c r="C3282" t="inlineStr">
        <is>
          <t>SUPERCOMM S.A.</t>
        </is>
      </c>
    </row>
    <row r="3283">
      <c r="B3283" t="inlineStr">
        <is>
          <t>39.893.680/0002-36</t>
        </is>
      </c>
      <c r="C3283" t="inlineStr">
        <is>
          <t>SUPERCOMM S.A.</t>
        </is>
      </c>
    </row>
    <row r="3284">
      <c r="B3284" t="inlineStr">
        <is>
          <t>40.339.657/0001-00</t>
        </is>
      </c>
      <c r="C3284" t="inlineStr">
        <is>
          <t>BLUMAR/BRAZIL NUTS RIO TURISMO LTDA</t>
        </is>
      </c>
    </row>
    <row r="3285">
      <c r="B3285" t="inlineStr">
        <is>
          <t>40.339.657/0001-00</t>
        </is>
      </c>
      <c r="C3285" t="inlineStr">
        <is>
          <t>BLUMAR/BRAZIL NUTS RIO TURISMO LTDA</t>
        </is>
      </c>
    </row>
    <row r="3286">
      <c r="B3286" t="inlineStr">
        <is>
          <t>40.339.657/0001-00</t>
        </is>
      </c>
      <c r="C3286" t="inlineStr">
        <is>
          <t>BLUMAR/BRAZIL NUTS RIO TURISMO LTDA</t>
        </is>
      </c>
    </row>
    <row r="3287">
      <c r="B3287" t="inlineStr">
        <is>
          <t>40.432.544/0062-69</t>
        </is>
      </c>
      <c r="C3287" t="inlineStr">
        <is>
          <t>CLARO S.A.</t>
        </is>
      </c>
    </row>
    <row r="3288">
      <c r="B3288" t="inlineStr">
        <is>
          <t>40.432.544/0062-69</t>
        </is>
      </c>
      <c r="C3288" t="inlineStr">
        <is>
          <t>CLARO S.A.</t>
        </is>
      </c>
    </row>
    <row r="3289">
      <c r="B3289" t="inlineStr">
        <is>
          <t>40.432.544/0062-69</t>
        </is>
      </c>
      <c r="C3289" t="inlineStr">
        <is>
          <t>CLARO S.A.</t>
        </is>
      </c>
    </row>
    <row r="3290">
      <c r="B3290" t="inlineStr">
        <is>
          <t>40.432.544/0062-69</t>
        </is>
      </c>
      <c r="C3290" t="inlineStr">
        <is>
          <t>CLARO S.A.</t>
        </is>
      </c>
    </row>
    <row r="3291">
      <c r="B3291" t="inlineStr">
        <is>
          <t>42.274.696/0001-94</t>
        </is>
      </c>
      <c r="C3291" t="inlineStr">
        <is>
          <t>ADIDAS DO BRASIL LTDA</t>
        </is>
      </c>
    </row>
    <row r="3292">
      <c r="B3292" t="inlineStr">
        <is>
          <t>43.214.055/0045-28</t>
        </is>
      </c>
      <c r="C3292" t="inlineStr">
        <is>
          <t>MARTINS COMERCIO E SERVICOS DE DISTRIBUICAO S/A</t>
        </is>
      </c>
    </row>
    <row r="3293">
      <c r="B3293" t="inlineStr">
        <is>
          <t>43.214.055/0045-28</t>
        </is>
      </c>
      <c r="C3293" t="inlineStr">
        <is>
          <t>MARTINS COMERCIO E SERVICOS DE DISTRIBUICAO S/A</t>
        </is>
      </c>
    </row>
    <row r="3294">
      <c r="B3294" t="inlineStr">
        <is>
          <t>43.214.055/0045-28</t>
        </is>
      </c>
      <c r="C3294" t="inlineStr">
        <is>
          <t>MARTINS COMERCIO E SERVICOS DE DISTRIBUICAO S/A</t>
        </is>
      </c>
    </row>
    <row r="3295">
      <c r="B3295" t="inlineStr">
        <is>
          <t>43.214.055/0045-28</t>
        </is>
      </c>
      <c r="C3295" t="inlineStr">
        <is>
          <t>MARTINS COMERCIO E SERVICOS DE DISTRIBUICAO S/A</t>
        </is>
      </c>
    </row>
    <row r="3296">
      <c r="B3296" t="inlineStr">
        <is>
          <t>43.214.055/0045-28</t>
        </is>
      </c>
      <c r="C3296" t="inlineStr">
        <is>
          <t>MARTINS COMERCIO E SERVICOS DE DISTRIBUICAO S/A</t>
        </is>
      </c>
    </row>
    <row r="3297">
      <c r="B3297" t="inlineStr">
        <is>
          <t>43.342.542/0001-55</t>
        </is>
      </c>
      <c r="C3297" t="inlineStr">
        <is>
          <t>DROGADERMA LTDA</t>
        </is>
      </c>
    </row>
    <row r="3298">
      <c r="B3298" t="inlineStr">
        <is>
          <t>43.342.542/0001-55</t>
        </is>
      </c>
      <c r="C3298" t="inlineStr">
        <is>
          <t>DROGADERMA LTDA</t>
        </is>
      </c>
    </row>
    <row r="3299">
      <c r="B3299" t="inlineStr">
        <is>
          <t>43.342.542/0001-55</t>
        </is>
      </c>
      <c r="C3299" t="inlineStr">
        <is>
          <t>DROGADERMA LTDA</t>
        </is>
      </c>
    </row>
    <row r="3300">
      <c r="B3300" t="inlineStr">
        <is>
          <t>43.343.391/0001-50</t>
        </is>
      </c>
      <c r="C3300" t="inlineStr">
        <is>
          <t>BERLITZ CENTRO DE IDIOMAS LTDA</t>
        </is>
      </c>
    </row>
    <row r="3301">
      <c r="B3301" t="inlineStr">
        <is>
          <t>43.343.391/0001-50</t>
        </is>
      </c>
      <c r="C3301" t="inlineStr">
        <is>
          <t>BERLITZ CENTRO DE IDIOMAS LTDA</t>
        </is>
      </c>
    </row>
    <row r="3302">
      <c r="B3302" t="inlineStr">
        <is>
          <t>43.343.391/0001-50</t>
        </is>
      </c>
      <c r="C3302" t="inlineStr">
        <is>
          <t>BERLITZ CENTRO DE IDIOMAS LTDA</t>
        </is>
      </c>
    </row>
    <row r="3303">
      <c r="B3303" t="inlineStr">
        <is>
          <t>43.426.626/0001-77</t>
        </is>
      </c>
      <c r="C3303" t="inlineStr">
        <is>
          <t>ALLERGAN PRODUTOS FARMACEUTICOS LTDA.</t>
        </is>
      </c>
    </row>
    <row r="3304">
      <c r="B3304" t="inlineStr">
        <is>
          <t>43.426.626/0001-77</t>
        </is>
      </c>
      <c r="C3304" t="inlineStr">
        <is>
          <t>ALLERGAN PRODUTOS FARMACEUTICOS LTDA.</t>
        </is>
      </c>
    </row>
    <row r="3305">
      <c r="B3305" t="inlineStr">
        <is>
          <t>43.426.626/0001-77</t>
        </is>
      </c>
      <c r="C3305" t="inlineStr">
        <is>
          <t>ALLERGAN PRODUTOS FARMACEUTICOS LTDA.</t>
        </is>
      </c>
    </row>
    <row r="3306">
      <c r="B3306" t="inlineStr">
        <is>
          <t>43.426.626/0001-77</t>
        </is>
      </c>
      <c r="C3306" t="inlineStr">
        <is>
          <t>ALLERGAN PRODUTOS FARMACEUTICOS LTDA.</t>
        </is>
      </c>
    </row>
    <row r="3307">
      <c r="B3307" t="inlineStr">
        <is>
          <t>43.708.379/0001-00</t>
        </is>
      </c>
      <c r="C3307" t="inlineStr">
        <is>
          <t>FAST SHOP S.A</t>
        </is>
      </c>
    </row>
    <row r="3308">
      <c r="B3308" t="inlineStr">
        <is>
          <t>43.849.258/0001-70</t>
        </is>
      </c>
      <c r="C3308" t="inlineStr">
        <is>
          <t>E-TALITA CONFECCOES LTDA</t>
        </is>
      </c>
    </row>
    <row r="3309">
      <c r="B3309" t="inlineStr">
        <is>
          <t>43.849.258/0001-70</t>
        </is>
      </c>
      <c r="C3309" t="inlineStr">
        <is>
          <t>E-TALITA CONFECCOES LTDA</t>
        </is>
      </c>
    </row>
    <row r="3310">
      <c r="B3310" t="inlineStr">
        <is>
          <t>43.849.258/0001-70</t>
        </is>
      </c>
      <c r="C3310" t="inlineStr">
        <is>
          <t>E-TALITA CONFECCOES LTDA</t>
        </is>
      </c>
    </row>
    <row r="3311">
      <c r="B3311" t="inlineStr">
        <is>
          <t>43.849.258/0001-70</t>
        </is>
      </c>
      <c r="C3311" t="inlineStr">
        <is>
          <t>E-TALITA CONFECCOES LTDA</t>
        </is>
      </c>
    </row>
    <row r="3312">
      <c r="B3312" t="inlineStr">
        <is>
          <t>43.849.258/0001-70</t>
        </is>
      </c>
      <c r="C3312" t="inlineStr">
        <is>
          <t>E-TALITA CONFECCOES LTDA</t>
        </is>
      </c>
    </row>
    <row r="3313">
      <c r="B3313" t="inlineStr">
        <is>
          <t>43.894.609/0001-64</t>
        </is>
      </c>
      <c r="C3313" t="inlineStr">
        <is>
          <t>POLITEC IMPORTACAO E COMERCIO LTDA.</t>
        </is>
      </c>
    </row>
    <row r="3314">
      <c r="B3314" t="inlineStr">
        <is>
          <t>43.894.609/0001-64</t>
        </is>
      </c>
      <c r="C3314" t="inlineStr">
        <is>
          <t>POLITEC IMPORTACAO E COMERCIO LTDA.</t>
        </is>
      </c>
    </row>
    <row r="3315">
      <c r="B3315" t="inlineStr">
        <is>
          <t>43.894.609/0001-64</t>
        </is>
      </c>
      <c r="C3315" t="inlineStr">
        <is>
          <t>POLITEC IMPORTACAO E COMERCIO LTDA.</t>
        </is>
      </c>
    </row>
    <row r="3316">
      <c r="B3316" t="inlineStr">
        <is>
          <t>45.201.019/0001-34</t>
        </is>
      </c>
      <c r="C3316" t="inlineStr">
        <is>
          <t>OBRAS SOCIAIS DA ARQUIDIOCESE DE APARECIDA</t>
        </is>
      </c>
    </row>
    <row r="3317">
      <c r="B3317" t="inlineStr">
        <is>
          <t>45.201.019/0001-34</t>
        </is>
      </c>
      <c r="C3317" t="inlineStr">
        <is>
          <t>OBRAS SOCIAIS DA ARQUIDIOCESE DE APARECIDA</t>
        </is>
      </c>
    </row>
    <row r="3318">
      <c r="B3318" t="inlineStr">
        <is>
          <t>45.201.019/0001-34</t>
        </is>
      </c>
      <c r="C3318" t="inlineStr">
        <is>
          <t>OBRAS SOCIAIS DA ARQUIDIOCESE DE APARECIDA</t>
        </is>
      </c>
    </row>
    <row r="3319">
      <c r="B3319" t="inlineStr">
        <is>
          <t>45.201.019/0001-34</t>
        </is>
      </c>
      <c r="C3319" t="inlineStr">
        <is>
          <t>OBRAS SOCIAIS DA ARQUIDIOCESE DE APARECIDA</t>
        </is>
      </c>
    </row>
    <row r="3320">
      <c r="B3320" t="inlineStr">
        <is>
          <t>45.213.626/0001-14</t>
        </is>
      </c>
      <c r="C3320" t="inlineStr">
        <is>
          <t>JAMES BARBOSA &amp; CIA LTDA</t>
        </is>
      </c>
    </row>
    <row r="3321">
      <c r="B3321" t="inlineStr">
        <is>
          <t>45.213.626/0001-14</t>
        </is>
      </c>
      <c r="C3321" t="inlineStr">
        <is>
          <t>JAMES BARBOSA &amp; CIA LTDA</t>
        </is>
      </c>
    </row>
    <row r="3322">
      <c r="B3322" t="inlineStr">
        <is>
          <t>45.213.626/0001-14</t>
        </is>
      </c>
      <c r="C3322" t="inlineStr">
        <is>
          <t>JAMES BARBOSA &amp; CIA LTDA</t>
        </is>
      </c>
    </row>
    <row r="3323">
      <c r="B3323" t="inlineStr">
        <is>
          <t>45.219.137/0001-70</t>
        </is>
      </c>
      <c r="C3323" t="inlineStr">
        <is>
          <t>CSX ACADEMIA DE EDUCACAO FISICA LTDA</t>
        </is>
      </c>
    </row>
    <row r="3324">
      <c r="B3324" t="inlineStr">
        <is>
          <t>45.219.137/0001-70</t>
        </is>
      </c>
      <c r="C3324" t="inlineStr">
        <is>
          <t>CSX ACADEMIA DE EDUCACAO FISICA LTDA</t>
        </is>
      </c>
    </row>
    <row r="3325">
      <c r="B3325" t="inlineStr">
        <is>
          <t>45.219.137/0001-70</t>
        </is>
      </c>
      <c r="C3325" t="inlineStr">
        <is>
          <t>CSX ACADEMIA DE EDUCACAO FISICA LTDA</t>
        </is>
      </c>
    </row>
    <row r="3326">
      <c r="B3326" t="inlineStr">
        <is>
          <t>45.454.718/0006-09</t>
        </is>
      </c>
      <c r="C3326" t="inlineStr">
        <is>
          <t>ORIGINAL TOKYO COMERCIO DE VEICULOS S A</t>
        </is>
      </c>
    </row>
    <row r="3327">
      <c r="B3327" t="inlineStr">
        <is>
          <t>45.454.718/0006-09</t>
        </is>
      </c>
      <c r="C3327" t="inlineStr">
        <is>
          <t>ORIGINAL TOKYO COMERCIO DE VEICULOS S A</t>
        </is>
      </c>
    </row>
    <row r="3328">
      <c r="B3328" t="inlineStr">
        <is>
          <t>45.454.718/0006-09</t>
        </is>
      </c>
      <c r="C3328" t="inlineStr">
        <is>
          <t>ORIGINAL TOKYO COMERCIO DE VEICULOS S A</t>
        </is>
      </c>
    </row>
    <row r="3329">
      <c r="B3329" t="inlineStr">
        <is>
          <t>45.543.915/0001-81</t>
        </is>
      </c>
      <c r="C3329" t="inlineStr">
        <is>
          <t>CARREFOUR COMERCIO E INDUSTRIA LTDA</t>
        </is>
      </c>
    </row>
    <row r="3330">
      <c r="B3330" t="inlineStr">
        <is>
          <t>45.543.915/0001-81</t>
        </is>
      </c>
      <c r="C3330" t="inlineStr">
        <is>
          <t>CARREFOUR COMERCIO E INDUSTRIA LTDA</t>
        </is>
      </c>
    </row>
    <row r="3331">
      <c r="B3331" t="inlineStr">
        <is>
          <t>45.543.915/0001-81</t>
        </is>
      </c>
      <c r="C3331" t="inlineStr">
        <is>
          <t>CARREFOUR COMERCIO E INDUSTRIA LTDA</t>
        </is>
      </c>
    </row>
    <row r="3332">
      <c r="B3332" t="inlineStr">
        <is>
          <t>45.543.915/0001-81</t>
        </is>
      </c>
      <c r="C3332" t="inlineStr">
        <is>
          <t>CARREFOUR COMERCIO E INDUSTRIA LTDA</t>
        </is>
      </c>
    </row>
    <row r="3333">
      <c r="B3333" t="inlineStr">
        <is>
          <t>45.688.126/0001-39</t>
        </is>
      </c>
      <c r="C3333" t="inlineStr">
        <is>
          <t>SHOES AND ZBAGS COMERCIO LTDA</t>
        </is>
      </c>
    </row>
    <row r="3334">
      <c r="B3334" t="inlineStr">
        <is>
          <t>46.134.425/0001-94</t>
        </is>
      </c>
      <c r="C3334" t="inlineStr">
        <is>
          <t>HOTEIS ROYAL PALM PLAZA LTDA.</t>
        </is>
      </c>
    </row>
    <row r="3335">
      <c r="B3335" t="inlineStr">
        <is>
          <t>46.134.425/0001-94</t>
        </is>
      </c>
      <c r="C3335" t="inlineStr">
        <is>
          <t>HOTEIS ROYAL PALM PLAZA LTDA.</t>
        </is>
      </c>
    </row>
    <row r="3336">
      <c r="B3336" t="inlineStr">
        <is>
          <t>46.134.425/0001-94</t>
        </is>
      </c>
      <c r="C3336" t="inlineStr">
        <is>
          <t>HOTEIS ROYAL PALM PLAZA LTDA.</t>
        </is>
      </c>
    </row>
    <row r="3337">
      <c r="B3337" t="inlineStr">
        <is>
          <t>46.134.425/0001-94</t>
        </is>
      </c>
      <c r="C3337" t="inlineStr">
        <is>
          <t>HOTEIS ROYAL PALM PLAZA LTDA.</t>
        </is>
      </c>
    </row>
    <row r="3338">
      <c r="B3338" t="inlineStr">
        <is>
          <t>46.134.425/0001-94</t>
        </is>
      </c>
      <c r="C3338" t="inlineStr">
        <is>
          <t>HOTEIS ROYAL PALM PLAZA LTDA.</t>
        </is>
      </c>
    </row>
    <row r="3339">
      <c r="B3339" t="inlineStr">
        <is>
          <t>46.266.771/0001-26</t>
        </is>
      </c>
      <c r="C3339" t="inlineStr">
        <is>
          <t>CANON DO BRASIL INDUSTRIA E COMERCIO LTDA.</t>
        </is>
      </c>
    </row>
    <row r="3340">
      <c r="B3340" t="inlineStr">
        <is>
          <t>46.266.771/0001-26</t>
        </is>
      </c>
      <c r="C3340" t="inlineStr">
        <is>
          <t>CANON DO BRASIL INDUSTRIA E COMERCIO LTDA.</t>
        </is>
      </c>
    </row>
    <row r="3341">
      <c r="B3341" t="inlineStr">
        <is>
          <t>46.266.771/0001-26</t>
        </is>
      </c>
      <c r="C3341" t="inlineStr">
        <is>
          <t>CANON DO BRASIL INDUSTRIA E COMERCIO LTDA.</t>
        </is>
      </c>
    </row>
    <row r="3342">
      <c r="B3342" t="inlineStr">
        <is>
          <t>46.266.771/0001-26</t>
        </is>
      </c>
      <c r="C3342" t="inlineStr">
        <is>
          <t>CANON DO BRASIL INDUSTRIA E COMERCIO LTDA.</t>
        </is>
      </c>
    </row>
    <row r="3343">
      <c r="B3343" t="inlineStr">
        <is>
          <t>46.266.771/0001-26</t>
        </is>
      </c>
      <c r="C3343" t="inlineStr">
        <is>
          <t>CANON DO BRASIL INDUSTRIA E COMERCIO LTDA.</t>
        </is>
      </c>
    </row>
    <row r="3344">
      <c r="B3344" t="inlineStr">
        <is>
          <t>46.266.771/0001-26</t>
        </is>
      </c>
      <c r="C3344" t="inlineStr">
        <is>
          <t>CANON DO BRASIL INDUSTRIA E COMERCIO LTDA.</t>
        </is>
      </c>
    </row>
    <row r="3345">
      <c r="B3345" t="inlineStr">
        <is>
          <t>46.266.771/0001-26</t>
        </is>
      </c>
      <c r="C3345" t="inlineStr">
        <is>
          <t>CANON DO BRASIL INDUSTRIA E COMERCIO LTDA.</t>
        </is>
      </c>
    </row>
    <row r="3346">
      <c r="B3346" t="inlineStr">
        <is>
          <t>46.266.771/0001-26</t>
        </is>
      </c>
      <c r="C3346" t="inlineStr">
        <is>
          <t>CANON DO BRASIL INDUSTRIA E COMERCIO LTDA.</t>
        </is>
      </c>
    </row>
    <row r="3347">
      <c r="B3347" t="inlineStr">
        <is>
          <t>46.394.094/0001-21</t>
        </is>
      </c>
      <c r="C3347" t="inlineStr">
        <is>
          <t>FLAGIAN IMPORTACAO E EXPORTACAO LTDA</t>
        </is>
      </c>
    </row>
    <row r="3348">
      <c r="B3348" t="inlineStr">
        <is>
          <t>46.394.094/0001-21</t>
        </is>
      </c>
      <c r="C3348" t="inlineStr">
        <is>
          <t>FLAGIAN IMPORTACAO E EXPORTACAO LTDA</t>
        </is>
      </c>
    </row>
    <row r="3349">
      <c r="B3349" t="inlineStr">
        <is>
          <t>46.394.094/0001-21</t>
        </is>
      </c>
      <c r="C3349" t="inlineStr">
        <is>
          <t>FLAGIAN IMPORTACAO E EXPORTACAO LTDA</t>
        </is>
      </c>
    </row>
    <row r="3350">
      <c r="B3350" t="inlineStr">
        <is>
          <t>46.394.094/0001-21</t>
        </is>
      </c>
      <c r="C3350" t="inlineStr">
        <is>
          <t>FLAGIAN IMPORTACAO E EXPORTACAO LTDA</t>
        </is>
      </c>
    </row>
    <row r="3351">
      <c r="B3351" t="inlineStr">
        <is>
          <t>47.033.423/0001-71</t>
        </is>
      </c>
      <c r="C3351" t="inlineStr">
        <is>
          <t>ZENAIDE BARBOZA SILVA DE OLIVEIRA</t>
        </is>
      </c>
    </row>
    <row r="3352">
      <c r="B3352" t="inlineStr">
        <is>
          <t>47.033.423/0001-71</t>
        </is>
      </c>
      <c r="C3352" t="inlineStr">
        <is>
          <t>ZENAIDE BARBOZA SILVA DE OLIVEIRA</t>
        </is>
      </c>
    </row>
    <row r="3353">
      <c r="B3353" t="inlineStr">
        <is>
          <t>47.033.423/0001-71</t>
        </is>
      </c>
      <c r="C3353" t="inlineStr">
        <is>
          <t>ZENAIDE BARBOZA SILVA DE OLIVEIRA</t>
        </is>
      </c>
    </row>
    <row r="3354">
      <c r="B3354" t="inlineStr">
        <is>
          <t>47.545.371/0001-12</t>
        </is>
      </c>
      <c r="C3354" t="inlineStr">
        <is>
          <t>TERAPEUTICA FARMACIA DE MANIPULACAO LTDA</t>
        </is>
      </c>
    </row>
    <row r="3355">
      <c r="B3355" t="inlineStr">
        <is>
          <t>47.545.371/0001-12</t>
        </is>
      </c>
      <c r="C3355" t="inlineStr">
        <is>
          <t>TERAPEUTICA FARMACIA DE MANIPULACAO LTDA</t>
        </is>
      </c>
    </row>
    <row r="3356">
      <c r="B3356" t="inlineStr">
        <is>
          <t>47.545.371/0001-12</t>
        </is>
      </c>
      <c r="C3356" t="inlineStr">
        <is>
          <t>TERAPEUTICA FARMACIA DE MANIPULACAO LTDA</t>
        </is>
      </c>
    </row>
    <row r="3357">
      <c r="B3357" t="inlineStr">
        <is>
          <t>47.686.555/0001-00</t>
        </is>
      </c>
      <c r="C3357" t="inlineStr">
        <is>
          <t>MOMENTUM EMPREENDIMENTOS IMOBILIARIOS LTDA</t>
        </is>
      </c>
    </row>
    <row r="3358">
      <c r="B3358" t="inlineStr">
        <is>
          <t>47.686.555/0001-00</t>
        </is>
      </c>
      <c r="C3358" t="inlineStr">
        <is>
          <t>MOMENTUM EMPREENDIMENTOS IMOBILIARIOS LTDA</t>
        </is>
      </c>
    </row>
    <row r="3359">
      <c r="B3359" t="inlineStr">
        <is>
          <t>47.686.555/0001-00</t>
        </is>
      </c>
      <c r="C3359" t="inlineStr">
        <is>
          <t>MOMENTUM EMPREENDIMENTOS IMOBILIARIOS LTDA</t>
        </is>
      </c>
    </row>
    <row r="3360">
      <c r="B3360" t="inlineStr">
        <is>
          <t>49.410.145/0001-50</t>
        </is>
      </c>
      <c r="C3360" t="inlineStr">
        <is>
          <t>SOCIEDADE PAULISTA DE RADIOLOGIA E DIAGNOSTICO POR IMAGEM</t>
        </is>
      </c>
    </row>
    <row r="3361">
      <c r="B3361" t="inlineStr">
        <is>
          <t>49.410.145/0001-50</t>
        </is>
      </c>
      <c r="C3361" t="inlineStr">
        <is>
          <t>SOCIEDADE PAULISTA DE RADIOLOGIA E DIAGNOSTICO POR IMAGEM</t>
        </is>
      </c>
    </row>
    <row r="3362">
      <c r="B3362" t="inlineStr">
        <is>
          <t>49.410.145/0001-50</t>
        </is>
      </c>
      <c r="C3362" t="inlineStr">
        <is>
          <t>SOCIEDADE PAULISTA DE RADIOLOGIA E DIAGNOSTICO POR IMAGEM</t>
        </is>
      </c>
    </row>
    <row r="3363">
      <c r="B3363" t="inlineStr">
        <is>
          <t>49.410.145/0001-50</t>
        </is>
      </c>
      <c r="C3363" t="inlineStr">
        <is>
          <t>SOCIEDADE PAULISTA DE RADIOLOGIA E DIAGNOSTICO POR IMAGEM</t>
        </is>
      </c>
    </row>
    <row r="3364">
      <c r="B3364" t="inlineStr">
        <is>
          <t>50.204.799/0001-06</t>
        </is>
      </c>
      <c r="C3364" t="inlineStr">
        <is>
          <t>M2M FARMA EXPRESS LTDA</t>
        </is>
      </c>
    </row>
    <row r="3365">
      <c r="B3365" t="inlineStr">
        <is>
          <t>50.204.799/0001-06</t>
        </is>
      </c>
      <c r="C3365" t="inlineStr">
        <is>
          <t>M2M FARMA EXPRESS LTDA</t>
        </is>
      </c>
    </row>
    <row r="3366">
      <c r="B3366" t="inlineStr">
        <is>
          <t>50.204.799/0001-06</t>
        </is>
      </c>
      <c r="C3366" t="inlineStr">
        <is>
          <t>M2M FARMA EXPRESS LTDA</t>
        </is>
      </c>
    </row>
    <row r="3367">
      <c r="B3367" t="inlineStr">
        <is>
          <t>50.289.814/0001-66</t>
        </is>
      </c>
      <c r="C3367" t="inlineStr">
        <is>
          <t>VERONICA PEREIRA IND COM CONFECCOES DO VESTUARIO LTDA</t>
        </is>
      </c>
    </row>
    <row r="3368">
      <c r="B3368" t="inlineStr">
        <is>
          <t>50.289.814/0001-66</t>
        </is>
      </c>
      <c r="C3368" t="inlineStr">
        <is>
          <t>VERONICA PEREIRA IND COM CONFECCOES DO VESTUARIO LTDA</t>
        </is>
      </c>
    </row>
    <row r="3369">
      <c r="B3369" t="inlineStr">
        <is>
          <t>50.289.814/0001-66</t>
        </is>
      </c>
      <c r="C3369" t="inlineStr">
        <is>
          <t>VERONICA PEREIRA IND COM CONFECCOES DO VESTUARIO LTDA</t>
        </is>
      </c>
    </row>
    <row r="3370">
      <c r="B3370" t="inlineStr">
        <is>
          <t>50.289.814/0001-66</t>
        </is>
      </c>
      <c r="C3370" t="inlineStr">
        <is>
          <t>VERONICA PEREIRA IND COM CONFECCOES DO VESTUARIO LTDA</t>
        </is>
      </c>
    </row>
    <row r="3371">
      <c r="B3371" t="inlineStr">
        <is>
          <t>51.757.300/0001-50</t>
        </is>
      </c>
      <c r="C3371" t="inlineStr">
        <is>
          <t>FLYTOUR AGENCIA DE VIAGENS E TURISMO LTDA.</t>
        </is>
      </c>
    </row>
    <row r="3372">
      <c r="B3372" t="inlineStr">
        <is>
          <t>51.757.300/0001-50</t>
        </is>
      </c>
      <c r="C3372" t="inlineStr">
        <is>
          <t>FLYTOUR AGENCIA DE VIAGENS E TURISMO LTDA.</t>
        </is>
      </c>
    </row>
    <row r="3373">
      <c r="B3373" t="inlineStr">
        <is>
          <t>51.757.300/0001-50</t>
        </is>
      </c>
      <c r="C3373" t="inlineStr">
        <is>
          <t>FLYTOUR AGENCIA DE VIAGENS E TURISMO LTDA.</t>
        </is>
      </c>
    </row>
    <row r="3374">
      <c r="B3374" t="inlineStr">
        <is>
          <t>51.998.849/0001-37</t>
        </is>
      </c>
      <c r="C3374" t="inlineStr">
        <is>
          <t>HQC PRODUTOS DE LIMPEZA E COSMETICOS LTDA</t>
        </is>
      </c>
    </row>
    <row r="3375">
      <c r="B3375" t="inlineStr">
        <is>
          <t>51.998.849/0001-37</t>
        </is>
      </c>
      <c r="C3375" t="inlineStr">
        <is>
          <t>HQC PRODUTOS DE LIMPEZA E COSMETICOS LTDA</t>
        </is>
      </c>
    </row>
    <row r="3376">
      <c r="B3376" t="inlineStr">
        <is>
          <t>51.998.849/0001-37</t>
        </is>
      </c>
      <c r="C3376" t="inlineStr">
        <is>
          <t>HQC PRODUTOS DE LIMPEZA E COSMETICOS LTDA</t>
        </is>
      </c>
    </row>
    <row r="3377">
      <c r="B3377" t="inlineStr">
        <is>
          <t>52.601.333/0001-70</t>
        </is>
      </c>
      <c r="C3377" t="inlineStr">
        <is>
          <t>ART-PHARMA FORMULAS OFICINAIS LTDA</t>
        </is>
      </c>
    </row>
    <row r="3378">
      <c r="B3378" t="inlineStr">
        <is>
          <t>52.601.333/0001-70</t>
        </is>
      </c>
      <c r="C3378" t="inlineStr">
        <is>
          <t>ART-PHARMA FORMULAS OFICINAIS LTDA</t>
        </is>
      </c>
    </row>
    <row r="3379">
      <c r="B3379" t="inlineStr">
        <is>
          <t>52.601.333/0001-70</t>
        </is>
      </c>
      <c r="C3379" t="inlineStr">
        <is>
          <t>ART-PHARMA FORMULAS OFICINAIS LTDA</t>
        </is>
      </c>
    </row>
    <row r="3380">
      <c r="B3380" t="inlineStr">
        <is>
          <t>53.078.135/0001-36</t>
        </is>
      </c>
      <c r="C3380" t="inlineStr">
        <is>
          <t>EYE PHARMA LTDA</t>
        </is>
      </c>
    </row>
    <row r="3381">
      <c r="B3381" t="inlineStr">
        <is>
          <t>53.078.135/0001-36</t>
        </is>
      </c>
      <c r="C3381" t="inlineStr">
        <is>
          <t>EYE PHARMA LTDA</t>
        </is>
      </c>
    </row>
    <row r="3382">
      <c r="B3382" t="inlineStr">
        <is>
          <t>53.078.135/0001-36</t>
        </is>
      </c>
      <c r="C3382" t="inlineStr">
        <is>
          <t>EYE PHARMA LTDA</t>
        </is>
      </c>
    </row>
    <row r="3383">
      <c r="B3383" t="inlineStr">
        <is>
          <t>53.265.419/0001-31</t>
        </is>
      </c>
      <c r="C3383" t="inlineStr">
        <is>
          <t>APF INFORMATICA LTDA</t>
        </is>
      </c>
    </row>
    <row r="3384">
      <c r="B3384" t="inlineStr">
        <is>
          <t>53.558.342/0039-60</t>
        </is>
      </c>
      <c r="C3384" t="inlineStr">
        <is>
          <t>ANIS RAZUK INDUSTRIA E COMERCIO LTDA</t>
        </is>
      </c>
    </row>
    <row r="3385">
      <c r="B3385" t="inlineStr">
        <is>
          <t>53.558.342/0039-60</t>
        </is>
      </c>
      <c r="C3385" t="inlineStr">
        <is>
          <t>ANIS RAZUK INDUSTRIA E COMERCIO LTDA</t>
        </is>
      </c>
    </row>
    <row r="3386">
      <c r="B3386" t="inlineStr">
        <is>
          <t>53.558.342/0039-60</t>
        </is>
      </c>
      <c r="C3386" t="inlineStr">
        <is>
          <t>ANIS RAZUK INDUSTRIA E COMERCIO LTDA</t>
        </is>
      </c>
    </row>
    <row r="3387">
      <c r="B3387" t="inlineStr">
        <is>
          <t>53.558.342/0039-60</t>
        </is>
      </c>
      <c r="C3387" t="inlineStr">
        <is>
          <t>ANIS RAZUK INDUSTRIA E COMERCIO LTDA</t>
        </is>
      </c>
    </row>
    <row r="3388">
      <c r="B3388" t="inlineStr">
        <is>
          <t>54.267.463/0001-43</t>
        </is>
      </c>
      <c r="C3388" t="inlineStr">
        <is>
          <t>MOTO REMAZA DISTRIBUIDORA DE VEICULOS E PECAS LTDA</t>
        </is>
      </c>
    </row>
    <row r="3389">
      <c r="B3389" t="inlineStr">
        <is>
          <t>54.267.463/0001-43</t>
        </is>
      </c>
      <c r="C3389" t="inlineStr">
        <is>
          <t>MOTO REMAZA DISTRIBUIDORA DE VEICULOS E PECAS LTDA</t>
        </is>
      </c>
    </row>
    <row r="3390">
      <c r="B3390" t="inlineStr">
        <is>
          <t>54.267.463/0001-43</t>
        </is>
      </c>
      <c r="C3390" t="inlineStr">
        <is>
          <t>MOTO REMAZA DISTRIBUIDORA DE VEICULOS E PECAS LTDA</t>
        </is>
      </c>
    </row>
    <row r="3391">
      <c r="B3391" t="inlineStr">
        <is>
          <t>55.132.906/0001-51</t>
        </is>
      </c>
      <c r="C3391" t="inlineStr">
        <is>
          <t>PRIME TOUR AGENCIA DE VIAGENS E TURISMO LTDA</t>
        </is>
      </c>
    </row>
    <row r="3392">
      <c r="B3392" t="inlineStr">
        <is>
          <t>55.132.906/0001-51</t>
        </is>
      </c>
      <c r="C3392" t="inlineStr">
        <is>
          <t>PRIME TOUR AGENCIA DE VIAGENS E TURISMO LTDA</t>
        </is>
      </c>
    </row>
    <row r="3393">
      <c r="B3393" t="inlineStr">
        <is>
          <t>55.132.906/0001-51</t>
        </is>
      </c>
      <c r="C3393" t="inlineStr">
        <is>
          <t>PRIME TOUR AGENCIA DE VIAGENS E TURISMO LTDA</t>
        </is>
      </c>
    </row>
    <row r="3394">
      <c r="B3394" t="inlineStr">
        <is>
          <t>55.689.939/0001-05</t>
        </is>
      </c>
      <c r="C3394" t="inlineStr">
        <is>
          <t>ORGANIZACAO FARMACEUTICA FORMULARIUM LTDA</t>
        </is>
      </c>
    </row>
    <row r="3395">
      <c r="B3395" t="inlineStr">
        <is>
          <t>55.689.939/0001-05</t>
        </is>
      </c>
      <c r="C3395" t="inlineStr">
        <is>
          <t>ORGANIZACAO FARMACEUTICA FORMULARIUM LTDA</t>
        </is>
      </c>
    </row>
    <row r="3396">
      <c r="B3396" t="inlineStr">
        <is>
          <t>55.728.224/0001-06</t>
        </is>
      </c>
      <c r="C3396" t="inlineStr">
        <is>
          <t>COPAFER COMERCIAL LTDA</t>
        </is>
      </c>
    </row>
    <row r="3397">
      <c r="B3397" t="inlineStr">
        <is>
          <t>55.728.224/0001-06</t>
        </is>
      </c>
      <c r="C3397" t="inlineStr">
        <is>
          <t>COPAFER COMERCIAL LTDA</t>
        </is>
      </c>
    </row>
    <row r="3398">
      <c r="B3398" t="inlineStr">
        <is>
          <t>56.992.217/0002-60</t>
        </is>
      </c>
      <c r="C3398" t="inlineStr">
        <is>
          <t>WELEDA DO BRASIL LABORATORIO E FARMACIA LTDA</t>
        </is>
      </c>
    </row>
    <row r="3399">
      <c r="B3399" t="inlineStr">
        <is>
          <t>56.992.217/0002-60</t>
        </is>
      </c>
      <c r="C3399" t="inlineStr">
        <is>
          <t>WELEDA DO BRASIL LABORATORIO E FARMACIA LTDA</t>
        </is>
      </c>
    </row>
    <row r="3400">
      <c r="B3400" t="inlineStr">
        <is>
          <t>56.992.217/0002-60</t>
        </is>
      </c>
      <c r="C3400" t="inlineStr">
        <is>
          <t>WELEDA DO BRASIL LABORATORIO E FARMACIA LTDA</t>
        </is>
      </c>
    </row>
    <row r="3401">
      <c r="B3401" t="inlineStr">
        <is>
          <t>56.992.217/0002-60</t>
        </is>
      </c>
      <c r="C3401" t="inlineStr">
        <is>
          <t>WELEDA DO BRASIL LABORATORIO E FARMACIA LTDA</t>
        </is>
      </c>
    </row>
    <row r="3402">
      <c r="B3402" t="inlineStr">
        <is>
          <t>57.464.653/0004-91</t>
        </is>
      </c>
      <c r="C3402" t="inlineStr">
        <is>
          <t>SANTANA CENTRO DAS ANTENAS LTDA</t>
        </is>
      </c>
    </row>
    <row r="3403">
      <c r="B3403" t="inlineStr">
        <is>
          <t>57.464.653/0004-91</t>
        </is>
      </c>
      <c r="C3403" t="inlineStr">
        <is>
          <t>SANTANA CENTRO DAS ANTENAS LTDA</t>
        </is>
      </c>
    </row>
    <row r="3404">
      <c r="B3404" t="inlineStr">
        <is>
          <t>57.464.653/0004-91</t>
        </is>
      </c>
      <c r="C3404" t="inlineStr">
        <is>
          <t>SANTANA CENTRO DAS ANTENAS LTDA</t>
        </is>
      </c>
    </row>
    <row r="3405">
      <c r="B3405" t="inlineStr">
        <is>
          <t>57.464.653/0004-91</t>
        </is>
      </c>
      <c r="C3405" t="inlineStr">
        <is>
          <t>SANTANA CENTRO DAS ANTENAS LTDA</t>
        </is>
      </c>
    </row>
    <row r="3406">
      <c r="B3406" t="inlineStr">
        <is>
          <t>57.464.653/0004-91</t>
        </is>
      </c>
      <c r="C3406" t="inlineStr">
        <is>
          <t>SANTANA CENTRO DAS ANTENAS LTDA</t>
        </is>
      </c>
    </row>
    <row r="3407">
      <c r="B3407" t="inlineStr">
        <is>
          <t>57.464.653/0004-91</t>
        </is>
      </c>
      <c r="C3407" t="inlineStr">
        <is>
          <t>SANTANA CENTRO DAS ANTENAS LTDA</t>
        </is>
      </c>
    </row>
    <row r="3408">
      <c r="B3408" t="inlineStr">
        <is>
          <t>57.464.653/0004-91</t>
        </is>
      </c>
      <c r="C3408" t="inlineStr">
        <is>
          <t>SANTANA CENTRO DAS ANTENAS LTDA</t>
        </is>
      </c>
    </row>
    <row r="3409">
      <c r="B3409" t="inlineStr">
        <is>
          <t>57.464.653/0004-91</t>
        </is>
      </c>
      <c r="C3409" t="inlineStr">
        <is>
          <t>SANTANA CENTRO DAS ANTENAS LTDA</t>
        </is>
      </c>
    </row>
    <row r="3410">
      <c r="B3410" t="inlineStr">
        <is>
          <t>57.746.455/0001-78</t>
        </is>
      </c>
      <c r="C3410" t="inlineStr">
        <is>
          <t>MEDISERVICE OPERADORA DE PLANOS DE SAUDE S.A.</t>
        </is>
      </c>
    </row>
    <row r="3411">
      <c r="B3411" t="inlineStr">
        <is>
          <t>57.746.455/0001-78</t>
        </is>
      </c>
      <c r="C3411" t="inlineStr">
        <is>
          <t>MEDISERVICE OPERADORA DE PLANOS DE SAUDE S.A.</t>
        </is>
      </c>
    </row>
    <row r="3412">
      <c r="B3412" t="inlineStr">
        <is>
          <t>57.746.455/0001-78</t>
        </is>
      </c>
      <c r="C3412" t="inlineStr">
        <is>
          <t>MEDISERVICE OPERADORA DE PLANOS DE SAUDE S.A.</t>
        </is>
      </c>
    </row>
    <row r="3413">
      <c r="B3413" t="inlineStr">
        <is>
          <t>57.929.012/0001-12</t>
        </is>
      </c>
      <c r="C3413" t="inlineStr">
        <is>
          <t>MAIS MOBI SERVICOS LTDA</t>
        </is>
      </c>
    </row>
    <row r="3414">
      <c r="B3414" t="inlineStr">
        <is>
          <t>57.929.012/0001-12</t>
        </is>
      </c>
      <c r="C3414" t="inlineStr">
        <is>
          <t>MAIS MOBI SERVICOS LTDA</t>
        </is>
      </c>
    </row>
    <row r="3415">
      <c r="B3415" t="inlineStr">
        <is>
          <t>57.929.012/0001-12</t>
        </is>
      </c>
      <c r="C3415" t="inlineStr">
        <is>
          <t>MAIS MOBI SERVICOS LTDA</t>
        </is>
      </c>
    </row>
    <row r="3416">
      <c r="B3416" t="inlineStr">
        <is>
          <t>57.929.012/0001-12</t>
        </is>
      </c>
      <c r="C3416" t="inlineStr">
        <is>
          <t>MAIS MOBI SERVICOS LTDA</t>
        </is>
      </c>
    </row>
    <row r="3417">
      <c r="B3417" t="inlineStr">
        <is>
          <t>57.929.012/0001-12</t>
        </is>
      </c>
      <c r="C3417" t="inlineStr">
        <is>
          <t>MAIS MOBI SERVICOS LTDA</t>
        </is>
      </c>
    </row>
    <row r="3418">
      <c r="B3418" t="inlineStr">
        <is>
          <t>58.062.779/0001-50</t>
        </is>
      </c>
      <c r="C3418" t="inlineStr">
        <is>
          <t>EDITORA CNA CULTURAL NORTE AMERICANO S/A</t>
        </is>
      </c>
    </row>
    <row r="3419">
      <c r="B3419" t="inlineStr">
        <is>
          <t>58.062.779/0001-50</t>
        </is>
      </c>
      <c r="C3419" t="inlineStr">
        <is>
          <t>EDITORA CNA CULTURAL NORTE AMERICANO S/A</t>
        </is>
      </c>
    </row>
    <row r="3420">
      <c r="B3420" t="inlineStr">
        <is>
          <t>58.062.779/0001-50</t>
        </is>
      </c>
      <c r="C3420" t="inlineStr">
        <is>
          <t>EDITORA CNA CULTURAL NORTE AMERICANO S/A</t>
        </is>
      </c>
    </row>
    <row r="3421">
      <c r="B3421" t="inlineStr">
        <is>
          <t>58.160.789/0001-28</t>
        </is>
      </c>
      <c r="C3421" t="inlineStr">
        <is>
          <t>BANCO SAFRA S A</t>
        </is>
      </c>
    </row>
    <row r="3422">
      <c r="B3422" t="inlineStr">
        <is>
          <t>58.160.789/0001-28</t>
        </is>
      </c>
      <c r="C3422" t="inlineStr">
        <is>
          <t>BANCO SAFRA S A</t>
        </is>
      </c>
    </row>
    <row r="3423">
      <c r="B3423" t="inlineStr">
        <is>
          <t>58.160.789/0001-28</t>
        </is>
      </c>
      <c r="C3423" t="inlineStr">
        <is>
          <t>BANCO SAFRA S A</t>
        </is>
      </c>
    </row>
    <row r="3424">
      <c r="B3424" t="inlineStr">
        <is>
          <t>58.160.789/0001-28</t>
        </is>
      </c>
      <c r="C3424" t="inlineStr">
        <is>
          <t>BANCO SAFRA S A</t>
        </is>
      </c>
    </row>
    <row r="3425">
      <c r="B3425" t="inlineStr">
        <is>
          <t>58.183.401/0001-04</t>
        </is>
      </c>
      <c r="C3425" t="inlineStr">
        <is>
          <t>A TRIBUNA DE SANTOS JORNAL E EDITORA LIMITADA</t>
        </is>
      </c>
    </row>
    <row r="3426">
      <c r="B3426" t="inlineStr">
        <is>
          <t>58.183.401/0001-04</t>
        </is>
      </c>
      <c r="C3426" t="inlineStr">
        <is>
          <t>A TRIBUNA DE SANTOS JORNAL E EDITORA LIMITADA</t>
        </is>
      </c>
    </row>
    <row r="3427">
      <c r="B3427" t="inlineStr">
        <is>
          <t>58.277.872/0002-62</t>
        </is>
      </c>
      <c r="C3427" t="inlineStr">
        <is>
          <t>ON THE TABLE CONFECCOES LTDA</t>
        </is>
      </c>
    </row>
    <row r="3428">
      <c r="B3428" t="inlineStr">
        <is>
          <t>58.277.872/0002-62</t>
        </is>
      </c>
      <c r="C3428" t="inlineStr">
        <is>
          <t>ON THE TABLE CONFECCOES LTDA</t>
        </is>
      </c>
    </row>
    <row r="3429">
      <c r="B3429" t="inlineStr">
        <is>
          <t>58.277.872/0002-62</t>
        </is>
      </c>
      <c r="C3429" t="inlineStr">
        <is>
          <t>ON THE TABLE CONFECCOES LTDA</t>
        </is>
      </c>
    </row>
    <row r="3430">
      <c r="B3430" t="inlineStr">
        <is>
          <t>58.473.398/0001-63</t>
        </is>
      </c>
      <c r="C3430" t="inlineStr">
        <is>
          <t>AMWAY DO BRASIL LIMITADA</t>
        </is>
      </c>
    </row>
    <row r="3431">
      <c r="B3431" t="inlineStr">
        <is>
          <t>58.473.398/0001-63</t>
        </is>
      </c>
      <c r="C3431" t="inlineStr">
        <is>
          <t>AMWAY DO BRASIL LIMITADA</t>
        </is>
      </c>
    </row>
    <row r="3432">
      <c r="B3432" t="inlineStr">
        <is>
          <t>58.473.398/0001-63</t>
        </is>
      </c>
      <c r="C3432" t="inlineStr">
        <is>
          <t>AMWAY DO BRASIL LIMITADA</t>
        </is>
      </c>
    </row>
    <row r="3433">
      <c r="B3433" t="inlineStr">
        <is>
          <t>58.473.398/0001-63</t>
        </is>
      </c>
      <c r="C3433" t="inlineStr">
        <is>
          <t>AMWAY DO BRASIL LIMITADA</t>
        </is>
      </c>
    </row>
    <row r="3434">
      <c r="B3434" t="inlineStr">
        <is>
          <t>58.473.398/0001-63</t>
        </is>
      </c>
      <c r="C3434" t="inlineStr">
        <is>
          <t>AMWAY DO BRASIL LIMITADA</t>
        </is>
      </c>
    </row>
    <row r="3435">
      <c r="B3435" t="inlineStr">
        <is>
          <t>58.473.398/0001-63</t>
        </is>
      </c>
      <c r="C3435" t="inlineStr">
        <is>
          <t>AMWAY DO BRASIL LIMITADA</t>
        </is>
      </c>
    </row>
    <row r="3436">
      <c r="B3436" t="inlineStr">
        <is>
          <t>58.473.398/0001-63</t>
        </is>
      </c>
      <c r="C3436" t="inlineStr">
        <is>
          <t>AMWAY DO BRASIL LIMITADA</t>
        </is>
      </c>
    </row>
    <row r="3437">
      <c r="B3437" t="inlineStr">
        <is>
          <t>58.473.398/0001-63</t>
        </is>
      </c>
      <c r="C3437" t="inlineStr">
        <is>
          <t>AMWAY DO BRASIL LIMITADA</t>
        </is>
      </c>
    </row>
    <row r="3438">
      <c r="B3438" t="inlineStr">
        <is>
          <t>58.573.486/0001-37</t>
        </is>
      </c>
      <c r="C3438" t="inlineStr">
        <is>
          <t>TRADE TOURS VIAGENS LTDA</t>
        </is>
      </c>
    </row>
    <row r="3439">
      <c r="B3439" t="inlineStr">
        <is>
          <t>58.573.486/0001-37</t>
        </is>
      </c>
      <c r="C3439" t="inlineStr">
        <is>
          <t>TRADE TOURS VIAGENS LTDA</t>
        </is>
      </c>
    </row>
    <row r="3440">
      <c r="B3440" t="inlineStr">
        <is>
          <t>59.377.788/0001-00</t>
        </is>
      </c>
      <c r="C3440" t="inlineStr">
        <is>
          <t>JJMN CONFECCOES LTDA</t>
        </is>
      </c>
    </row>
    <row r="3441">
      <c r="B3441" t="inlineStr">
        <is>
          <t>59.662.817/0001-78</t>
        </is>
      </c>
      <c r="C3441" t="inlineStr">
        <is>
          <t>MARCIA CRISTINA LOPES LEVORATO &amp; CIA LTDA</t>
        </is>
      </c>
    </row>
    <row r="3442">
      <c r="B3442" t="inlineStr">
        <is>
          <t>59.662.817/0001-78</t>
        </is>
      </c>
      <c r="C3442" t="inlineStr">
        <is>
          <t>MARCIA CRISTINA LOPES LEVORATO &amp; CIA LTDA</t>
        </is>
      </c>
    </row>
    <row r="3443">
      <c r="B3443" t="inlineStr">
        <is>
          <t>59.662.817/0001-78</t>
        </is>
      </c>
      <c r="C3443" t="inlineStr">
        <is>
          <t>MARCIA CRISTINA LOPES LEVORATO &amp; CIA LTDA</t>
        </is>
      </c>
    </row>
    <row r="3444">
      <c r="B3444" t="inlineStr">
        <is>
          <t>60.114.865/0001-00</t>
        </is>
      </c>
      <c r="C3444" t="inlineStr">
        <is>
          <t>AFINZ INSTITUICAO DE PAGAMENTO S.A.</t>
        </is>
      </c>
    </row>
    <row r="3445">
      <c r="B3445" t="inlineStr">
        <is>
          <t>60.114.865/0001-00</t>
        </is>
      </c>
      <c r="C3445" t="inlineStr">
        <is>
          <t>AFINZ INSTITUICAO DE PAGAMENTO S.A.</t>
        </is>
      </c>
    </row>
    <row r="3446">
      <c r="B3446" t="inlineStr">
        <is>
          <t>60.114.865/0001-00</t>
        </is>
      </c>
      <c r="C3446" t="inlineStr">
        <is>
          <t>AFINZ INSTITUICAO DE PAGAMENTO S.A.</t>
        </is>
      </c>
    </row>
    <row r="3447">
      <c r="B3447" t="inlineStr">
        <is>
          <t>60.494.416/0033-12</t>
        </is>
      </c>
      <c r="C3447" t="inlineStr">
        <is>
          <t>PAGUE MENOS COMERCIO DE PRODUTOS ALIMENTICIOS LTDA</t>
        </is>
      </c>
    </row>
    <row r="3448">
      <c r="B3448" t="inlineStr">
        <is>
          <t>60.494.416/0033-12</t>
        </is>
      </c>
      <c r="C3448" t="inlineStr">
        <is>
          <t>PAGUE MENOS COMERCIO DE PRODUTOS ALIMENTICIOS LTDA</t>
        </is>
      </c>
    </row>
    <row r="3449">
      <c r="B3449" t="inlineStr">
        <is>
          <t>60.517.984/0001-04</t>
        </is>
      </c>
      <c r="C3449" t="inlineStr">
        <is>
          <t>SAO PAULO FUTEBOL CLUBE</t>
        </is>
      </c>
    </row>
    <row r="3450">
      <c r="B3450" t="inlineStr">
        <is>
          <t>60.517.984/0001-04</t>
        </is>
      </c>
      <c r="C3450" t="inlineStr">
        <is>
          <t>SAO PAULO FUTEBOL CLUBE</t>
        </is>
      </c>
    </row>
    <row r="3451">
      <c r="B3451" t="inlineStr">
        <is>
          <t>60.517.984/0001-04</t>
        </is>
      </c>
      <c r="C3451" t="inlineStr">
        <is>
          <t>SAO PAULO FUTEBOL CLUBE</t>
        </is>
      </c>
    </row>
    <row r="3452">
      <c r="B3452" t="inlineStr">
        <is>
          <t>60.517.984/0001-04</t>
        </is>
      </c>
      <c r="C3452" t="inlineStr">
        <is>
          <t>SAO PAULO FUTEBOL CLUBE</t>
        </is>
      </c>
    </row>
    <row r="3453">
      <c r="B3453" t="inlineStr">
        <is>
          <t>60.621.596/0001-79</t>
        </is>
      </c>
      <c r="C3453" t="inlineStr">
        <is>
          <t>AGAXTUR AGENCIA DE VIAGENS E TURISMO S.A</t>
        </is>
      </c>
    </row>
    <row r="3454">
      <c r="B3454" t="inlineStr">
        <is>
          <t>60.621.596/0001-79</t>
        </is>
      </c>
      <c r="C3454" t="inlineStr">
        <is>
          <t>AGAXTUR AGENCIA DE VIAGENS E TURISMO S.A</t>
        </is>
      </c>
    </row>
    <row r="3455">
      <c r="B3455" t="inlineStr">
        <is>
          <t>60.621.596/0001-79</t>
        </is>
      </c>
      <c r="C3455" t="inlineStr">
        <is>
          <t>AGAXTUR AGENCIA DE VIAGENS E TURISMO S.A</t>
        </is>
      </c>
    </row>
    <row r="3456">
      <c r="B3456" t="inlineStr">
        <is>
          <t>60.746.948/0001-12</t>
        </is>
      </c>
      <c r="C3456" t="inlineStr">
        <is>
          <t>BANCO BRADESCO S.A.</t>
        </is>
      </c>
    </row>
    <row r="3457">
      <c r="B3457" t="inlineStr">
        <is>
          <t>60.746.948/0001-12</t>
        </is>
      </c>
      <c r="C3457" t="inlineStr">
        <is>
          <t>BANCO BRADESCO S.A.</t>
        </is>
      </c>
    </row>
    <row r="3458">
      <c r="B3458" t="inlineStr">
        <is>
          <t>60.746.948/0001-12</t>
        </is>
      </c>
      <c r="C3458" t="inlineStr">
        <is>
          <t>BANCO BRADESCO S.A.</t>
        </is>
      </c>
    </row>
    <row r="3459">
      <c r="B3459" t="inlineStr">
        <is>
          <t>60.746.948/0001-12</t>
        </is>
      </c>
      <c r="C3459" t="inlineStr">
        <is>
          <t>BANCO BRADESCO S.A.</t>
        </is>
      </c>
    </row>
    <row r="3460">
      <c r="B3460" t="inlineStr">
        <is>
          <t>60.746.948/0001-12</t>
        </is>
      </c>
      <c r="C3460" t="inlineStr">
        <is>
          <t>BANCO BRADESCO S.A.</t>
        </is>
      </c>
    </row>
    <row r="3461">
      <c r="B3461" t="inlineStr">
        <is>
          <t>60.860.238/0001-19</t>
        </is>
      </c>
      <c r="C3461" t="inlineStr">
        <is>
          <t>MAGIA 360 ECOMMERCE LTDA</t>
        </is>
      </c>
    </row>
    <row r="3462">
      <c r="B3462" t="inlineStr">
        <is>
          <t>60.860.238/0001-19</t>
        </is>
      </c>
      <c r="C3462" t="inlineStr">
        <is>
          <t>MAGIA 360 ECOMMERCE LTDA</t>
        </is>
      </c>
    </row>
    <row r="3463">
      <c r="B3463" t="inlineStr">
        <is>
          <t>60.860.238/0001-19</t>
        </is>
      </c>
      <c r="C3463" t="inlineStr">
        <is>
          <t>MAGIA 360 ECOMMERCE LTDA</t>
        </is>
      </c>
    </row>
    <row r="3464">
      <c r="B3464" t="inlineStr">
        <is>
          <t>60.920.345/0001-95</t>
        </is>
      </c>
      <c r="C3464" t="inlineStr">
        <is>
          <t>JOCKEY CLUB DE SAO PAULO</t>
        </is>
      </c>
    </row>
    <row r="3465">
      <c r="B3465" t="inlineStr">
        <is>
          <t>60.920.345/0001-95</t>
        </is>
      </c>
      <c r="C3465" t="inlineStr">
        <is>
          <t>JOCKEY CLUB DE SAO PAULO</t>
        </is>
      </c>
    </row>
    <row r="3466">
      <c r="B3466" t="inlineStr">
        <is>
          <t>60.922.598/0001-06</t>
        </is>
      </c>
      <c r="C3466" t="inlineStr">
        <is>
          <t>MARINGA PASSAGENS E TURISMO LTDA</t>
        </is>
      </c>
    </row>
    <row r="3467">
      <c r="B3467" t="inlineStr">
        <is>
          <t>60.922.598/0001-06</t>
        </is>
      </c>
      <c r="C3467" t="inlineStr">
        <is>
          <t>MARINGA PASSAGENS E TURISMO LTDA</t>
        </is>
      </c>
    </row>
    <row r="3468">
      <c r="B3468" t="inlineStr">
        <is>
          <t>60.922.598/0001-06</t>
        </is>
      </c>
      <c r="C3468" t="inlineStr">
        <is>
          <t>MARINGA PASSAGENS E TURISMO LTDA</t>
        </is>
      </c>
    </row>
    <row r="3469">
      <c r="B3469" t="inlineStr">
        <is>
          <t>60.922.598/0001-06</t>
        </is>
      </c>
      <c r="C3469" t="inlineStr">
        <is>
          <t>MARINGA PASSAGENS E TURISMO LTDA</t>
        </is>
      </c>
    </row>
    <row r="3470">
      <c r="B3470" t="inlineStr">
        <is>
          <t>61.110.870/0001-08</t>
        </is>
      </c>
      <c r="C3470" t="inlineStr">
        <is>
          <t>INDUSTRIA E COMERCIO DE CALCADOS FASCAR LTDA</t>
        </is>
      </c>
    </row>
    <row r="3471">
      <c r="B3471" t="inlineStr">
        <is>
          <t>61.110.870/0001-08</t>
        </is>
      </c>
      <c r="C3471" t="inlineStr">
        <is>
          <t>INDUSTRIA E COMERCIO DE CALCADOS FASCAR LTDA</t>
        </is>
      </c>
    </row>
    <row r="3472">
      <c r="B3472" t="inlineStr">
        <is>
          <t>61.110.870/0001-08</t>
        </is>
      </c>
      <c r="C3472" t="inlineStr">
        <is>
          <t>INDUSTRIA E COMERCIO DE CALCADOS FASCAR LTDA</t>
        </is>
      </c>
    </row>
    <row r="3473">
      <c r="B3473" t="inlineStr">
        <is>
          <t>61.110.870/0001-08</t>
        </is>
      </c>
      <c r="C3473" t="inlineStr">
        <is>
          <t>INDUSTRIA E COMERCIO DE CALCADOS FASCAR LTDA</t>
        </is>
      </c>
    </row>
    <row r="3474">
      <c r="B3474" t="inlineStr">
        <is>
          <t>61.186.490/0001-57</t>
        </is>
      </c>
      <c r="C3474" t="inlineStr">
        <is>
          <t>EDITORA FTD S A</t>
        </is>
      </c>
    </row>
    <row r="3475">
      <c r="B3475" t="inlineStr">
        <is>
          <t>61.186.490/0001-57</t>
        </is>
      </c>
      <c r="C3475" t="inlineStr">
        <is>
          <t>EDITORA FTD S A</t>
        </is>
      </c>
    </row>
    <row r="3476">
      <c r="B3476" t="inlineStr">
        <is>
          <t>61.186.490/0001-57</t>
        </is>
      </c>
      <c r="C3476" t="inlineStr">
        <is>
          <t>EDITORA FTD S A</t>
        </is>
      </c>
    </row>
    <row r="3477">
      <c r="B3477" t="inlineStr">
        <is>
          <t>61.186.490/0001-57</t>
        </is>
      </c>
      <c r="C3477" t="inlineStr">
        <is>
          <t>EDITORA FTD S A</t>
        </is>
      </c>
    </row>
    <row r="3478">
      <c r="B3478" t="inlineStr">
        <is>
          <t>61.186.490/0001-57</t>
        </is>
      </c>
      <c r="C3478" t="inlineStr">
        <is>
          <t>EDITORA FTD S A</t>
        </is>
      </c>
    </row>
    <row r="3479">
      <c r="B3479" t="inlineStr">
        <is>
          <t>61.186.490/0001-57</t>
        </is>
      </c>
      <c r="C3479" t="inlineStr">
        <is>
          <t>EDITORA FTD S A</t>
        </is>
      </c>
    </row>
    <row r="3480">
      <c r="B3480" t="inlineStr">
        <is>
          <t>61.186.490/0001-57</t>
        </is>
      </c>
      <c r="C3480" t="inlineStr">
        <is>
          <t>EDITORA FTD S A</t>
        </is>
      </c>
    </row>
    <row r="3481">
      <c r="B3481" t="inlineStr">
        <is>
          <t>61.186.490/0001-57</t>
        </is>
      </c>
      <c r="C3481" t="inlineStr">
        <is>
          <t>EDITORA FTD S A</t>
        </is>
      </c>
    </row>
    <row r="3482">
      <c r="B3482" t="inlineStr">
        <is>
          <t>61.186.490/0001-57</t>
        </is>
      </c>
      <c r="C3482" t="inlineStr">
        <is>
          <t>EDITORA FTD S A</t>
        </is>
      </c>
    </row>
    <row r="3483">
      <c r="B3483" t="inlineStr">
        <is>
          <t>61.189.288/0214-29</t>
        </is>
      </c>
      <c r="C3483" t="inlineStr">
        <is>
          <t>MARISA LOJAS S.A.</t>
        </is>
      </c>
    </row>
    <row r="3484">
      <c r="B3484" t="inlineStr">
        <is>
          <t>61.189.288/0214-29</t>
        </is>
      </c>
      <c r="C3484" t="inlineStr">
        <is>
          <t>MARISA LOJAS S.A.</t>
        </is>
      </c>
    </row>
    <row r="3485">
      <c r="B3485" t="inlineStr">
        <is>
          <t>61.189.288/0214-29</t>
        </is>
      </c>
      <c r="C3485" t="inlineStr">
        <is>
          <t>MARISA LOJAS S.A.</t>
        </is>
      </c>
    </row>
    <row r="3486">
      <c r="B3486" t="inlineStr">
        <is>
          <t>61.189.288/0214-29</t>
        </is>
      </c>
      <c r="C3486" t="inlineStr">
        <is>
          <t>MARISA LOJAS S.A.</t>
        </is>
      </c>
    </row>
    <row r="3487">
      <c r="B3487" t="inlineStr">
        <is>
          <t>61.234.985/0001-04</t>
        </is>
      </c>
      <c r="C3487" t="inlineStr">
        <is>
          <t>COMERCIAL E IMPORTADORA DE PNEUS LTDA</t>
        </is>
      </c>
    </row>
    <row r="3488">
      <c r="B3488" t="inlineStr">
        <is>
          <t>61.287.546/0001-60</t>
        </is>
      </c>
      <c r="C3488" t="inlineStr">
        <is>
          <t>PIA SOCIEDADE DE SAO PAULO</t>
        </is>
      </c>
    </row>
    <row r="3489">
      <c r="B3489" t="inlineStr">
        <is>
          <t>61.287.546/0001-60</t>
        </is>
      </c>
      <c r="C3489" t="inlineStr">
        <is>
          <t>PIA SOCIEDADE DE SAO PAULO</t>
        </is>
      </c>
    </row>
    <row r="3490">
      <c r="B3490" t="inlineStr">
        <is>
          <t>61.502.324/0001-12</t>
        </is>
      </c>
      <c r="C3490" t="inlineStr">
        <is>
          <t>REFRIGELO CLIMATIZACAO DE AMBIENTES S.A.</t>
        </is>
      </c>
    </row>
    <row r="3491">
      <c r="B3491" t="inlineStr">
        <is>
          <t>61.502.324/0001-12</t>
        </is>
      </c>
      <c r="C3491" t="inlineStr">
        <is>
          <t>REFRIGELO CLIMATIZACAO DE AMBIENTES S.A.</t>
        </is>
      </c>
    </row>
    <row r="3492">
      <c r="B3492" t="inlineStr">
        <is>
          <t>61.550.828/0001-08</t>
        </is>
      </c>
      <c r="C3492" t="inlineStr">
        <is>
          <t>GIGLIO &amp; BONFANTE LTDA</t>
        </is>
      </c>
    </row>
    <row r="3493">
      <c r="B3493" t="inlineStr">
        <is>
          <t>61.550.828/0001-08</t>
        </is>
      </c>
      <c r="C3493" t="inlineStr">
        <is>
          <t>GIGLIO &amp; BONFANTE LTDA</t>
        </is>
      </c>
    </row>
    <row r="3494">
      <c r="B3494" t="inlineStr">
        <is>
          <t>61.550.828/0001-08</t>
        </is>
      </c>
      <c r="C3494" t="inlineStr">
        <is>
          <t>GIGLIO &amp; BONFANTE LTDA</t>
        </is>
      </c>
    </row>
    <row r="3495">
      <c r="B3495" t="inlineStr">
        <is>
          <t>61.550.828/0001-08</t>
        </is>
      </c>
      <c r="C3495" t="inlineStr">
        <is>
          <t>GIGLIO &amp; BONFANTE LTDA</t>
        </is>
      </c>
    </row>
    <row r="3496">
      <c r="B3496" t="inlineStr">
        <is>
          <t>61.740.510/0001-90</t>
        </is>
      </c>
      <c r="C3496" t="inlineStr">
        <is>
          <t>ESPLANE ESPACOS PLANEJADOS LIMITADA</t>
        </is>
      </c>
    </row>
    <row r="3497">
      <c r="B3497" t="inlineStr">
        <is>
          <t>61.825.675/0001-64</t>
        </is>
      </c>
      <c r="C3497" t="inlineStr">
        <is>
          <t>ASSOCIACAO ESCOLA SUPERIOR DE PROPAGANDA E MARKETING</t>
        </is>
      </c>
    </row>
    <row r="3498">
      <c r="B3498" t="inlineStr">
        <is>
          <t>62.173.620/0133-20</t>
        </is>
      </c>
      <c r="C3498" t="inlineStr">
        <is>
          <t>SERASA S.A.</t>
        </is>
      </c>
    </row>
    <row r="3499">
      <c r="B3499" t="inlineStr">
        <is>
          <t>62.173.620/0133-20</t>
        </is>
      </c>
      <c r="C3499" t="inlineStr">
        <is>
          <t>SERASA S.A.</t>
        </is>
      </c>
    </row>
    <row r="3500">
      <c r="B3500" t="inlineStr">
        <is>
          <t>62.173.620/0133-20</t>
        </is>
      </c>
      <c r="C3500" t="inlineStr">
        <is>
          <t>SERASA S.A.</t>
        </is>
      </c>
    </row>
    <row r="3501">
      <c r="B3501" t="inlineStr">
        <is>
          <t>62.277.041/0001-87</t>
        </is>
      </c>
      <c r="C3501" t="inlineStr">
        <is>
          <t>DISAL - DISTRIBUIDORES ASSOCIADOS DE LIVROS S.A.</t>
        </is>
      </c>
    </row>
    <row r="3502">
      <c r="B3502" t="inlineStr">
        <is>
          <t>62.277.041/0001-87</t>
        </is>
      </c>
      <c r="C3502" t="inlineStr">
        <is>
          <t>DISAL - DISTRIBUIDORES ASSOCIADOS DE LIVROS S.A.</t>
        </is>
      </c>
    </row>
    <row r="3503">
      <c r="B3503" t="inlineStr">
        <is>
          <t>62.277.041/0001-87</t>
        </is>
      </c>
      <c r="C3503" t="inlineStr">
        <is>
          <t>DISAL - DISTRIBUIDORES ASSOCIADOS DE LIVROS S.A.</t>
        </is>
      </c>
    </row>
    <row r="3504">
      <c r="B3504" t="inlineStr">
        <is>
          <t>62.336.322/0001-63</t>
        </is>
      </c>
      <c r="C3504" t="inlineStr">
        <is>
          <t>HNT COMERCIO DE HORTIFRUTIGRANJEIROS SA</t>
        </is>
      </c>
    </row>
    <row r="3505">
      <c r="B3505" t="inlineStr">
        <is>
          <t>62.336.322/0001-63</t>
        </is>
      </c>
      <c r="C3505" t="inlineStr">
        <is>
          <t>HNT COMERCIO DE HORTIFRUTIGRANJEIROS SA</t>
        </is>
      </c>
    </row>
    <row r="3506">
      <c r="B3506" t="inlineStr">
        <is>
          <t>62.336.322/0001-63</t>
        </is>
      </c>
      <c r="C3506" t="inlineStr">
        <is>
          <t>HNT COMERCIO DE HORTIFRUTIGRANJEIROS SA</t>
        </is>
      </c>
    </row>
    <row r="3507">
      <c r="B3507" t="inlineStr">
        <is>
          <t>63.063.689/0001-13</t>
        </is>
      </c>
      <c r="C3507" t="inlineStr">
        <is>
          <t>FACULDADES METROPOLITANAS UNIDAS EDUCACIONAIS LTDA - EM RECUPERACAO JUDICIAL</t>
        </is>
      </c>
    </row>
    <row r="3508">
      <c r="B3508" t="inlineStr">
        <is>
          <t>63.063.689/0001-13</t>
        </is>
      </c>
      <c r="C3508" t="inlineStr">
        <is>
          <t>FACULDADES METROPOLITANAS UNIDAS EDUCACIONAIS LTDA - EM RECUPERACAO JUDICIAL</t>
        </is>
      </c>
    </row>
    <row r="3509">
      <c r="B3509" t="inlineStr">
        <is>
          <t>63.063.689/0001-13</t>
        </is>
      </c>
      <c r="C3509" t="inlineStr">
        <is>
          <t>FACULDADES METROPOLITANAS UNIDAS EDUCACIONAIS LTDA - EM RECUPERACAO JUDICIAL</t>
        </is>
      </c>
    </row>
    <row r="3510">
      <c r="B3510" t="inlineStr">
        <is>
          <t>63.554.067/0001-98</t>
        </is>
      </c>
      <c r="C3510" t="inlineStr">
        <is>
          <t>HAPVIDA ASSISTENCIA MEDICA S.A.</t>
        </is>
      </c>
    </row>
    <row r="3511">
      <c r="B3511" t="inlineStr">
        <is>
          <t>63.554.067/0001-98</t>
        </is>
      </c>
      <c r="C3511" t="inlineStr">
        <is>
          <t>HAPVIDA ASSISTENCIA MEDICA S.A.</t>
        </is>
      </c>
    </row>
    <row r="3512">
      <c r="B3512" t="inlineStr">
        <is>
          <t>63.554.067/0001-98</t>
        </is>
      </c>
      <c r="C3512" t="inlineStr">
        <is>
          <t>HAPVIDA ASSISTENCIA MEDICA S.A.</t>
        </is>
      </c>
    </row>
    <row r="3513">
      <c r="B3513" t="inlineStr">
        <is>
          <t>65.944.134/0001-06</t>
        </is>
      </c>
      <c r="C3513" t="inlineStr">
        <is>
          <t>A FIRMA INDUSTRIA E COMERCIO DE ROUPAS LTDA</t>
        </is>
      </c>
    </row>
    <row r="3514">
      <c r="B3514" t="inlineStr">
        <is>
          <t>65.944.134/0001-06</t>
        </is>
      </c>
      <c r="C3514" t="inlineStr">
        <is>
          <t>A FIRMA INDUSTRIA E COMERCIO DE ROUPAS LTDA</t>
        </is>
      </c>
    </row>
    <row r="3515">
      <c r="B3515" t="inlineStr">
        <is>
          <t>65.944.134/0001-06</t>
        </is>
      </c>
      <c r="C3515" t="inlineStr">
        <is>
          <t>A FIRMA INDUSTRIA E COMERCIO DE ROUPAS LTDA</t>
        </is>
      </c>
    </row>
    <row r="3516">
      <c r="B3516" t="inlineStr">
        <is>
          <t>66.602.988/0001-77</t>
        </is>
      </c>
      <c r="C3516" t="inlineStr">
        <is>
          <t>PHARMACIA ESSENCIAL LTDA.</t>
        </is>
      </c>
    </row>
    <row r="3517">
      <c r="B3517" t="inlineStr">
        <is>
          <t>66.602.988/0001-77</t>
        </is>
      </c>
      <c r="C3517" t="inlineStr">
        <is>
          <t>PHARMACIA ESSENCIAL LTDA.</t>
        </is>
      </c>
    </row>
    <row r="3518">
      <c r="B3518" t="inlineStr">
        <is>
          <t>66.602.988/0001-77</t>
        </is>
      </c>
      <c r="C3518" t="inlineStr">
        <is>
          <t>PHARMACIA ESSENCIAL LTDA.</t>
        </is>
      </c>
    </row>
    <row r="3519">
      <c r="B3519" t="inlineStr">
        <is>
          <t>67.389.718/0001-92</t>
        </is>
      </c>
      <c r="C3519" t="inlineStr">
        <is>
          <t>GIULIANA COMERCIO DE FLORES E ARRANJOS LTDA</t>
        </is>
      </c>
    </row>
    <row r="3520">
      <c r="B3520" t="inlineStr">
        <is>
          <t>67.389.718/0001-92</t>
        </is>
      </c>
      <c r="C3520" t="inlineStr">
        <is>
          <t>GIULIANA COMERCIO DE FLORES E ARRANJOS LTDA</t>
        </is>
      </c>
    </row>
    <row r="3521">
      <c r="B3521" t="inlineStr">
        <is>
          <t>67.389.718/0001-92</t>
        </is>
      </c>
      <c r="C3521" t="inlineStr">
        <is>
          <t>GIULIANA COMERCIO DE FLORES E ARRANJOS LTDA</t>
        </is>
      </c>
    </row>
    <row r="3522">
      <c r="B3522" t="inlineStr">
        <is>
          <t>67.389.718/0001-92</t>
        </is>
      </c>
      <c r="C3522" t="inlineStr">
        <is>
          <t>GIULIANA COMERCIO DE FLORES E ARRANJOS LTDA</t>
        </is>
      </c>
    </row>
    <row r="3523">
      <c r="B3523" t="inlineStr">
        <is>
          <t>68.765.825/0008-07</t>
        </is>
      </c>
      <c r="C3523" t="inlineStr">
        <is>
          <t>PITUCHINHUS INDUSTRIA E COMERCIO DE CONFECCOES LTDA</t>
        </is>
      </c>
    </row>
    <row r="3524">
      <c r="B3524" t="inlineStr">
        <is>
          <t>68.765.825/0008-07</t>
        </is>
      </c>
      <c r="C3524" t="inlineStr">
        <is>
          <t>PITUCHINHUS INDUSTRIA E COMERCIO DE CONFECCOES LTDA</t>
        </is>
      </c>
    </row>
    <row r="3525">
      <c r="B3525" t="inlineStr">
        <is>
          <t>70.940.994/0001-01</t>
        </is>
      </c>
      <c r="C3525" t="inlineStr">
        <is>
          <t>PANDURATA ALIMENTOS LTDA</t>
        </is>
      </c>
    </row>
    <row r="3526">
      <c r="B3526" t="inlineStr">
        <is>
          <t>70.940.994/0001-01</t>
        </is>
      </c>
      <c r="C3526" t="inlineStr">
        <is>
          <t>PANDURATA ALIMENTOS LTDA</t>
        </is>
      </c>
    </row>
    <row r="3527">
      <c r="B3527" t="inlineStr">
        <is>
          <t>70.940.994/0001-01</t>
        </is>
      </c>
      <c r="C3527" t="inlineStr">
        <is>
          <t>PANDURATA ALIMENTOS LTDA</t>
        </is>
      </c>
    </row>
    <row r="3528">
      <c r="B3528" t="inlineStr">
        <is>
          <t>72.381.189/0001-10</t>
        </is>
      </c>
      <c r="C3528" t="inlineStr">
        <is>
          <t>DELL COMPUTADORES DO BRASIL LTDA</t>
        </is>
      </c>
    </row>
    <row r="3529">
      <c r="B3529" t="inlineStr">
        <is>
          <t>72.381.189/0001-10</t>
        </is>
      </c>
      <c r="C3529" t="inlineStr">
        <is>
          <t>DELL COMPUTADORES DO BRASIL LTDA</t>
        </is>
      </c>
    </row>
    <row r="3530">
      <c r="B3530" t="inlineStr">
        <is>
          <t>72.381.189/0001-10</t>
        </is>
      </c>
      <c r="C3530" t="inlineStr">
        <is>
          <t>DELL COMPUTADORES DO BRASIL LTDA</t>
        </is>
      </c>
    </row>
    <row r="3531">
      <c r="B3531" t="inlineStr">
        <is>
          <t>72.744.196/0001-30</t>
        </is>
      </c>
      <c r="C3531" t="inlineStr">
        <is>
          <t>RCA OPERADORA TURISTICA LTDA</t>
        </is>
      </c>
    </row>
    <row r="3532">
      <c r="B3532" t="inlineStr">
        <is>
          <t>72.744.196/0001-30</t>
        </is>
      </c>
      <c r="C3532" t="inlineStr">
        <is>
          <t>RCA OPERADORA TURISTICA LTDA</t>
        </is>
      </c>
    </row>
    <row r="3533">
      <c r="B3533" t="inlineStr">
        <is>
          <t>72.744.196/0001-30</t>
        </is>
      </c>
      <c r="C3533" t="inlineStr">
        <is>
          <t>RCA OPERADORA TURISTICA LTDA</t>
        </is>
      </c>
    </row>
    <row r="3534">
      <c r="B3534" t="inlineStr">
        <is>
          <t>72.744.196/0001-30</t>
        </is>
      </c>
      <c r="C3534" t="inlineStr">
        <is>
          <t>RCA OPERADORA TURISTICA LTDA</t>
        </is>
      </c>
    </row>
    <row r="3535">
      <c r="B3535" t="inlineStr">
        <is>
          <t>72.948.359/0001-04</t>
        </is>
      </c>
      <c r="C3535" t="inlineStr">
        <is>
          <t>G J COMERCIO E IMPORTACAO DE TECIDOS LTDA</t>
        </is>
      </c>
    </row>
    <row r="3536">
      <c r="B3536" t="inlineStr">
        <is>
          <t>72.948.359/0001-04</t>
        </is>
      </c>
      <c r="C3536" t="inlineStr">
        <is>
          <t>G J COMERCIO E IMPORTACAO DE TECIDOS LTDA</t>
        </is>
      </c>
    </row>
    <row r="3537">
      <c r="B3537" t="inlineStr">
        <is>
          <t>73.431.686/0010-30</t>
        </is>
      </c>
      <c r="C3537" t="inlineStr">
        <is>
          <t>KONTIK FRANSTUR VIAGENS E TURISMO LTDA</t>
        </is>
      </c>
    </row>
    <row r="3538">
      <c r="B3538" t="inlineStr">
        <is>
          <t>73.431.686/0010-30</t>
        </is>
      </c>
      <c r="C3538" t="inlineStr">
        <is>
          <t>KONTIK FRANSTUR VIAGENS E TURISMO LTDA</t>
        </is>
      </c>
    </row>
    <row r="3539">
      <c r="B3539" t="inlineStr">
        <is>
          <t>73.431.686/0010-30</t>
        </is>
      </c>
      <c r="C3539" t="inlineStr">
        <is>
          <t>KONTIK FRANSTUR VIAGENS E TURISMO LTDA</t>
        </is>
      </c>
    </row>
    <row r="3540">
      <c r="B3540" t="inlineStr">
        <is>
          <t>73.431.686/0010-30</t>
        </is>
      </c>
      <c r="C3540" t="inlineStr">
        <is>
          <t>KONTIK FRANSTUR VIAGENS E TURISMO LTDA</t>
        </is>
      </c>
    </row>
    <row r="3541">
      <c r="B3541" t="inlineStr">
        <is>
          <t>74.155.052/0001-73</t>
        </is>
      </c>
      <c r="C3541" t="inlineStr">
        <is>
          <t>UPS DO BRASIL REMESSAS EXPRESSAS LTDA.</t>
        </is>
      </c>
    </row>
    <row r="3542">
      <c r="B3542" t="inlineStr">
        <is>
          <t>74.155.052/0001-73</t>
        </is>
      </c>
      <c r="C3542" t="inlineStr">
        <is>
          <t>UPS DO BRASIL REMESSAS EXPRESSAS LTDA.</t>
        </is>
      </c>
    </row>
    <row r="3543">
      <c r="B3543" t="inlineStr">
        <is>
          <t>74.155.052/0001-73</t>
        </is>
      </c>
      <c r="C3543" t="inlineStr">
        <is>
          <t>UPS DO BRASIL REMESSAS EXPRESSAS LTDA.</t>
        </is>
      </c>
    </row>
    <row r="3544">
      <c r="B3544" t="inlineStr">
        <is>
          <t>74.261.538/0001-96</t>
        </is>
      </c>
      <c r="C3544" t="inlineStr">
        <is>
          <t>T.T. OPERADORA TURISTICA LTDA</t>
        </is>
      </c>
    </row>
    <row r="3545">
      <c r="B3545" t="inlineStr">
        <is>
          <t>74.261.538/0001-96</t>
        </is>
      </c>
      <c r="C3545" t="inlineStr">
        <is>
          <t>T.T. OPERADORA TURISTICA LTDA</t>
        </is>
      </c>
    </row>
    <row r="3546">
      <c r="B3546" t="inlineStr">
        <is>
          <t>74.261.538/0001-96</t>
        </is>
      </c>
      <c r="C3546" t="inlineStr">
        <is>
          <t>T.T. OPERADORA TURISTICA LTDA</t>
        </is>
      </c>
    </row>
    <row r="3547">
      <c r="B3547" t="inlineStr">
        <is>
          <t>75.047.498/0004-90</t>
        </is>
      </c>
      <c r="C3547" t="inlineStr">
        <is>
          <t>EMPRESA HOTELEIRA MABU LTDA</t>
        </is>
      </c>
    </row>
    <row r="3548">
      <c r="B3548" t="inlineStr">
        <is>
          <t>75.047.498/0004-90</t>
        </is>
      </c>
      <c r="C3548" t="inlineStr">
        <is>
          <t>EMPRESA HOTELEIRA MABU LTDA</t>
        </is>
      </c>
    </row>
    <row r="3549">
      <c r="B3549" t="inlineStr">
        <is>
          <t>75.047.498/0004-90</t>
        </is>
      </c>
      <c r="C3549" t="inlineStr">
        <is>
          <t>EMPRESA HOTELEIRA MABU LTDA</t>
        </is>
      </c>
    </row>
    <row r="3550">
      <c r="B3550" t="inlineStr">
        <is>
          <t>75.552.133/0011-41</t>
        </is>
      </c>
      <c r="C3550" t="inlineStr">
        <is>
          <t>LUNELLI COMERCIO DO VESTUARIO LTDA</t>
        </is>
      </c>
    </row>
    <row r="3551">
      <c r="B3551" t="inlineStr">
        <is>
          <t>76.497.338/0013-04</t>
        </is>
      </c>
      <c r="C3551" t="inlineStr">
        <is>
          <t>ASSOCIACAO FRANCISCANA DE ENSINO SENHOR BOM JESUS</t>
        </is>
      </c>
    </row>
    <row r="3552">
      <c r="B3552" t="inlineStr">
        <is>
          <t>76.497.338/0013-04</t>
        </is>
      </c>
      <c r="C3552" t="inlineStr">
        <is>
          <t>ASSOCIACAO FRANCISCANA DE ENSINO SENHOR BOM JESUS</t>
        </is>
      </c>
    </row>
    <row r="3553">
      <c r="B3553" t="inlineStr">
        <is>
          <t>76.497.338/0013-04</t>
        </is>
      </c>
      <c r="C3553" t="inlineStr">
        <is>
          <t>ASSOCIACAO FRANCISCANA DE ENSINO SENHOR BOM JESUS</t>
        </is>
      </c>
    </row>
    <row r="3554">
      <c r="B3554" t="inlineStr">
        <is>
          <t>76.497.338/0013-04</t>
        </is>
      </c>
      <c r="C3554" t="inlineStr">
        <is>
          <t>ASSOCIACAO FRANCISCANA DE ENSINO SENHOR BOM JESUS</t>
        </is>
      </c>
    </row>
    <row r="3555">
      <c r="B3555" t="inlineStr">
        <is>
          <t>78.116.670/0005-99</t>
        </is>
      </c>
      <c r="C3555" t="inlineStr">
        <is>
          <t>CIA BEAL DE ALIMENTOS</t>
        </is>
      </c>
    </row>
    <row r="3556">
      <c r="B3556" t="inlineStr">
        <is>
          <t>78.116.670/0005-99</t>
        </is>
      </c>
      <c r="C3556" t="inlineStr">
        <is>
          <t>CIA BEAL DE ALIMENTOS</t>
        </is>
      </c>
    </row>
    <row r="3557">
      <c r="B3557" t="inlineStr">
        <is>
          <t>78.116.670/0005-99</t>
        </is>
      </c>
      <c r="C3557" t="inlineStr">
        <is>
          <t>CIA BEAL DE ALIMENTOS</t>
        </is>
      </c>
    </row>
    <row r="3558">
      <c r="B3558" t="inlineStr">
        <is>
          <t>79.430.682/0255-40</t>
        </is>
      </c>
      <c r="C3558" t="inlineStr">
        <is>
          <t>FARMACIA E DROGARIA NISSEI S.A</t>
        </is>
      </c>
    </row>
    <row r="3559">
      <c r="B3559" t="inlineStr">
        <is>
          <t>79.430.682/0255-40</t>
        </is>
      </c>
      <c r="C3559" t="inlineStr">
        <is>
          <t>FARMACIA E DROGARIA NISSEI S.A</t>
        </is>
      </c>
    </row>
    <row r="3560">
      <c r="B3560" t="inlineStr">
        <is>
          <t>79.430.682/0255-40</t>
        </is>
      </c>
      <c r="C3560" t="inlineStr">
        <is>
          <t>FARMACIA E DROGARIA NISSEI S.A</t>
        </is>
      </c>
    </row>
    <row r="3561">
      <c r="B3561" t="inlineStr">
        <is>
          <t>81.101.495/0001-47</t>
        </is>
      </c>
      <c r="C3561" t="inlineStr">
        <is>
          <t>ILHA DO SOL AGENCIA DE VIAGENS LTDA</t>
        </is>
      </c>
    </row>
    <row r="3562">
      <c r="B3562" t="inlineStr">
        <is>
          <t>81.101.495/0001-47</t>
        </is>
      </c>
      <c r="C3562" t="inlineStr">
        <is>
          <t>ILHA DO SOL AGENCIA DE VIAGENS LTDA</t>
        </is>
      </c>
    </row>
    <row r="3563">
      <c r="B3563" t="inlineStr">
        <is>
          <t>81.101.495/0001-47</t>
        </is>
      </c>
      <c r="C3563" t="inlineStr">
        <is>
          <t>ILHA DO SOL AGENCIA DE VIAGENS LTDA</t>
        </is>
      </c>
    </row>
    <row r="3564">
      <c r="B3564" t="inlineStr">
        <is>
          <t>81.101.495/0001-47</t>
        </is>
      </c>
      <c r="C3564" t="inlineStr">
        <is>
          <t>ILHA DO SOL AGENCIA DE VIAGENS LTDA</t>
        </is>
      </c>
    </row>
    <row r="3565">
      <c r="B3565" t="inlineStr">
        <is>
          <t>81.101.495/0001-47</t>
        </is>
      </c>
      <c r="C3565" t="inlineStr">
        <is>
          <t>ILHA DO SOL AGENCIA DE VIAGENS LTDA</t>
        </is>
      </c>
    </row>
    <row r="3566">
      <c r="B3566" t="inlineStr">
        <is>
          <t>81.101.495/0001-47</t>
        </is>
      </c>
      <c r="C3566" t="inlineStr">
        <is>
          <t>ILHA DO SOL AGENCIA DE VIAGENS LTDA</t>
        </is>
      </c>
    </row>
    <row r="3567">
      <c r="B3567" t="inlineStr">
        <is>
          <t>81.101.495/0001-47</t>
        </is>
      </c>
      <c r="C3567" t="inlineStr">
        <is>
          <t>ILHA DO SOL AGENCIA DE VIAGENS LTDA</t>
        </is>
      </c>
    </row>
    <row r="3568">
      <c r="B3568" t="inlineStr">
        <is>
          <t>81.264.715/0006-68</t>
        </is>
      </c>
      <c r="C3568" t="inlineStr">
        <is>
          <t>DERMO ERVAS COMERCIO DE PRODUTOS FARMACEUTICOS LTDA</t>
        </is>
      </c>
    </row>
    <row r="3569">
      <c r="B3569" t="inlineStr">
        <is>
          <t>81.264.715/0006-68</t>
        </is>
      </c>
      <c r="C3569" t="inlineStr">
        <is>
          <t>DERMO ERVAS COMERCIO DE PRODUTOS FARMACEUTICOS LTDA</t>
        </is>
      </c>
    </row>
    <row r="3570">
      <c r="B3570" t="inlineStr">
        <is>
          <t>82.170.291/0001-20</t>
        </is>
      </c>
      <c r="C3570" t="inlineStr">
        <is>
          <t>ORINTER VIAGENS E TURISMO S/A</t>
        </is>
      </c>
    </row>
    <row r="3571">
      <c r="B3571" t="inlineStr">
        <is>
          <t>82.170.291/0001-20</t>
        </is>
      </c>
      <c r="C3571" t="inlineStr">
        <is>
          <t>ORINTER VIAGENS E TURISMO S/A</t>
        </is>
      </c>
    </row>
    <row r="3572">
      <c r="B3572" t="inlineStr">
        <is>
          <t>83.053.140/0001-55</t>
        </is>
      </c>
      <c r="C3572" t="inlineStr">
        <is>
          <t>CASTELMAR EMPREENDIMENTOS HOTELEIROS LTDA</t>
        </is>
      </c>
    </row>
    <row r="3573">
      <c r="B3573" t="inlineStr">
        <is>
          <t>83.053.140/0001-55</t>
        </is>
      </c>
      <c r="C3573" t="inlineStr">
        <is>
          <t>CASTELMAR EMPREENDIMENTOS HOTELEIROS LTDA</t>
        </is>
      </c>
    </row>
    <row r="3574">
      <c r="B3574" t="inlineStr">
        <is>
          <t>83.053.140/0001-55</t>
        </is>
      </c>
      <c r="C3574" t="inlineStr">
        <is>
          <t>CASTELMAR EMPREENDIMENTOS HOTELEIROS LTDA</t>
        </is>
      </c>
    </row>
    <row r="3575">
      <c r="B3575" t="inlineStr">
        <is>
          <t>83.729.004/0001-32</t>
        </is>
      </c>
      <c r="C3575" t="inlineStr">
        <is>
          <t>DAMYLLER COMERCIO DE CONFECCOES LTDA</t>
        </is>
      </c>
    </row>
    <row r="3576">
      <c r="B3576" t="inlineStr">
        <is>
          <t>83.729.004/0001-32</t>
        </is>
      </c>
      <c r="C3576" t="inlineStr">
        <is>
          <t>DAMYLLER COMERCIO DE CONFECCOES LTDA</t>
        </is>
      </c>
    </row>
    <row r="3577">
      <c r="B3577" t="inlineStr">
        <is>
          <t>83.729.004/0156-79</t>
        </is>
      </c>
      <c r="C3577" t="inlineStr">
        <is>
          <t>DAMYLLER COMERCIO DE CONFECCOES LTDA</t>
        </is>
      </c>
    </row>
    <row r="3578">
      <c r="B3578" t="inlineStr">
        <is>
          <t>87.296.026/0001-07</t>
        </is>
      </c>
      <c r="C3578" t="inlineStr">
        <is>
          <t>BENOIT ELETRODOMESTICOS LTDA</t>
        </is>
      </c>
    </row>
    <row r="3579">
      <c r="B3579" t="inlineStr">
        <is>
          <t>87.296.026/0001-07</t>
        </is>
      </c>
      <c r="C3579" t="inlineStr">
        <is>
          <t>BENOIT ELETRODOMESTICOS LTDA</t>
        </is>
      </c>
    </row>
    <row r="3580">
      <c r="B3580" t="inlineStr">
        <is>
          <t>87.296.026/0001-07</t>
        </is>
      </c>
      <c r="C3580" t="inlineStr">
        <is>
          <t>BENOIT ELETRODOMESTICOS LTDA</t>
        </is>
      </c>
    </row>
    <row r="3581">
      <c r="B3581" t="inlineStr">
        <is>
          <t>87.556.650/0015-00</t>
        </is>
      </c>
      <c r="C3581" t="inlineStr">
        <is>
          <t>BERTOLINI S/A</t>
        </is>
      </c>
    </row>
    <row r="3582">
      <c r="B3582" t="inlineStr">
        <is>
          <t>87.556.650/0015-00</t>
        </is>
      </c>
      <c r="C3582" t="inlineStr">
        <is>
          <t>BERTOLINI S/A</t>
        </is>
      </c>
    </row>
    <row r="3583">
      <c r="B3583" t="inlineStr">
        <is>
          <t>88.936.323/0006-47</t>
        </is>
      </c>
      <c r="C3583" t="inlineStr">
        <is>
          <t>COLISEU JOALHERIA E OTICA LTDA</t>
        </is>
      </c>
    </row>
    <row r="3584">
      <c r="B3584" t="inlineStr">
        <is>
          <t>88.936.323/0006-47</t>
        </is>
      </c>
      <c r="C3584" t="inlineStr">
        <is>
          <t>COLISEU JOALHERIA E OTICA LTDA</t>
        </is>
      </c>
    </row>
    <row r="3585">
      <c r="B3585" t="inlineStr">
        <is>
          <t>88.936.323/0006-47</t>
        </is>
      </c>
      <c r="C3585" t="inlineStr">
        <is>
          <t>COLISEU JOALHERIA E OTICA LTDA</t>
        </is>
      </c>
    </row>
    <row r="3586">
      <c r="B3586" t="inlineStr">
        <is>
          <t>88.936.323/0006-47</t>
        </is>
      </c>
      <c r="C3586" t="inlineStr">
        <is>
          <t>COLISEU JOALHERIA E OTICA LTDA</t>
        </is>
      </c>
    </row>
    <row r="3587">
      <c r="B3587" t="inlineStr">
        <is>
          <t>88.936.323/0006-47</t>
        </is>
      </c>
      <c r="C3587" t="inlineStr">
        <is>
          <t>COLISEU JOALHERIA E OTICA LTDA</t>
        </is>
      </c>
    </row>
    <row r="3588">
      <c r="B3588" t="inlineStr">
        <is>
          <t>88.936.323/0006-47</t>
        </is>
      </c>
      <c r="C3588" t="inlineStr">
        <is>
          <t>COLISEU JOALHERIA E OTICA LTDA</t>
        </is>
      </c>
    </row>
    <row r="3589">
      <c r="B3589" t="inlineStr">
        <is>
          <t>89.237.911/0001-40</t>
        </is>
      </c>
      <c r="C3589" t="inlineStr">
        <is>
          <t>GLOBAL DISTRIBUICAO DE BENS DE CONSUMO LTDA.</t>
        </is>
      </c>
    </row>
    <row r="3590">
      <c r="B3590" t="inlineStr">
        <is>
          <t>89.237.911/0001-40</t>
        </is>
      </c>
      <c r="C3590" t="inlineStr">
        <is>
          <t>GLOBAL DISTRIBUICAO DE BENS DE CONSUMO LTDA.</t>
        </is>
      </c>
    </row>
    <row r="3591">
      <c r="B3591" t="inlineStr">
        <is>
          <t>89.237.911/0001-40</t>
        </is>
      </c>
      <c r="C3591" t="inlineStr">
        <is>
          <t>GLOBAL DISTRIBUICAO DE BENS DE CONSUMO LTDA.</t>
        </is>
      </c>
    </row>
    <row r="3592">
      <c r="B3592" t="inlineStr">
        <is>
          <t>89.237.911/0001-40</t>
        </is>
      </c>
      <c r="C3592" t="inlineStr">
        <is>
          <t>GLOBAL DISTRIBUICAO DE BENS DE CONSUMO LTDA.</t>
        </is>
      </c>
    </row>
    <row r="3593">
      <c r="B3593" t="inlineStr">
        <is>
          <t>89.237.911/0001-40</t>
        </is>
      </c>
      <c r="C3593" t="inlineStr">
        <is>
          <t>GLOBAL DISTRIBUICAO DE BENS DE CONSUMO LTDA.</t>
        </is>
      </c>
    </row>
    <row r="3594">
      <c r="B3594" t="inlineStr">
        <is>
          <t>89.237.911/0001-40</t>
        </is>
      </c>
      <c r="C3594" t="inlineStr">
        <is>
          <t>GLOBAL DISTRIBUICAO DE BENS DE CONSUMO LTDA.</t>
        </is>
      </c>
    </row>
    <row r="3595">
      <c r="B3595" t="inlineStr">
        <is>
          <t>89.237.911/0001-40</t>
        </is>
      </c>
      <c r="C3595" t="inlineStr">
        <is>
          <t>GLOBAL DISTRIBUICAO DE BENS DE CONSUMO LTDA.</t>
        </is>
      </c>
    </row>
    <row r="3596">
      <c r="B3596" t="inlineStr">
        <is>
          <t>89.237.911/0001-40</t>
        </is>
      </c>
      <c r="C3596" t="inlineStr">
        <is>
          <t>GLOBAL DISTRIBUICAO DE BENS DE CONSUMO LTDA.</t>
        </is>
      </c>
    </row>
    <row r="3597">
      <c r="B3597" t="inlineStr">
        <is>
          <t>89.237.911/0001-40</t>
        </is>
      </c>
      <c r="C3597" t="inlineStr">
        <is>
          <t>GLOBAL DISTRIBUICAO DE BENS DE CONSUMO LTDA.</t>
        </is>
      </c>
    </row>
    <row r="3598">
      <c r="B3598" t="inlineStr">
        <is>
          <t>89.848.543/0001-77</t>
        </is>
      </c>
      <c r="C3598" t="inlineStr">
        <is>
          <t>LOJAS COLOMBO SA COMERCIO DE UTILIDADES DOMESTICAS</t>
        </is>
      </c>
    </row>
    <row r="3599">
      <c r="B3599" t="inlineStr">
        <is>
          <t>89.848.543/0001-77</t>
        </is>
      </c>
      <c r="C3599" t="inlineStr">
        <is>
          <t>LOJAS COLOMBO SA COMERCIO DE UTILIDADES DOMESTICAS</t>
        </is>
      </c>
    </row>
    <row r="3600">
      <c r="B3600" t="inlineStr">
        <is>
          <t>89.848.543/0001-77</t>
        </is>
      </c>
      <c r="C3600" t="inlineStr">
        <is>
          <t>LOJAS COLOMBO SA COMERCIO DE UTILIDADES DOMESTICAS</t>
        </is>
      </c>
    </row>
    <row r="3601">
      <c r="B3601" t="inlineStr">
        <is>
          <t>89.848.543/0001-77</t>
        </is>
      </c>
      <c r="C3601" t="inlineStr">
        <is>
          <t>LOJAS COLOMBO SA COMERCIO DE UTILIDADES DOMESTICAS</t>
        </is>
      </c>
    </row>
    <row r="3602">
      <c r="B3602" t="inlineStr">
        <is>
          <t>89.848.543/0001-77</t>
        </is>
      </c>
      <c r="C3602" t="inlineStr">
        <is>
          <t>LOJAS COLOMBO SA COMERCIO DE UTILIDADES DOMESTICAS</t>
        </is>
      </c>
    </row>
    <row r="3603">
      <c r="B3603" t="inlineStr">
        <is>
          <t>91.088.328/0001-67</t>
        </is>
      </c>
      <c r="C3603" t="inlineStr">
        <is>
          <t>TERRA NETWORKS BRASIL LTDA.</t>
        </is>
      </c>
    </row>
    <row r="3604">
      <c r="B3604" t="inlineStr">
        <is>
          <t>91.088.328/0001-67</t>
        </is>
      </c>
      <c r="C3604" t="inlineStr">
        <is>
          <t>TERRA NETWORKS BRASIL LTDA.</t>
        </is>
      </c>
    </row>
    <row r="3605">
      <c r="B3605" t="inlineStr">
        <is>
          <t>91.088.328/0001-67</t>
        </is>
      </c>
      <c r="C3605" t="inlineStr">
        <is>
          <t>TERRA NETWORKS BRASIL LTDA.</t>
        </is>
      </c>
    </row>
    <row r="3606">
      <c r="B3606" t="inlineStr">
        <is>
          <t>92.012.467/0001-70</t>
        </is>
      </c>
      <c r="C3606" t="inlineStr">
        <is>
          <t>GRAZZIOTIN S A</t>
        </is>
      </c>
    </row>
    <row r="3607">
      <c r="B3607" t="inlineStr">
        <is>
          <t>92.012.467/0001-70</t>
        </is>
      </c>
      <c r="C3607" t="inlineStr">
        <is>
          <t>GRAZZIOTIN S A</t>
        </is>
      </c>
    </row>
    <row r="3608">
      <c r="B3608" t="inlineStr">
        <is>
          <t>92.012.467/0001-70</t>
        </is>
      </c>
      <c r="C3608" t="inlineStr">
        <is>
          <t>GRAZZIOTIN S A</t>
        </is>
      </c>
    </row>
    <row r="3609">
      <c r="B3609" t="inlineStr">
        <is>
          <t>92.660.406/0001-19</t>
        </is>
      </c>
      <c r="C3609" t="inlineStr">
        <is>
          <t>FRIGELAR COMERCIO E INDUSTRIA LTDA</t>
        </is>
      </c>
    </row>
    <row r="3610">
      <c r="B3610" t="inlineStr">
        <is>
          <t>92.660.406/0001-19</t>
        </is>
      </c>
      <c r="C3610" t="inlineStr">
        <is>
          <t>FRIGELAR COMERCIO E INDUSTRIA LTDA</t>
        </is>
      </c>
    </row>
    <row r="3611">
      <c r="B3611" t="inlineStr">
        <is>
          <t>92.660.406/0001-19</t>
        </is>
      </c>
      <c r="C3611" t="inlineStr">
        <is>
          <t>FRIGELAR COMERCIO E INDUSTRIA LTDA</t>
        </is>
      </c>
    </row>
    <row r="3612">
      <c r="B3612" t="inlineStr">
        <is>
          <t>92.660.406/0001-19</t>
        </is>
      </c>
      <c r="C3612" t="inlineStr">
        <is>
          <t>FRIGELAR COMERCIO E INDUSTRIA LTDA</t>
        </is>
      </c>
    </row>
    <row r="3613">
      <c r="B3613" t="inlineStr">
        <is>
          <t>92.660.406/0001-19</t>
        </is>
      </c>
      <c r="C3613" t="inlineStr">
        <is>
          <t>FRIGELAR COMERCIO E INDUSTRIA LTDA</t>
        </is>
      </c>
    </row>
    <row r="3614">
      <c r="B3614" t="inlineStr">
        <is>
          <t>92.660.406/0001-19</t>
        </is>
      </c>
      <c r="C3614" t="inlineStr">
        <is>
          <t>FRIGELAR COMERCIO E INDUSTRIA LTDA</t>
        </is>
      </c>
    </row>
    <row r="3615">
      <c r="B3615" t="inlineStr">
        <is>
          <t>92.792.530/0001-38</t>
        </is>
      </c>
      <c r="C3615" t="inlineStr">
        <is>
          <t>SONOVA DO BRASIL PRODUTOS AUDIOLOGICOS LTDA</t>
        </is>
      </c>
    </row>
    <row r="3616">
      <c r="B3616" t="inlineStr">
        <is>
          <t>92.792.530/0001-38</t>
        </is>
      </c>
      <c r="C3616" t="inlineStr">
        <is>
          <t>SONOVA DO BRASIL PRODUTOS AUDIOLOGICOS LTDA</t>
        </is>
      </c>
    </row>
    <row r="3617">
      <c r="B3617" t="inlineStr">
        <is>
          <t>92.792.530/0001-38</t>
        </is>
      </c>
      <c r="C3617" t="inlineStr">
        <is>
          <t>SONOVA DO BRASIL PRODUTOS AUDIOLOGICOS LTDA</t>
        </is>
      </c>
    </row>
  </sheetData>
  <autoFilter ref="B1:C3617">
    <sortState ref="B2:C3617">
      <sortCondition ref="B1:B3617"/>
    </sortState>
  </autoFilter>
  <pageMargins left="0.511811024" right="0.511811024" top="0.787401575" bottom="0.787401575" header="0.31496062" footer="0.31496062"/>
</worksheet>
</file>

<file path=xl/worksheets/sheet9.xml><?xml version="1.0" encoding="utf-8"?>
<worksheet xmlns="http://schemas.openxmlformats.org/spreadsheetml/2006/main">
  <sheetPr>
    <outlinePr summaryBelow="1" summaryRight="1"/>
    <pageSetUpPr/>
  </sheetPr>
  <dimension ref="A1:A1"/>
  <sheetViews>
    <sheetView showGridLines="0" topLeftCell="A7" zoomScale="55" zoomScaleNormal="55" workbookViewId="0">
      <selection activeCell="Y24" sqref="Y24"/>
    </sheetView>
  </sheetViews>
  <sheetFormatPr baseColWidth="8" defaultRowHeight="14.5"/>
  <sheetData/>
  <pageMargins left="0.511811024" right="0.511811024" top="0.787401575" bottom="0.787401575" header="0.31496062" footer="0.31496062"/>
</worksheet>
</file>

<file path=xl/worksheets/sheet10.xml><?xml version="1.0" encoding="utf-8"?>
<worksheet xmlns="http://schemas.openxmlformats.org/spreadsheetml/2006/main">
  <sheetPr>
    <outlinePr summaryBelow="1" summaryRight="1"/>
    <pageSetUpPr/>
  </sheetPr>
  <dimension ref="A1:A1"/>
  <sheetViews>
    <sheetView showGridLines="0" zoomScale="70" zoomScaleNormal="70" workbookViewId="0">
      <selection activeCell="O14" sqref="O14"/>
    </sheetView>
  </sheetViews>
  <sheetFormatPr baseColWidth="8" defaultRowHeight="14.5"/>
  <cols>
    <col width="6.453125" customWidth="1" min="15" max="15"/>
    <col width="1.54296875" customWidth="1" min="16" max="16"/>
  </cols>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2026-07-09T16:00:01Z</dcterms:created>
  <dcterms:modified xsi:type="dcterms:W3CDTF">2026-10-07T16:56:52Z</dcterms:modified>
  <cp:lastModifiedBy>Felipe Alves Borges da Silva</cp:lastModifiedBy>
</cp:coreProperties>
</file>

<file path=docProps/custom.xml><?xml version="1.0" encoding="utf-8"?>
<Properties xmlns:vt="http://schemas.openxmlformats.org/officeDocument/2006/docPropsVTypes" xmlns="http://schemas.openxmlformats.org/officeDocument/2006/custom-properties">
  <property name="MSIP_Label_23b807ee-9361-45b4-9023-8508506e50fb_Enabled" fmtid="{D5CDD505-2E9C-101B-9397-08002B2CF9AE}" pid="2">
    <vt:lpwstr>true</vt:lpwstr>
  </property>
  <property name="MSIP_Label_23b807ee-9361-45b4-9023-8508506e50fb_SetDate" fmtid="{D5CDD505-2E9C-101B-9397-08002B2CF9AE}" pid="3">
    <vt:lpwstr>2026-07-09T16:06:56Z</vt:lpwstr>
  </property>
  <property name="MSIP_Label_23b807ee-9361-45b4-9023-8508506e50fb_Method" fmtid="{D5CDD505-2E9C-101B-9397-08002B2CF9AE}" pid="4">
    <vt:lpwstr>Standard</vt:lpwstr>
  </property>
  <property name="MSIP_Label_23b807ee-9361-45b4-9023-8508506e50fb_Name" fmtid="{D5CDD505-2E9C-101B-9397-08002B2CF9AE}" pid="5">
    <vt:lpwstr>23b807ee-9361-45b4-9023-8508506e50fb</vt:lpwstr>
  </property>
  <property name="MSIP_Label_23b807ee-9361-45b4-9023-8508506e50fb_SiteId" fmtid="{D5CDD505-2E9C-101B-9397-08002B2CF9AE}" pid="6">
    <vt:lpwstr>2e0fd3f1-c310-4812-9e4f-e2a25c4a159e</vt:lpwstr>
  </property>
  <property name="MSIP_Label_23b807ee-9361-45b4-9023-8508506e50fb_ActionId" fmtid="{D5CDD505-2E9C-101B-9397-08002B2CF9AE}" pid="7">
    <vt:lpwstr>aa790032-61e4-4538-a8b9-4d7002dfaa5c</vt:lpwstr>
  </property>
  <property name="MSIP_Label_23b807ee-9361-45b4-9023-8508506e50fb_ContentBits" fmtid="{D5CDD505-2E9C-101B-9397-08002B2CF9AE}" pid="8">
    <vt:lpwstr>2</vt:lpwstr>
  </property>
  <property name="MSIP_Label_23b807ee-9361-45b4-9023-8508506e50fb_Tag" fmtid="{D5CDD505-2E9C-101B-9397-08002B2CF9AE}" pid="9">
    <vt:lpwstr>10, 3, 0, 1</vt:lpwstr>
  </property>
  <property name="ContentTypeId" fmtid="{D5CDD505-2E9C-101B-9397-08002B2CF9AE}" pid="10">
    <vt:lpwstr>0x01010010D1D97361E99E4ABDCED272A7882A4D</vt:lpwstr>
  </property>
  <property name="MediaServiceImageTags" fmtid="{D5CDD505-2E9C-101B-9397-08002B2CF9AE}" pid="11">
    <vt:lpwstr/>
  </property>
</Properties>
</file>